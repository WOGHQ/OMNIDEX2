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4.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dbetancourt\CCSD Dropbox\Order Folder\TAG\"/>
    </mc:Choice>
  </mc:AlternateContent>
  <xr:revisionPtr revIDLastSave="0" documentId="13_ncr:1_{79384FE5-7499-4438-9E6C-3D7558A5519D}" xr6:coauthVersionLast="47" xr6:coauthVersionMax="47" xr10:uidLastSave="{00000000-0000-0000-0000-000000000000}"/>
  <workbookProtection workbookAlgorithmName="SHA-512" workbookHashValue="4r36aCKGbHK+6Fu8spBpsYd7DvXzcPKBFBdjkP0ndWded1DlC1WdTTvhk/SVQOThyGRo+oPHCh2Vo4MBspe6rA==" workbookSaltValue="HZIQiYW8guq6xLwbXvW1gA==" workbookSpinCount="100000" lockStructure="1"/>
  <bookViews>
    <workbookView xWindow="-28920" yWindow="-120" windowWidth="29040" windowHeight="15720" tabRatio="424" xr2:uid="{BA3689E6-9164-4EA2-8220-0438C28BD00D}"/>
  </bookViews>
  <sheets>
    <sheet name="TAG - Job Order Entry" sheetId="2" r:id="rId1"/>
    <sheet name="Short-Long Transition" sheetId="15" r:id="rId2"/>
    <sheet name="MixedCheck" sheetId="7" r:id="rId3"/>
    <sheet name="DecoCheck" sheetId="9" state="hidden" r:id="rId4"/>
    <sheet name="Price  List" sheetId="1" r:id="rId5"/>
    <sheet name="StockTool_old" sheetId="13" state="hidden" r:id="rId6"/>
    <sheet name="Search" sheetId="6" r:id="rId7"/>
    <sheet name="Warranty" sheetId="14" r:id="rId8"/>
    <sheet name="Import" sheetId="3" state="hidden" r:id="rId9"/>
  </sheets>
  <definedNames>
    <definedName name="_xlnm._FilterDatabase" localSheetId="4" hidden="1">'Price  List'!$A$5:$M$3309</definedName>
    <definedName name="ExternalData_1" localSheetId="6" hidden="1">Search!$A$1:$J$3006</definedName>
    <definedName name="_xlnm.Print_Area" localSheetId="4">'Price  List'!$B$1:$H$856</definedName>
    <definedName name="_xlnm.Print_Titles" localSheetId="4">'Price  List'!$2:$5</definedName>
    <definedName name="Slicer_Category">#N/A</definedName>
    <definedName name="Slicer_Deco_CTC__mm">#N/A</definedName>
    <definedName name="Slicer_Depth">#N/A</definedName>
    <definedName name="Slicer_Fabric">#N/A</definedName>
    <definedName name="Slicer_Finish">#N/A</definedName>
    <definedName name="Slicer_Length_Height">#N/A</definedName>
    <definedName name="Slicer_Width">#N/A</definedName>
    <definedName name="Stockcodes">'Price  List'!$B$5:$G$3991</definedName>
    <definedName name="StockTool">StockTool_old!$A$2:$H$507</definedName>
  </definedNames>
  <calcPr calcId="191029" concurrentCalc="0"/>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4:slicerCache r:id="rId11"/>
        <x14:slicerCache r:id="rId12"/>
        <x14:slicerCache r:id="rId13"/>
        <x14:slicerCache r:id="rId14"/>
        <x14:slicerCache r:id="rId15"/>
        <x14:slicerCache r:id="rId1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309" i="1" l="1"/>
  <c r="H3308" i="1"/>
  <c r="H3307" i="1"/>
  <c r="H3306" i="1"/>
  <c r="H3305" i="1"/>
  <c r="H3304" i="1"/>
  <c r="H3303" i="1"/>
  <c r="H3302" i="1"/>
  <c r="H3301" i="1"/>
  <c r="H3300" i="1"/>
  <c r="H3299" i="1"/>
  <c r="H3298" i="1"/>
  <c r="H3297" i="1"/>
  <c r="H3296" i="1"/>
  <c r="H3295" i="1"/>
  <c r="H3294" i="1"/>
  <c r="H3293" i="1"/>
  <c r="H3292" i="1"/>
  <c r="H3291" i="1"/>
  <c r="H3290" i="1"/>
  <c r="H3289" i="1"/>
  <c r="H3288" i="1"/>
  <c r="H3287" i="1"/>
  <c r="H3286" i="1"/>
  <c r="H3285" i="1"/>
  <c r="H3284" i="1"/>
  <c r="H3283" i="1"/>
  <c r="H3282" i="1"/>
  <c r="H3281" i="1"/>
  <c r="H3280" i="1"/>
  <c r="H3279" i="1"/>
  <c r="H3278" i="1"/>
  <c r="H3277" i="1"/>
  <c r="H3276" i="1"/>
  <c r="H3275" i="1"/>
  <c r="H3274" i="1"/>
  <c r="H3273" i="1"/>
  <c r="H3272" i="1"/>
  <c r="H3271" i="1"/>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26" i="2"/>
  <c r="H26" i="2"/>
  <c r="I26" i="2"/>
  <c r="G26" i="2"/>
  <c r="F26" i="2"/>
  <c r="D26" i="2"/>
  <c r="H3268" i="1"/>
  <c r="H3267" i="1"/>
  <c r="H3266" i="1"/>
  <c r="H3265" i="1"/>
  <c r="H3264" i="1"/>
  <c r="H3263" i="1"/>
  <c r="H3262" i="1"/>
  <c r="H3261" i="1"/>
  <c r="H3260" i="1"/>
  <c r="H3259" i="1"/>
  <c r="H3258" i="1"/>
  <c r="H3257" i="1"/>
  <c r="H3256" i="1"/>
  <c r="H3255" i="1"/>
  <c r="H3254" i="1"/>
  <c r="H3253" i="1"/>
  <c r="H3252" i="1"/>
  <c r="H3251" i="1"/>
  <c r="H3250" i="1"/>
  <c r="H3249" i="1"/>
  <c r="H3248" i="1"/>
  <c r="H3247" i="1"/>
  <c r="H3246" i="1"/>
  <c r="H3245" i="1"/>
  <c r="H3244" i="1"/>
  <c r="H3243" i="1"/>
  <c r="H3242" i="1"/>
  <c r="H3241" i="1"/>
  <c r="H3240" i="1"/>
  <c r="H3239" i="1"/>
  <c r="H3238" i="1"/>
  <c r="H3237" i="1"/>
  <c r="H3236" i="1"/>
  <c r="H3235" i="1"/>
  <c r="H3234" i="1"/>
  <c r="H3233" i="1"/>
  <c r="H3231" i="1"/>
  <c r="H3230" i="1"/>
  <c r="H3229" i="1"/>
  <c r="H3228" i="1"/>
  <c r="H3227" i="1"/>
  <c r="H3226" i="1"/>
  <c r="H3225" i="1"/>
  <c r="H3224" i="1"/>
  <c r="H3223" i="1"/>
  <c r="H3222" i="1"/>
  <c r="H3221" i="1"/>
  <c r="H3220" i="1"/>
  <c r="H3219" i="1"/>
  <c r="H3218" i="1"/>
  <c r="H3217" i="1"/>
  <c r="H3216" i="1"/>
  <c r="H3215" i="1"/>
  <c r="H3214" i="1"/>
  <c r="H3213" i="1"/>
  <c r="H3212" i="1"/>
  <c r="H3211" i="1"/>
  <c r="H3210" i="1"/>
  <c r="H3209" i="1"/>
  <c r="H3208" i="1"/>
  <c r="H3207" i="1"/>
  <c r="H3206" i="1"/>
  <c r="H3205" i="1"/>
  <c r="H3204" i="1"/>
  <c r="H3203" i="1"/>
  <c r="H3202" i="1"/>
  <c r="H3200" i="1"/>
  <c r="H3199" i="1"/>
  <c r="H3198" i="1"/>
  <c r="H3197" i="1"/>
  <c r="H3196" i="1"/>
  <c r="H3195" i="1"/>
  <c r="H3194" i="1"/>
  <c r="H3193" i="1"/>
  <c r="H3192" i="1"/>
  <c r="H3191" i="1"/>
  <c r="H3190" i="1"/>
  <c r="H3189" i="1"/>
  <c r="H3188" i="1"/>
  <c r="H3187" i="1"/>
  <c r="H3186" i="1"/>
  <c r="H3185" i="1"/>
  <c r="H3184" i="1"/>
  <c r="H3183" i="1"/>
  <c r="H3182" i="1"/>
  <c r="H3181" i="1"/>
  <c r="H3180" i="1"/>
  <c r="H3179" i="1"/>
  <c r="H3178" i="1"/>
  <c r="H3177" i="1"/>
  <c r="H3176" i="1"/>
  <c r="H3175" i="1"/>
  <c r="H3174" i="1"/>
  <c r="H3173" i="1"/>
  <c r="H3172" i="1"/>
  <c r="H3171" i="1"/>
  <c r="H3170" i="1"/>
  <c r="H3169" i="1"/>
  <c r="H3168" i="1"/>
  <c r="H3167" i="1"/>
  <c r="H3166" i="1"/>
  <c r="H3165" i="1"/>
  <c r="H3161" i="1"/>
  <c r="H3160" i="1"/>
  <c r="H3159" i="1"/>
  <c r="H3158" i="1"/>
  <c r="H3157" i="1"/>
  <c r="H3156" i="1"/>
  <c r="H3153" i="1"/>
  <c r="H3152" i="1"/>
  <c r="H3151" i="1"/>
  <c r="H3147" i="1"/>
  <c r="H3146" i="1"/>
  <c r="H3145" i="1"/>
  <c r="H3144" i="1"/>
  <c r="H3143" i="1"/>
  <c r="H3140" i="1"/>
  <c r="H3139" i="1"/>
  <c r="H3138" i="1"/>
  <c r="H3137" i="1"/>
  <c r="H3136" i="1"/>
  <c r="H3133" i="1"/>
  <c r="H3132" i="1"/>
  <c r="H3131" i="1"/>
  <c r="H3130" i="1"/>
  <c r="H3129" i="1"/>
  <c r="H3128" i="1"/>
  <c r="H3127" i="1"/>
  <c r="H3126" i="1"/>
  <c r="H3125" i="1"/>
  <c r="H3124" i="1"/>
  <c r="H3121" i="1"/>
  <c r="H3120" i="1"/>
  <c r="H3119" i="1"/>
  <c r="H3115" i="1"/>
  <c r="H3114" i="1"/>
  <c r="H3113" i="1"/>
  <c r="H3112" i="1"/>
  <c r="H3111" i="1"/>
  <c r="H3110" i="1"/>
  <c r="H3109" i="1"/>
  <c r="H3108" i="1"/>
  <c r="H3107" i="1"/>
  <c r="H3106" i="1"/>
  <c r="H3105" i="1"/>
  <c r="H3104" i="1"/>
  <c r="H3103" i="1"/>
  <c r="H3102" i="1"/>
  <c r="H3101" i="1"/>
  <c r="H3100" i="1"/>
  <c r="H3099" i="1"/>
  <c r="H3098" i="1"/>
  <c r="H3097" i="1"/>
  <c r="H3096" i="1"/>
  <c r="H3095" i="1"/>
  <c r="H3094" i="1"/>
  <c r="H3093" i="1"/>
  <c r="H3092" i="1"/>
  <c r="H3088" i="1"/>
  <c r="H3087" i="1"/>
  <c r="H3086" i="1"/>
  <c r="H3085" i="1"/>
  <c r="H3084" i="1"/>
  <c r="H3083" i="1"/>
  <c r="H3082" i="1"/>
  <c r="H3081" i="1"/>
  <c r="H3080" i="1"/>
  <c r="H3079" i="1"/>
  <c r="H3078" i="1"/>
  <c r="H3077" i="1"/>
  <c r="H3076" i="1"/>
  <c r="H3075" i="1"/>
  <c r="H3074" i="1"/>
  <c r="H3073" i="1"/>
  <c r="H3072" i="1"/>
  <c r="H3071" i="1"/>
  <c r="H3070" i="1"/>
  <c r="H3069" i="1"/>
  <c r="H3068" i="1"/>
  <c r="H3067" i="1"/>
  <c r="H3066" i="1"/>
  <c r="H3065" i="1"/>
  <c r="H3064" i="1"/>
  <c r="H3063" i="1"/>
  <c r="H3062" i="1"/>
  <c r="H3061" i="1"/>
  <c r="H3060" i="1"/>
  <c r="H3059" i="1"/>
  <c r="H3058" i="1"/>
  <c r="H3057" i="1"/>
  <c r="H3056" i="1"/>
  <c r="H3055" i="1"/>
  <c r="H3054" i="1"/>
  <c r="H3053" i="1"/>
  <c r="H3052" i="1"/>
  <c r="H3051" i="1"/>
  <c r="H3050" i="1"/>
  <c r="H3049" i="1"/>
  <c r="H3048" i="1"/>
  <c r="H3047" i="1"/>
  <c r="H3046" i="1"/>
  <c r="H3045" i="1"/>
  <c r="H3044" i="1"/>
  <c r="H3043" i="1"/>
  <c r="H3042" i="1"/>
  <c r="H3041" i="1"/>
  <c r="H3040" i="1"/>
  <c r="H3039" i="1"/>
  <c r="H3038" i="1"/>
  <c r="H3037" i="1"/>
  <c r="H3036" i="1"/>
  <c r="H3035" i="1"/>
  <c r="H3034" i="1"/>
  <c r="H3033" i="1"/>
  <c r="H3032" i="1"/>
  <c r="H3031" i="1"/>
  <c r="H3030" i="1"/>
  <c r="H3029" i="1"/>
  <c r="H3028" i="1"/>
  <c r="H3027" i="1"/>
  <c r="H3026" i="1"/>
  <c r="H3025" i="1"/>
  <c r="H3024" i="1"/>
  <c r="H3023" i="1"/>
  <c r="H3022" i="1"/>
  <c r="H3021" i="1"/>
  <c r="H3020" i="1"/>
  <c r="H3019" i="1"/>
  <c r="H3018" i="1"/>
  <c r="H3017" i="1"/>
  <c r="H3016" i="1"/>
  <c r="H3015" i="1"/>
  <c r="H3014" i="1"/>
  <c r="H3013" i="1"/>
  <c r="H3012" i="1"/>
  <c r="H3011" i="1"/>
  <c r="H3010" i="1"/>
  <c r="H3009" i="1"/>
  <c r="H3008" i="1"/>
  <c r="H3007" i="1"/>
  <c r="H3006" i="1"/>
  <c r="H3005" i="1"/>
  <c r="H3004" i="1"/>
  <c r="H3003" i="1"/>
  <c r="H3002" i="1"/>
  <c r="H3001" i="1"/>
  <c r="H3000" i="1"/>
  <c r="H2999" i="1"/>
  <c r="H2998" i="1"/>
  <c r="H2997" i="1"/>
  <c r="H2996" i="1"/>
  <c r="H2995" i="1"/>
  <c r="H2994" i="1"/>
  <c r="H2993" i="1"/>
  <c r="H2992" i="1"/>
  <c r="H2991" i="1"/>
  <c r="H2990" i="1"/>
  <c r="H2989" i="1"/>
  <c r="H2988" i="1"/>
  <c r="H2987" i="1"/>
  <c r="H2986" i="1"/>
  <c r="H2985" i="1"/>
  <c r="H2984" i="1"/>
  <c r="H2983" i="1"/>
  <c r="H2982" i="1"/>
  <c r="H2981" i="1"/>
  <c r="H2980" i="1"/>
  <c r="H2979" i="1"/>
  <c r="H2978" i="1"/>
  <c r="H2977" i="1"/>
  <c r="H2976" i="1"/>
  <c r="H2975" i="1"/>
  <c r="H2974" i="1"/>
  <c r="H2973" i="1"/>
  <c r="H2972" i="1"/>
  <c r="H2971" i="1"/>
  <c r="H2970" i="1"/>
  <c r="H2969" i="1"/>
  <c r="H2968" i="1"/>
  <c r="H2967" i="1"/>
  <c r="H2966" i="1"/>
  <c r="H2965" i="1"/>
  <c r="H2964" i="1"/>
  <c r="H2963" i="1"/>
  <c r="H2962" i="1"/>
  <c r="H2961" i="1"/>
  <c r="H2960" i="1"/>
  <c r="H2959" i="1"/>
  <c r="H2958" i="1"/>
  <c r="H2957" i="1"/>
  <c r="H2956" i="1"/>
  <c r="H2955" i="1"/>
  <c r="H2954" i="1"/>
  <c r="H2953" i="1"/>
  <c r="H2952" i="1"/>
  <c r="H2948" i="1"/>
  <c r="H2947" i="1"/>
  <c r="H2946" i="1"/>
  <c r="H2945" i="1"/>
  <c r="H2944" i="1"/>
  <c r="H2943" i="1"/>
  <c r="H2942" i="1"/>
  <c r="H2941" i="1"/>
  <c r="H2940" i="1"/>
  <c r="H2939" i="1"/>
  <c r="H2938" i="1"/>
  <c r="H2937" i="1"/>
  <c r="H2936" i="1"/>
  <c r="H2935" i="1"/>
  <c r="H2934" i="1"/>
  <c r="H2933" i="1"/>
  <c r="H2932" i="1"/>
  <c r="H2931" i="1"/>
  <c r="H2930" i="1"/>
  <c r="H2929" i="1"/>
  <c r="H2928" i="1"/>
  <c r="H2927" i="1"/>
  <c r="H2926" i="1"/>
  <c r="H2925" i="1"/>
  <c r="H2924" i="1"/>
  <c r="H2923" i="1"/>
  <c r="H2922" i="1"/>
  <c r="H2921" i="1"/>
  <c r="H2920" i="1"/>
  <c r="H2919" i="1"/>
  <c r="H2915" i="1"/>
  <c r="H2914" i="1"/>
  <c r="H2913" i="1"/>
  <c r="H2912" i="1"/>
  <c r="H2911" i="1"/>
  <c r="H2910" i="1"/>
  <c r="H2909" i="1"/>
  <c r="H2908" i="1"/>
  <c r="H2904" i="1"/>
  <c r="H2903" i="1"/>
  <c r="H2902" i="1"/>
  <c r="H2901" i="1"/>
  <c r="H2900" i="1"/>
  <c r="H2899" i="1"/>
  <c r="H2895" i="1"/>
  <c r="H2894" i="1"/>
  <c r="H2893" i="1"/>
  <c r="H2892" i="1"/>
  <c r="H2891" i="1"/>
  <c r="H2887" i="1"/>
  <c r="H2886" i="1"/>
  <c r="H2885" i="1"/>
  <c r="H2884" i="1"/>
  <c r="H2883" i="1"/>
  <c r="H2882" i="1"/>
  <c r="H2881" i="1"/>
  <c r="H2880" i="1"/>
  <c r="H2879" i="1"/>
  <c r="H2878" i="1"/>
  <c r="H2877" i="1"/>
  <c r="H2876" i="1"/>
  <c r="H2875" i="1"/>
  <c r="H2874" i="1"/>
  <c r="H2873" i="1"/>
  <c r="H2872" i="1"/>
  <c r="H2871" i="1"/>
  <c r="H2870" i="1"/>
  <c r="H2869" i="1"/>
  <c r="H2868" i="1"/>
  <c r="H2867" i="1"/>
  <c r="H2866" i="1"/>
  <c r="H2865" i="1"/>
  <c r="H2864" i="1"/>
  <c r="H2863" i="1"/>
  <c r="H2862" i="1"/>
  <c r="H2861" i="1"/>
  <c r="H2860" i="1"/>
  <c r="H2859" i="1"/>
  <c r="H2858" i="1"/>
  <c r="H2857" i="1"/>
  <c r="H2856" i="1"/>
  <c r="H2855" i="1"/>
  <c r="H2854" i="1"/>
  <c r="H2853" i="1"/>
  <c r="H2852" i="1"/>
  <c r="H2851" i="1"/>
  <c r="H2850" i="1"/>
  <c r="H2849" i="1"/>
  <c r="H2848" i="1"/>
  <c r="H2847" i="1"/>
  <c r="H2846" i="1"/>
  <c r="H2845" i="1"/>
  <c r="H2844" i="1"/>
  <c r="H2843" i="1"/>
  <c r="H2842" i="1"/>
  <c r="H2841" i="1"/>
  <c r="H2840" i="1"/>
  <c r="H2839" i="1"/>
  <c r="H2838" i="1"/>
  <c r="H2837" i="1"/>
  <c r="H2836" i="1"/>
  <c r="H2835" i="1"/>
  <c r="H2834" i="1"/>
  <c r="H2833" i="1"/>
  <c r="H2832" i="1"/>
  <c r="H2831" i="1"/>
  <c r="H2830" i="1"/>
  <c r="H2829" i="1"/>
  <c r="H2828" i="1"/>
  <c r="H2827" i="1"/>
  <c r="H2826" i="1"/>
  <c r="H2825" i="1"/>
  <c r="H2824" i="1"/>
  <c r="H2823" i="1"/>
  <c r="H2822" i="1"/>
  <c r="H2821" i="1"/>
  <c r="H2820" i="1"/>
  <c r="H2819" i="1"/>
  <c r="H2818" i="1"/>
  <c r="H2817" i="1"/>
  <c r="H2816" i="1"/>
  <c r="H2815" i="1"/>
  <c r="H2814" i="1"/>
  <c r="H2813" i="1"/>
  <c r="H2812" i="1"/>
  <c r="H2811" i="1"/>
  <c r="H2810" i="1"/>
  <c r="H2809" i="1"/>
  <c r="H2808" i="1"/>
  <c r="H2807" i="1"/>
  <c r="H2806" i="1"/>
  <c r="H2805" i="1"/>
  <c r="H2804" i="1"/>
  <c r="H2803" i="1"/>
  <c r="H2802" i="1"/>
  <c r="H2801" i="1"/>
  <c r="H2800" i="1"/>
  <c r="H2799" i="1"/>
  <c r="H2798" i="1"/>
  <c r="H2797" i="1"/>
  <c r="H2796" i="1"/>
  <c r="H2795" i="1"/>
  <c r="H2794" i="1"/>
  <c r="H2793" i="1"/>
  <c r="H2792" i="1"/>
  <c r="H2791" i="1"/>
  <c r="H2790" i="1"/>
  <c r="H2789" i="1"/>
  <c r="H2788" i="1"/>
  <c r="H2787" i="1"/>
  <c r="H2786" i="1"/>
  <c r="H2785" i="1"/>
  <c r="H2784" i="1"/>
  <c r="H2783" i="1"/>
  <c r="H2782" i="1"/>
  <c r="H2781" i="1"/>
  <c r="H2780" i="1"/>
  <c r="H2779" i="1"/>
  <c r="H2778" i="1"/>
  <c r="H2777" i="1"/>
  <c r="H2776" i="1"/>
  <c r="H2775" i="1"/>
  <c r="H2774" i="1"/>
  <c r="H2773" i="1"/>
  <c r="H2772" i="1"/>
  <c r="H2771" i="1"/>
  <c r="H2770" i="1"/>
  <c r="H2769" i="1"/>
  <c r="H2768" i="1"/>
  <c r="H2767" i="1"/>
  <c r="H2766" i="1"/>
  <c r="H2765" i="1"/>
  <c r="H2764" i="1"/>
  <c r="H2763" i="1"/>
  <c r="H2762" i="1"/>
  <c r="H2761" i="1"/>
  <c r="H2760" i="1"/>
  <c r="H2759" i="1"/>
  <c r="H2758" i="1"/>
  <c r="H2757" i="1"/>
  <c r="H2756" i="1"/>
  <c r="H2755" i="1"/>
  <c r="H2754" i="1"/>
  <c r="H2753" i="1"/>
  <c r="H2752" i="1"/>
  <c r="H2751" i="1"/>
  <c r="H2750" i="1"/>
  <c r="H2749" i="1"/>
  <c r="H2748" i="1"/>
  <c r="H2747" i="1"/>
  <c r="H2746" i="1"/>
  <c r="H2745" i="1"/>
  <c r="H2744" i="1"/>
  <c r="H2743" i="1"/>
  <c r="H2742" i="1"/>
  <c r="H2741" i="1"/>
  <c r="H2740" i="1"/>
  <c r="H2739" i="1"/>
  <c r="H2738" i="1"/>
  <c r="H2737" i="1"/>
  <c r="H2736" i="1"/>
  <c r="H2735" i="1"/>
  <c r="H2734" i="1"/>
  <c r="H2729" i="1"/>
  <c r="H2728" i="1"/>
  <c r="H2727" i="1"/>
  <c r="H2726" i="1"/>
  <c r="H2725" i="1"/>
  <c r="H2724" i="1"/>
  <c r="H2723" i="1"/>
  <c r="H2722" i="1"/>
  <c r="H2721" i="1"/>
  <c r="H2720" i="1"/>
  <c r="H2719" i="1"/>
  <c r="H2718" i="1"/>
  <c r="H2717" i="1"/>
  <c r="H2716" i="1"/>
  <c r="H2715" i="1"/>
  <c r="H2714" i="1"/>
  <c r="H2713" i="1"/>
  <c r="H2712" i="1"/>
  <c r="H2711" i="1"/>
  <c r="H2710" i="1"/>
  <c r="H2709" i="1"/>
  <c r="H2708" i="1"/>
  <c r="H2707" i="1"/>
  <c r="H2706" i="1"/>
  <c r="H2705" i="1"/>
  <c r="H2704" i="1"/>
  <c r="H2703" i="1"/>
  <c r="H2702" i="1"/>
  <c r="H2701" i="1"/>
  <c r="H2700" i="1"/>
  <c r="H2699" i="1"/>
  <c r="H2698" i="1"/>
  <c r="H2697" i="1"/>
  <c r="H2696" i="1"/>
  <c r="H2695" i="1"/>
  <c r="H2694" i="1"/>
  <c r="H2693" i="1"/>
  <c r="H2692" i="1"/>
  <c r="H2691" i="1"/>
  <c r="H2690" i="1"/>
  <c r="H2689" i="1"/>
  <c r="H2688" i="1"/>
  <c r="H2687" i="1"/>
  <c r="H2686" i="1"/>
  <c r="H2685" i="1"/>
  <c r="H2684" i="1"/>
  <c r="H2683" i="1"/>
  <c r="H2682" i="1"/>
  <c r="H2681" i="1"/>
  <c r="H2680" i="1"/>
  <c r="H2679" i="1"/>
  <c r="H2678" i="1"/>
  <c r="H2677" i="1"/>
  <c r="H2676" i="1"/>
  <c r="H2675" i="1"/>
  <c r="H2674" i="1"/>
  <c r="H2673" i="1"/>
  <c r="H2672" i="1"/>
  <c r="H2671" i="1"/>
  <c r="H2670" i="1"/>
  <c r="H2669" i="1"/>
  <c r="H2668" i="1"/>
  <c r="H2667" i="1"/>
  <c r="H2666" i="1"/>
  <c r="H2665" i="1"/>
  <c r="H2664" i="1"/>
  <c r="H2663" i="1"/>
  <c r="H2662" i="1"/>
  <c r="H2661" i="1"/>
  <c r="H2660" i="1"/>
  <c r="H2659" i="1"/>
  <c r="H2658" i="1"/>
  <c r="H2657" i="1"/>
  <c r="H2656" i="1"/>
  <c r="H2655" i="1"/>
  <c r="H2654" i="1"/>
  <c r="H2653" i="1"/>
  <c r="H2652" i="1"/>
  <c r="H2651" i="1"/>
  <c r="H2650" i="1"/>
  <c r="H2649" i="1"/>
  <c r="H2648" i="1"/>
  <c r="H2647" i="1"/>
  <c r="H2646" i="1"/>
  <c r="H2645" i="1"/>
  <c r="H2644" i="1"/>
  <c r="H2643" i="1"/>
  <c r="H2642" i="1"/>
  <c r="H2641" i="1"/>
  <c r="H2640" i="1"/>
  <c r="H2639" i="1"/>
  <c r="H2638" i="1"/>
  <c r="H2637" i="1"/>
  <c r="H2636" i="1"/>
  <c r="H2635" i="1"/>
  <c r="H2634" i="1"/>
  <c r="H2633" i="1"/>
  <c r="H2632" i="1"/>
  <c r="H2631" i="1"/>
  <c r="H2630" i="1"/>
  <c r="H2629" i="1"/>
  <c r="H2628" i="1"/>
  <c r="H2627" i="1"/>
  <c r="H2626" i="1"/>
  <c r="H2625" i="1"/>
  <c r="H2624" i="1"/>
  <c r="H2623" i="1"/>
  <c r="H2622" i="1"/>
  <c r="H2621" i="1"/>
  <c r="H2620" i="1"/>
  <c r="H2619" i="1"/>
  <c r="H2618" i="1"/>
  <c r="H2617" i="1"/>
  <c r="H2616" i="1"/>
  <c r="H2615" i="1"/>
  <c r="H2614" i="1"/>
  <c r="H2613" i="1"/>
  <c r="H2612" i="1"/>
  <c r="H2611" i="1"/>
  <c r="H2610" i="1"/>
  <c r="H2609" i="1"/>
  <c r="H2608" i="1"/>
  <c r="H2607" i="1"/>
  <c r="H2606" i="1"/>
  <c r="H2605" i="1"/>
  <c r="H2604" i="1"/>
  <c r="H2603" i="1"/>
  <c r="H2602" i="1"/>
  <c r="H2601" i="1"/>
  <c r="H2600" i="1"/>
  <c r="H2599" i="1"/>
  <c r="H2598" i="1"/>
  <c r="H2597" i="1"/>
  <c r="H2596" i="1"/>
  <c r="H2595" i="1"/>
  <c r="H2594" i="1"/>
  <c r="H2593" i="1"/>
  <c r="H2592" i="1"/>
  <c r="H2591" i="1"/>
  <c r="H2590" i="1"/>
  <c r="H2589" i="1"/>
  <c r="H2588" i="1"/>
  <c r="H2587" i="1"/>
  <c r="H2586" i="1"/>
  <c r="H2585" i="1"/>
  <c r="H2584" i="1"/>
  <c r="H2583" i="1"/>
  <c r="H2582" i="1"/>
  <c r="H2581" i="1"/>
  <c r="H2580" i="1"/>
  <c r="H2579" i="1"/>
  <c r="H2578" i="1"/>
  <c r="H2577" i="1"/>
  <c r="H2576" i="1"/>
  <c r="H2575" i="1"/>
  <c r="H2574" i="1"/>
  <c r="H2573" i="1"/>
  <c r="H2572" i="1"/>
  <c r="H2571" i="1"/>
  <c r="H2570" i="1"/>
  <c r="H2569" i="1"/>
  <c r="H2568" i="1"/>
  <c r="H2567" i="1"/>
  <c r="H2566" i="1"/>
  <c r="H2565" i="1"/>
  <c r="H2564" i="1"/>
  <c r="H2563" i="1"/>
  <c r="H2562" i="1"/>
  <c r="H2561" i="1"/>
  <c r="H2560" i="1"/>
  <c r="H2559" i="1"/>
  <c r="H2558" i="1"/>
  <c r="H2557" i="1"/>
  <c r="H2556" i="1"/>
  <c r="H2555" i="1"/>
  <c r="H2554" i="1"/>
  <c r="H2553" i="1"/>
  <c r="H2552" i="1"/>
  <c r="H2551" i="1"/>
  <c r="H2550" i="1"/>
  <c r="H2549" i="1"/>
  <c r="H2548" i="1"/>
  <c r="H2547" i="1"/>
  <c r="H2546" i="1"/>
  <c r="H2545" i="1"/>
  <c r="H2544" i="1"/>
  <c r="H2543" i="1"/>
  <c r="H2542" i="1"/>
  <c r="H2541" i="1"/>
  <c r="H2540" i="1"/>
  <c r="H2539" i="1"/>
  <c r="H2538" i="1"/>
  <c r="H2537" i="1"/>
  <c r="H2536" i="1"/>
  <c r="H2535" i="1"/>
  <c r="H2534" i="1"/>
  <c r="H2533" i="1"/>
  <c r="H2532" i="1"/>
  <c r="H2531" i="1"/>
  <c r="H2530" i="1"/>
  <c r="H2529" i="1"/>
  <c r="H2528" i="1"/>
  <c r="H2527" i="1"/>
  <c r="H2526" i="1"/>
  <c r="H2525" i="1"/>
  <c r="H2524" i="1"/>
  <c r="H2523" i="1"/>
  <c r="H2522" i="1"/>
  <c r="H2521" i="1"/>
  <c r="H2520" i="1"/>
  <c r="H2519" i="1"/>
  <c r="H2518" i="1"/>
  <c r="H2517" i="1"/>
  <c r="H2516" i="1"/>
  <c r="H2515" i="1"/>
  <c r="H2514" i="1"/>
  <c r="H2513" i="1"/>
  <c r="H2512" i="1"/>
  <c r="H2511" i="1"/>
  <c r="H2510" i="1"/>
  <c r="H2509" i="1"/>
  <c r="H2508" i="1"/>
  <c r="H2507" i="1"/>
  <c r="H2506" i="1"/>
  <c r="H2505" i="1"/>
  <c r="H2504" i="1"/>
  <c r="H2503" i="1"/>
  <c r="H2502" i="1"/>
  <c r="H2501" i="1"/>
  <c r="H2500" i="1"/>
  <c r="H2499" i="1"/>
  <c r="H2498" i="1"/>
  <c r="H2497" i="1"/>
  <c r="H2496" i="1"/>
  <c r="H2495" i="1"/>
  <c r="H2494" i="1"/>
  <c r="H2493" i="1"/>
  <c r="H2492" i="1"/>
  <c r="H2491" i="1"/>
  <c r="H2490" i="1"/>
  <c r="H2489" i="1"/>
  <c r="H2488" i="1"/>
  <c r="H2487" i="1"/>
  <c r="H2486" i="1"/>
  <c r="H2485" i="1"/>
  <c r="H2484" i="1"/>
  <c r="H2483" i="1"/>
  <c r="H2482" i="1"/>
  <c r="H2481" i="1"/>
  <c r="H2480" i="1"/>
  <c r="H2479" i="1"/>
  <c r="H2478" i="1"/>
  <c r="H2477" i="1"/>
  <c r="H2476" i="1"/>
  <c r="H2475" i="1"/>
  <c r="H2474" i="1"/>
  <c r="H2473" i="1"/>
  <c r="H2472" i="1"/>
  <c r="H2471" i="1"/>
  <c r="H2470" i="1"/>
  <c r="H2469" i="1"/>
  <c r="H2468" i="1"/>
  <c r="H2467" i="1"/>
  <c r="H2466" i="1"/>
  <c r="H2465" i="1"/>
  <c r="H2464" i="1"/>
  <c r="H2463" i="1"/>
  <c r="H2462" i="1"/>
  <c r="H2461" i="1"/>
  <c r="H2460" i="1"/>
  <c r="H2459" i="1"/>
  <c r="H2458" i="1"/>
  <c r="H2457" i="1"/>
  <c r="H2456" i="1"/>
  <c r="H2455" i="1"/>
  <c r="H2454" i="1"/>
  <c r="H2453" i="1"/>
  <c r="H2452" i="1"/>
  <c r="H2451" i="1"/>
  <c r="H2450" i="1"/>
  <c r="H2449" i="1"/>
  <c r="H2448" i="1"/>
  <c r="H2447" i="1"/>
  <c r="H2446" i="1"/>
  <c r="H2445" i="1"/>
  <c r="H2444" i="1"/>
  <c r="H2443" i="1"/>
  <c r="H2442" i="1"/>
  <c r="H2441" i="1"/>
  <c r="H2440" i="1"/>
  <c r="H2439" i="1"/>
  <c r="H2438" i="1"/>
  <c r="H2437" i="1"/>
  <c r="H2436" i="1"/>
  <c r="H2435" i="1"/>
  <c r="H2434" i="1"/>
  <c r="H2433" i="1"/>
  <c r="H2432" i="1"/>
  <c r="H2431" i="1"/>
  <c r="H2430" i="1"/>
  <c r="H2429" i="1"/>
  <c r="H2428" i="1"/>
  <c r="H2427" i="1"/>
  <c r="H2426" i="1"/>
  <c r="H2425" i="1"/>
  <c r="H2424" i="1"/>
  <c r="H2423" i="1"/>
  <c r="H2422" i="1"/>
  <c r="H2421" i="1"/>
  <c r="H2420" i="1"/>
  <c r="H2419" i="1"/>
  <c r="H2418" i="1"/>
  <c r="H2417" i="1"/>
  <c r="H2416" i="1"/>
  <c r="H2415" i="1"/>
  <c r="H2414" i="1"/>
  <c r="H2413" i="1"/>
  <c r="H2412" i="1"/>
  <c r="H2411" i="1"/>
  <c r="H2410" i="1"/>
  <c r="H2409" i="1"/>
  <c r="H2408" i="1"/>
  <c r="H2407" i="1"/>
  <c r="H2406" i="1"/>
  <c r="H2405" i="1"/>
  <c r="H2404" i="1"/>
  <c r="H2403" i="1"/>
  <c r="H2402" i="1"/>
  <c r="H2401" i="1"/>
  <c r="H2400" i="1"/>
  <c r="H2399" i="1"/>
  <c r="H2398" i="1"/>
  <c r="H2397" i="1"/>
  <c r="H2396" i="1"/>
  <c r="H2395" i="1"/>
  <c r="H2394" i="1"/>
  <c r="H2393" i="1"/>
  <c r="H2392" i="1"/>
  <c r="H2391" i="1"/>
  <c r="H2390" i="1"/>
  <c r="H2389" i="1"/>
  <c r="H2388" i="1"/>
  <c r="H2387" i="1"/>
  <c r="H2386" i="1"/>
  <c r="H2385" i="1"/>
  <c r="H2384" i="1"/>
  <c r="H2383" i="1"/>
  <c r="H2382" i="1"/>
  <c r="H2381" i="1"/>
  <c r="H2380" i="1"/>
  <c r="H2379" i="1"/>
  <c r="H2378" i="1"/>
  <c r="H2377" i="1"/>
  <c r="H2376" i="1"/>
  <c r="H2375" i="1"/>
  <c r="H2374" i="1"/>
  <c r="H2373" i="1"/>
  <c r="H2372" i="1"/>
  <c r="H2371" i="1"/>
  <c r="H2370" i="1"/>
  <c r="H2369" i="1"/>
  <c r="H2368" i="1"/>
  <c r="H2367" i="1"/>
  <c r="H2366" i="1"/>
  <c r="H2365" i="1"/>
  <c r="H2364" i="1"/>
  <c r="H2363" i="1"/>
  <c r="H2362" i="1"/>
  <c r="H2361" i="1"/>
  <c r="H2360" i="1"/>
  <c r="H2359" i="1"/>
  <c r="H2358" i="1"/>
  <c r="H2357" i="1"/>
  <c r="H2356" i="1"/>
  <c r="H2355" i="1"/>
  <c r="H2354" i="1"/>
  <c r="H2353" i="1"/>
  <c r="H2352" i="1"/>
  <c r="H2351" i="1"/>
  <c r="H2350" i="1"/>
  <c r="H2349" i="1"/>
  <c r="H2348" i="1"/>
  <c r="H2347" i="1"/>
  <c r="H2346" i="1"/>
  <c r="H2345" i="1"/>
  <c r="H2344" i="1"/>
  <c r="H2343" i="1"/>
  <c r="H2342" i="1"/>
  <c r="H2341" i="1"/>
  <c r="H2340" i="1"/>
  <c r="H2339" i="1"/>
  <c r="H2338" i="1"/>
  <c r="H2337" i="1"/>
  <c r="H2336" i="1"/>
  <c r="H2335" i="1"/>
  <c r="H2334" i="1"/>
  <c r="H2333" i="1"/>
  <c r="H2332" i="1"/>
  <c r="H2331" i="1"/>
  <c r="H2330" i="1"/>
  <c r="H2329" i="1"/>
  <c r="H2328" i="1"/>
  <c r="H2327" i="1"/>
  <c r="H2326" i="1"/>
  <c r="H2325" i="1"/>
  <c r="H2324" i="1"/>
  <c r="H2323" i="1"/>
  <c r="H2322" i="1"/>
  <c r="H2321" i="1"/>
  <c r="H2320" i="1"/>
  <c r="H2319" i="1"/>
  <c r="H2318" i="1"/>
  <c r="H2317" i="1"/>
  <c r="H2316" i="1"/>
  <c r="H2315" i="1"/>
  <c r="H2314" i="1"/>
  <c r="H2313" i="1"/>
  <c r="H2312" i="1"/>
  <c r="H2311" i="1"/>
  <c r="H2310" i="1"/>
  <c r="H2309" i="1"/>
  <c r="H2308" i="1"/>
  <c r="H2307" i="1"/>
  <c r="H2306" i="1"/>
  <c r="H2305" i="1"/>
  <c r="H2304" i="1"/>
  <c r="H2303" i="1"/>
  <c r="H2302" i="1"/>
  <c r="H2301" i="1"/>
  <c r="H2300" i="1"/>
  <c r="H2299" i="1"/>
  <c r="H2298" i="1"/>
  <c r="H2297" i="1"/>
  <c r="H2296" i="1"/>
  <c r="H2295" i="1"/>
  <c r="H2294" i="1"/>
  <c r="H2293" i="1"/>
  <c r="H2292" i="1"/>
  <c r="H2291" i="1"/>
  <c r="H2290" i="1"/>
  <c r="H2289" i="1"/>
  <c r="H2288" i="1"/>
  <c r="H2287" i="1"/>
  <c r="H2286" i="1"/>
  <c r="H2285" i="1"/>
  <c r="H2284" i="1"/>
  <c r="H2283" i="1"/>
  <c r="H2282" i="1"/>
  <c r="H2281" i="1"/>
  <c r="H2280" i="1"/>
  <c r="H2279" i="1"/>
  <c r="H2278" i="1"/>
  <c r="H2277" i="1"/>
  <c r="H2276" i="1"/>
  <c r="H2275" i="1"/>
  <c r="H2274" i="1"/>
  <c r="H2273" i="1"/>
  <c r="H2272" i="1"/>
  <c r="H2271" i="1"/>
  <c r="H2270" i="1"/>
  <c r="H2269" i="1"/>
  <c r="H2268" i="1"/>
  <c r="H2267" i="1"/>
  <c r="H2266" i="1"/>
  <c r="H2265" i="1"/>
  <c r="H2264" i="1"/>
  <c r="H2263" i="1"/>
  <c r="H2262" i="1"/>
  <c r="H2261" i="1"/>
  <c r="H2260" i="1"/>
  <c r="H2259" i="1"/>
  <c r="H2258" i="1"/>
  <c r="H2257" i="1"/>
  <c r="H2256" i="1"/>
  <c r="H2255" i="1"/>
  <c r="H2254" i="1"/>
  <c r="H2253" i="1"/>
  <c r="H2252" i="1"/>
  <c r="H2251" i="1"/>
  <c r="H2250" i="1"/>
  <c r="H2249" i="1"/>
  <c r="H2248" i="1"/>
  <c r="H2247" i="1"/>
  <c r="H2246" i="1"/>
  <c r="H2245" i="1"/>
  <c r="H2244" i="1"/>
  <c r="H2243" i="1"/>
  <c r="H2242" i="1"/>
  <c r="H2241" i="1"/>
  <c r="H2240" i="1"/>
  <c r="H2239" i="1"/>
  <c r="H2238" i="1"/>
  <c r="H2237" i="1"/>
  <c r="H2236" i="1"/>
  <c r="H2235" i="1"/>
  <c r="H2234" i="1"/>
  <c r="H2233" i="1"/>
  <c r="H2232" i="1"/>
  <c r="H2231" i="1"/>
  <c r="H2230" i="1"/>
  <c r="H2229" i="1"/>
  <c r="H2228" i="1"/>
  <c r="H2227" i="1"/>
  <c r="H2226" i="1"/>
  <c r="H2225" i="1"/>
  <c r="H2224" i="1"/>
  <c r="H2223" i="1"/>
  <c r="H2222" i="1"/>
  <c r="H2221" i="1"/>
  <c r="H2220" i="1"/>
  <c r="H2219" i="1"/>
  <c r="H2218" i="1"/>
  <c r="H2217" i="1"/>
  <c r="H2216" i="1"/>
  <c r="H2215" i="1"/>
  <c r="H2214" i="1"/>
  <c r="H2213" i="1"/>
  <c r="H2212" i="1"/>
  <c r="H2211" i="1"/>
  <c r="H2210" i="1"/>
  <c r="H2209" i="1"/>
  <c r="H2208" i="1"/>
  <c r="H2207" i="1"/>
  <c r="H2206" i="1"/>
  <c r="H2205" i="1"/>
  <c r="H2204" i="1"/>
  <c r="H2203" i="1"/>
  <c r="H2202" i="1"/>
  <c r="H2201" i="1"/>
  <c r="H2200" i="1"/>
  <c r="H2199" i="1"/>
  <c r="H2198" i="1"/>
  <c r="H2197" i="1"/>
  <c r="H2196" i="1"/>
  <c r="H2195" i="1"/>
  <c r="H2194" i="1"/>
  <c r="H2193" i="1"/>
  <c r="H2192" i="1"/>
  <c r="H2191" i="1"/>
  <c r="H2190" i="1"/>
  <c r="H2189" i="1"/>
  <c r="H2188" i="1"/>
  <c r="H2187" i="1"/>
  <c r="H2186" i="1"/>
  <c r="H2185" i="1"/>
  <c r="H2184" i="1"/>
  <c r="H2183" i="1"/>
  <c r="H2182" i="1"/>
  <c r="H2181" i="1"/>
  <c r="H2180" i="1"/>
  <c r="H2179" i="1"/>
  <c r="H2178" i="1"/>
  <c r="H2177" i="1"/>
  <c r="H2176" i="1"/>
  <c r="H2175" i="1"/>
  <c r="H2174" i="1"/>
  <c r="H2173" i="1"/>
  <c r="H2172" i="1"/>
  <c r="H2171" i="1"/>
  <c r="H2170" i="1"/>
  <c r="H2169" i="1"/>
  <c r="H2168" i="1"/>
  <c r="H2167" i="1"/>
  <c r="H2166" i="1"/>
  <c r="H2165" i="1"/>
  <c r="H2164" i="1"/>
  <c r="H2163" i="1"/>
  <c r="H2162" i="1"/>
  <c r="H2161" i="1"/>
  <c r="H2160" i="1"/>
  <c r="H2159" i="1"/>
  <c r="H2158" i="1"/>
  <c r="H2157" i="1"/>
  <c r="H2156" i="1"/>
  <c r="H2155" i="1"/>
  <c r="H2154" i="1"/>
  <c r="H2153" i="1"/>
  <c r="H2152" i="1"/>
  <c r="H2151" i="1"/>
  <c r="H2150" i="1"/>
  <c r="H2149" i="1"/>
  <c r="H2148" i="1"/>
  <c r="H2147" i="1"/>
  <c r="H2146" i="1"/>
  <c r="H2145" i="1"/>
  <c r="H2144" i="1"/>
  <c r="H2143" i="1"/>
  <c r="H2142" i="1"/>
  <c r="H2141" i="1"/>
  <c r="H2140" i="1"/>
  <c r="H2139" i="1"/>
  <c r="H2138" i="1"/>
  <c r="H2137" i="1"/>
  <c r="H2136" i="1"/>
  <c r="H2135" i="1"/>
  <c r="H2134" i="1"/>
  <c r="H2133" i="1"/>
  <c r="H2132" i="1"/>
  <c r="H2131" i="1"/>
  <c r="H2130" i="1"/>
  <c r="H2129" i="1"/>
  <c r="H2128" i="1"/>
  <c r="H2127" i="1"/>
  <c r="H2126" i="1"/>
  <c r="H2125" i="1"/>
  <c r="H2124" i="1"/>
  <c r="H2123" i="1"/>
  <c r="H2122" i="1"/>
  <c r="H2121" i="1"/>
  <c r="H2120" i="1"/>
  <c r="H2119" i="1"/>
  <c r="H2118" i="1"/>
  <c r="H2117" i="1"/>
  <c r="H2116" i="1"/>
  <c r="H2115" i="1"/>
  <c r="H2114" i="1"/>
  <c r="H2113" i="1"/>
  <c r="H2112" i="1"/>
  <c r="H2111" i="1"/>
  <c r="H2110" i="1"/>
  <c r="H2109" i="1"/>
  <c r="H2108" i="1"/>
  <c r="H2107" i="1"/>
  <c r="H2106" i="1"/>
  <c r="H2105" i="1"/>
  <c r="H2104" i="1"/>
  <c r="H2103" i="1"/>
  <c r="H2102" i="1"/>
  <c r="H2101" i="1"/>
  <c r="H2100" i="1"/>
  <c r="H2099" i="1"/>
  <c r="H2098" i="1"/>
  <c r="H2097" i="1"/>
  <c r="H2096" i="1"/>
  <c r="H2095" i="1"/>
  <c r="H2094" i="1"/>
  <c r="H2093" i="1"/>
  <c r="H2092" i="1"/>
  <c r="H2091" i="1"/>
  <c r="H2090" i="1"/>
  <c r="H2089" i="1"/>
  <c r="H2088" i="1"/>
  <c r="H2087" i="1"/>
  <c r="H2086" i="1"/>
  <c r="H2085" i="1"/>
  <c r="H2084" i="1"/>
  <c r="H2083" i="1"/>
  <c r="H2082" i="1"/>
  <c r="H2081" i="1"/>
  <c r="H2080" i="1"/>
  <c r="H2079" i="1"/>
  <c r="H2078" i="1"/>
  <c r="H2077" i="1"/>
  <c r="H2076" i="1"/>
  <c r="H2075" i="1"/>
  <c r="H2074" i="1"/>
  <c r="H2073" i="1"/>
  <c r="H2072" i="1"/>
  <c r="H2071" i="1"/>
  <c r="H2070" i="1"/>
  <c r="H2069" i="1"/>
  <c r="H2068" i="1"/>
  <c r="H2067" i="1"/>
  <c r="H2066" i="1"/>
  <c r="H2065" i="1"/>
  <c r="H2064" i="1"/>
  <c r="H2063" i="1"/>
  <c r="H2062" i="1"/>
  <c r="H2061" i="1"/>
  <c r="H2060" i="1"/>
  <c r="H2059" i="1"/>
  <c r="H2058" i="1"/>
  <c r="H2057" i="1"/>
  <c r="H2056" i="1"/>
  <c r="H2055" i="1"/>
  <c r="H2054" i="1"/>
  <c r="H2053" i="1"/>
  <c r="H2052" i="1"/>
  <c r="H2051" i="1"/>
  <c r="H2050" i="1"/>
  <c r="H2049" i="1"/>
  <c r="H2048" i="1"/>
  <c r="H2047" i="1"/>
  <c r="H2046" i="1"/>
  <c r="H2045" i="1"/>
  <c r="H2044" i="1"/>
  <c r="H2043" i="1"/>
  <c r="H2042" i="1"/>
  <c r="H2041" i="1"/>
  <c r="H2040" i="1"/>
  <c r="H2039" i="1"/>
  <c r="H2038" i="1"/>
  <c r="H2037" i="1"/>
  <c r="H2036" i="1"/>
  <c r="H2035" i="1"/>
  <c r="H2034" i="1"/>
  <c r="H2033" i="1"/>
  <c r="H2032" i="1"/>
  <c r="H2031" i="1"/>
  <c r="H2030" i="1"/>
  <c r="H2029" i="1"/>
  <c r="H2028" i="1"/>
  <c r="H2027" i="1"/>
  <c r="H2026" i="1"/>
  <c r="H2025" i="1"/>
  <c r="H2024" i="1"/>
  <c r="H2023" i="1"/>
  <c r="H2022" i="1"/>
  <c r="H2021" i="1"/>
  <c r="H2020" i="1"/>
  <c r="H2019" i="1"/>
  <c r="H2018" i="1"/>
  <c r="H2017" i="1"/>
  <c r="H2016" i="1"/>
  <c r="H2015" i="1"/>
  <c r="H2014" i="1"/>
  <c r="H2013" i="1"/>
  <c r="H2012" i="1"/>
  <c r="H2011" i="1"/>
  <c r="H2010" i="1"/>
  <c r="H2009" i="1"/>
  <c r="H2008" i="1"/>
  <c r="H2007" i="1"/>
  <c r="H2006" i="1"/>
  <c r="H2005" i="1"/>
  <c r="H2004" i="1"/>
  <c r="H2003" i="1"/>
  <c r="H2002" i="1"/>
  <c r="H2001" i="1"/>
  <c r="H2000" i="1"/>
  <c r="H1999" i="1"/>
  <c r="H1998" i="1"/>
  <c r="H1997" i="1"/>
  <c r="H1996" i="1"/>
  <c r="H1995" i="1"/>
  <c r="H1994" i="1"/>
  <c r="H1993" i="1"/>
  <c r="H1992" i="1"/>
  <c r="H1991" i="1"/>
  <c r="H1990" i="1"/>
  <c r="H1989" i="1"/>
  <c r="H1988" i="1"/>
  <c r="H1987" i="1"/>
  <c r="H1986" i="1"/>
  <c r="H1985" i="1"/>
  <c r="H1984" i="1"/>
  <c r="H1983" i="1"/>
  <c r="H1982" i="1"/>
  <c r="H1981" i="1"/>
  <c r="H1980" i="1"/>
  <c r="H1979" i="1"/>
  <c r="H1978" i="1"/>
  <c r="H1977" i="1"/>
  <c r="H1976" i="1"/>
  <c r="H1975" i="1"/>
  <c r="H1974" i="1"/>
  <c r="H1973" i="1"/>
  <c r="H1972" i="1"/>
  <c r="H1971" i="1"/>
  <c r="H1970" i="1"/>
  <c r="H1969" i="1"/>
  <c r="H1968" i="1"/>
  <c r="H1967" i="1"/>
  <c r="H1966" i="1"/>
  <c r="H1965" i="1"/>
  <c r="H1964" i="1"/>
  <c r="H1963" i="1"/>
  <c r="H1962" i="1"/>
  <c r="H1961" i="1"/>
  <c r="H1960" i="1"/>
  <c r="H1959" i="1"/>
  <c r="H1958" i="1"/>
  <c r="H1957" i="1"/>
  <c r="H1956" i="1"/>
  <c r="H1955" i="1"/>
  <c r="H1954" i="1"/>
  <c r="H1953" i="1"/>
  <c r="H1952" i="1"/>
  <c r="H1951" i="1"/>
  <c r="H1950" i="1"/>
  <c r="H1949" i="1"/>
  <c r="H1948" i="1"/>
  <c r="H1947" i="1"/>
  <c r="H1946" i="1"/>
  <c r="H1945" i="1"/>
  <c r="H1944" i="1"/>
  <c r="H1943" i="1"/>
  <c r="H1942" i="1"/>
  <c r="H1941" i="1"/>
  <c r="H1940" i="1"/>
  <c r="H1939" i="1"/>
  <c r="H1938" i="1"/>
  <c r="H1937" i="1"/>
  <c r="H1936" i="1"/>
  <c r="H1935" i="1"/>
  <c r="H1934" i="1"/>
  <c r="H1933" i="1"/>
  <c r="H1932" i="1"/>
  <c r="H1931" i="1"/>
  <c r="H1930" i="1"/>
  <c r="H1929" i="1"/>
  <c r="H1928" i="1"/>
  <c r="H1927" i="1"/>
  <c r="H1926" i="1"/>
  <c r="H1925" i="1"/>
  <c r="H1924" i="1"/>
  <c r="H1923" i="1"/>
  <c r="H1922" i="1"/>
  <c r="H1921" i="1"/>
  <c r="H1920" i="1"/>
  <c r="H1919" i="1"/>
  <c r="H1918" i="1"/>
  <c r="H1917" i="1"/>
  <c r="H1916" i="1"/>
  <c r="H1915" i="1"/>
  <c r="H1914" i="1"/>
  <c r="H1913" i="1"/>
  <c r="H1912" i="1"/>
  <c r="H1911" i="1"/>
  <c r="H1910" i="1"/>
  <c r="H1909" i="1"/>
  <c r="H1908" i="1"/>
  <c r="H1907" i="1"/>
  <c r="H1906" i="1"/>
  <c r="H1905" i="1"/>
  <c r="H1904" i="1"/>
  <c r="H1903" i="1"/>
  <c r="H1902" i="1"/>
  <c r="H1901" i="1"/>
  <c r="H1900" i="1"/>
  <c r="H1899" i="1"/>
  <c r="H1898" i="1"/>
  <c r="H1897" i="1"/>
  <c r="H1896" i="1"/>
  <c r="H1895" i="1"/>
  <c r="H1894" i="1"/>
  <c r="H1893" i="1"/>
  <c r="H1892" i="1"/>
  <c r="H1891" i="1"/>
  <c r="H1890" i="1"/>
  <c r="H1889" i="1"/>
  <c r="H1888" i="1"/>
  <c r="H1887" i="1"/>
  <c r="H1886" i="1"/>
  <c r="H1885" i="1"/>
  <c r="H1884" i="1"/>
  <c r="H1883" i="1"/>
  <c r="H1882" i="1"/>
  <c r="H1881" i="1"/>
  <c r="H1880" i="1"/>
  <c r="H1876" i="1"/>
  <c r="H1875" i="1"/>
  <c r="H1874" i="1"/>
  <c r="H1873" i="1"/>
  <c r="H1872" i="1"/>
  <c r="H1871" i="1"/>
  <c r="H1870" i="1"/>
  <c r="H1869" i="1"/>
  <c r="H1868" i="1"/>
  <c r="H1867" i="1"/>
  <c r="H1866" i="1"/>
  <c r="H1865" i="1"/>
  <c r="H1864" i="1"/>
  <c r="H1863" i="1"/>
  <c r="H1861" i="1"/>
  <c r="H1860" i="1"/>
  <c r="H1859" i="1"/>
  <c r="H1858" i="1"/>
  <c r="H1857" i="1"/>
  <c r="H1855" i="1"/>
  <c r="H1854" i="1"/>
  <c r="H1853" i="1"/>
  <c r="H1852" i="1"/>
  <c r="H1851" i="1"/>
  <c r="H1850" i="1"/>
  <c r="H1849" i="1"/>
  <c r="H1848" i="1"/>
  <c r="H1847" i="1"/>
  <c r="H1846" i="1"/>
  <c r="H1845" i="1"/>
  <c r="H1844" i="1"/>
  <c r="H1840" i="1"/>
  <c r="H1839" i="1"/>
  <c r="H1838" i="1"/>
  <c r="H1837" i="1"/>
  <c r="H1836" i="1"/>
  <c r="H1835" i="1"/>
  <c r="H1834" i="1"/>
  <c r="H1833" i="1"/>
  <c r="H1832" i="1"/>
  <c r="H1831" i="1"/>
  <c r="H1830" i="1"/>
  <c r="H1829" i="1"/>
  <c r="H1828" i="1"/>
  <c r="H1827" i="1"/>
  <c r="H1826" i="1"/>
  <c r="H1825" i="1"/>
  <c r="H1824" i="1"/>
  <c r="H1823" i="1"/>
  <c r="H1822" i="1"/>
  <c r="H1821" i="1"/>
  <c r="H1820" i="1"/>
  <c r="H1819" i="1"/>
  <c r="H1818" i="1"/>
  <c r="H1817" i="1"/>
  <c r="H1816" i="1"/>
  <c r="H1815" i="1"/>
  <c r="H1814" i="1"/>
  <c r="H1813" i="1"/>
  <c r="H1812" i="1"/>
  <c r="H1811" i="1"/>
  <c r="H1810" i="1"/>
  <c r="H1809" i="1"/>
  <c r="H1808" i="1"/>
  <c r="H1807" i="1"/>
  <c r="H1806" i="1"/>
  <c r="H1805" i="1"/>
  <c r="H1804" i="1"/>
  <c r="H1803" i="1"/>
  <c r="H1802" i="1"/>
  <c r="H1801" i="1"/>
  <c r="H1800" i="1"/>
  <c r="H1799" i="1"/>
  <c r="H1798" i="1"/>
  <c r="H1797" i="1"/>
  <c r="H1796" i="1"/>
  <c r="H1795" i="1"/>
  <c r="H1794" i="1"/>
  <c r="H1793" i="1"/>
  <c r="H1792" i="1"/>
  <c r="H1791" i="1"/>
  <c r="H1790" i="1"/>
  <c r="H1789" i="1"/>
  <c r="H1788" i="1"/>
  <c r="H1787" i="1"/>
  <c r="H1786" i="1"/>
  <c r="H1785" i="1"/>
  <c r="H1784" i="1"/>
  <c r="H1783" i="1"/>
  <c r="H1782" i="1"/>
  <c r="H1781" i="1"/>
  <c r="H1777" i="1"/>
  <c r="H1776" i="1"/>
  <c r="H1775" i="1"/>
  <c r="H1774" i="1"/>
  <c r="H1773" i="1"/>
  <c r="H1772" i="1"/>
  <c r="H1771" i="1"/>
  <c r="H1770" i="1"/>
  <c r="H1769" i="1"/>
  <c r="H1768" i="1"/>
  <c r="H1767" i="1"/>
  <c r="H1766" i="1"/>
  <c r="H1765" i="1"/>
  <c r="H1764" i="1"/>
  <c r="H1763" i="1"/>
  <c r="H1762" i="1"/>
  <c r="H1761" i="1"/>
  <c r="H1760" i="1"/>
  <c r="H1759" i="1"/>
  <c r="H1758" i="1"/>
  <c r="H1757" i="1"/>
  <c r="H1756" i="1"/>
  <c r="H1755" i="1"/>
  <c r="H1754" i="1"/>
  <c r="H1753" i="1"/>
  <c r="H1752" i="1"/>
  <c r="H1751" i="1"/>
  <c r="H1750" i="1"/>
  <c r="H1749" i="1"/>
  <c r="H1748" i="1"/>
  <c r="H1747" i="1"/>
  <c r="H1746" i="1"/>
  <c r="H1745" i="1"/>
  <c r="H1744" i="1"/>
  <c r="H1743" i="1"/>
  <c r="H1742" i="1"/>
  <c r="H1741" i="1"/>
  <c r="H1740" i="1"/>
  <c r="H1739" i="1"/>
  <c r="H1738" i="1"/>
  <c r="H1737" i="1"/>
  <c r="H1736" i="1"/>
  <c r="H1735" i="1"/>
  <c r="H1734" i="1"/>
  <c r="H1733" i="1"/>
  <c r="H1729" i="1"/>
  <c r="H1728" i="1"/>
  <c r="H1727" i="1"/>
  <c r="H1726" i="1"/>
  <c r="H1725" i="1"/>
  <c r="H1724" i="1"/>
  <c r="H1723" i="1"/>
  <c r="H1722" i="1"/>
  <c r="H1721" i="1"/>
  <c r="H1720" i="1"/>
  <c r="H1719" i="1"/>
  <c r="H1718" i="1"/>
  <c r="H1717" i="1"/>
  <c r="H1716" i="1"/>
  <c r="H1715" i="1"/>
  <c r="H1714" i="1"/>
  <c r="H1713" i="1"/>
  <c r="H1712" i="1"/>
  <c r="H1711" i="1"/>
  <c r="H1710" i="1"/>
  <c r="H1709" i="1"/>
  <c r="H1708" i="1"/>
  <c r="H1707" i="1"/>
  <c r="H1706" i="1"/>
  <c r="H1705" i="1"/>
  <c r="H1704" i="1"/>
  <c r="H1703" i="1"/>
  <c r="H1702" i="1"/>
  <c r="H1701" i="1"/>
  <c r="H1700" i="1"/>
  <c r="H1699" i="1"/>
  <c r="H1698" i="1"/>
  <c r="H1697" i="1"/>
  <c r="H1696" i="1"/>
  <c r="H1695" i="1"/>
  <c r="H1694" i="1"/>
  <c r="H1693" i="1"/>
  <c r="H1692" i="1"/>
  <c r="H1691" i="1"/>
  <c r="H1690" i="1"/>
  <c r="H1689" i="1"/>
  <c r="H1688" i="1"/>
  <c r="H1687" i="1"/>
  <c r="H1686" i="1"/>
  <c r="H1685" i="1"/>
  <c r="H1684" i="1"/>
  <c r="H1683" i="1"/>
  <c r="H1682" i="1"/>
  <c r="H1681" i="1"/>
  <c r="H1680" i="1"/>
  <c r="H1679" i="1"/>
  <c r="H1678" i="1"/>
  <c r="H1677" i="1"/>
  <c r="H1676" i="1"/>
  <c r="H1675" i="1"/>
  <c r="H1674" i="1"/>
  <c r="H1673" i="1"/>
  <c r="H1672" i="1"/>
  <c r="H1671" i="1"/>
  <c r="H1670" i="1"/>
  <c r="H1666" i="1"/>
  <c r="H1665" i="1"/>
  <c r="H1664" i="1"/>
  <c r="H1662" i="1"/>
  <c r="H1661" i="1"/>
  <c r="H1660" i="1"/>
  <c r="H1659" i="1"/>
  <c r="H1658" i="1"/>
  <c r="H1657" i="1"/>
  <c r="H1656" i="1"/>
  <c r="H1655" i="1"/>
  <c r="H1654" i="1"/>
  <c r="H1653" i="1"/>
  <c r="H1652" i="1"/>
  <c r="H1651" i="1"/>
  <c r="H1650" i="1"/>
  <c r="H1649" i="1"/>
  <c r="H1648" i="1"/>
  <c r="H1647" i="1"/>
  <c r="H1646" i="1"/>
  <c r="H1645" i="1"/>
  <c r="H1644" i="1"/>
  <c r="H1643" i="1"/>
  <c r="H1642" i="1"/>
  <c r="H1641" i="1"/>
  <c r="H1640" i="1"/>
  <c r="H1639" i="1"/>
  <c r="H1638" i="1"/>
  <c r="H1637" i="1"/>
  <c r="H1636" i="1"/>
  <c r="H1635" i="1"/>
  <c r="H1634" i="1"/>
  <c r="H1633" i="1"/>
  <c r="H1632" i="1"/>
  <c r="H1631" i="1"/>
  <c r="H1630" i="1"/>
  <c r="H1629" i="1"/>
  <c r="H1628" i="1"/>
  <c r="H1627" i="1"/>
  <c r="H1626" i="1"/>
  <c r="H1625" i="1"/>
  <c r="H1624" i="1"/>
  <c r="H1623" i="1"/>
  <c r="H1622" i="1"/>
  <c r="H1621" i="1"/>
  <c r="H1620" i="1"/>
  <c r="H1619" i="1"/>
  <c r="H1618" i="1"/>
  <c r="H1617" i="1"/>
  <c r="H1616" i="1"/>
  <c r="H1615" i="1"/>
  <c r="H1614" i="1"/>
  <c r="H1613" i="1"/>
  <c r="H1612" i="1"/>
  <c r="H1611" i="1"/>
  <c r="H1610" i="1"/>
  <c r="H1609" i="1"/>
  <c r="H1608" i="1"/>
  <c r="H1607" i="1"/>
  <c r="H1606" i="1"/>
  <c r="H1605" i="1"/>
  <c r="H1604" i="1"/>
  <c r="H1603" i="1"/>
  <c r="H1602" i="1"/>
  <c r="H1601" i="1"/>
  <c r="H1600" i="1"/>
  <c r="H1599" i="1"/>
  <c r="H1598" i="1"/>
  <c r="H1597" i="1"/>
  <c r="H1596" i="1"/>
  <c r="H1595" i="1"/>
  <c r="H1594" i="1"/>
  <c r="H1593" i="1"/>
  <c r="H1592" i="1"/>
  <c r="H1591" i="1"/>
  <c r="H1590" i="1"/>
  <c r="H1589" i="1"/>
  <c r="H1588" i="1"/>
  <c r="H1587" i="1"/>
  <c r="H1586" i="1"/>
  <c r="H1585" i="1"/>
  <c r="H1584" i="1"/>
  <c r="H1583" i="1"/>
  <c r="H1582" i="1"/>
  <c r="H1581" i="1"/>
  <c r="H1580" i="1"/>
  <c r="H1579" i="1"/>
  <c r="H1578" i="1"/>
  <c r="H1577" i="1"/>
  <c r="H1576" i="1"/>
  <c r="H1575" i="1"/>
  <c r="H1574" i="1"/>
  <c r="H1573" i="1"/>
  <c r="H1572" i="1"/>
  <c r="H1571" i="1"/>
  <c r="H1570" i="1"/>
  <c r="H1569" i="1"/>
  <c r="H1568" i="1"/>
  <c r="H1567" i="1"/>
  <c r="H1566" i="1"/>
  <c r="H1565" i="1"/>
  <c r="H1564" i="1"/>
  <c r="H1563" i="1"/>
  <c r="H1562" i="1"/>
  <c r="H1561" i="1"/>
  <c r="H1560" i="1"/>
  <c r="H1559" i="1"/>
  <c r="H1558" i="1"/>
  <c r="H1557" i="1"/>
  <c r="H1556" i="1"/>
  <c r="H1555" i="1"/>
  <c r="H1554" i="1"/>
  <c r="H1553" i="1"/>
  <c r="H1552" i="1"/>
  <c r="H1551" i="1"/>
  <c r="H1550" i="1"/>
  <c r="H1549" i="1"/>
  <c r="H1548" i="1"/>
  <c r="H1547" i="1"/>
  <c r="H1546" i="1"/>
  <c r="H1545" i="1"/>
  <c r="H1544" i="1"/>
  <c r="H1543" i="1"/>
  <c r="H1542" i="1"/>
  <c r="H1541" i="1"/>
  <c r="H1540" i="1"/>
  <c r="H1539" i="1"/>
  <c r="H1538" i="1"/>
  <c r="H1537" i="1"/>
  <c r="H1536" i="1"/>
  <c r="H1535" i="1"/>
  <c r="H1534" i="1"/>
  <c r="H1533" i="1"/>
  <c r="H1532" i="1"/>
  <c r="H1531" i="1"/>
  <c r="H1530" i="1"/>
  <c r="H1529" i="1"/>
  <c r="H1528" i="1"/>
  <c r="H1527" i="1"/>
  <c r="H1526" i="1"/>
  <c r="H1525" i="1"/>
  <c r="H1524" i="1"/>
  <c r="H1523" i="1"/>
  <c r="H1522" i="1"/>
  <c r="H1521" i="1"/>
  <c r="H1520" i="1"/>
  <c r="H1519" i="1"/>
  <c r="H1518" i="1"/>
  <c r="H1517" i="1"/>
  <c r="H1516" i="1"/>
  <c r="H1515" i="1"/>
  <c r="H1514" i="1"/>
  <c r="H1513" i="1"/>
  <c r="H1512" i="1"/>
  <c r="H1511" i="1"/>
  <c r="H1510" i="1"/>
  <c r="H1509" i="1"/>
  <c r="H1508" i="1"/>
  <c r="H1507" i="1"/>
  <c r="H1506" i="1"/>
  <c r="H1505" i="1"/>
  <c r="H1504" i="1"/>
  <c r="H1503" i="1"/>
  <c r="H1502" i="1"/>
  <c r="H1501" i="1"/>
  <c r="H1500" i="1"/>
  <c r="H1499" i="1"/>
  <c r="H1498" i="1"/>
  <c r="H1497" i="1"/>
  <c r="H1496" i="1"/>
  <c r="H1495" i="1"/>
  <c r="H1494" i="1"/>
  <c r="H1493" i="1"/>
  <c r="H1492" i="1"/>
  <c r="H1491" i="1"/>
  <c r="H1490" i="1"/>
  <c r="H1489" i="1"/>
  <c r="H1488" i="1"/>
  <c r="H1487" i="1"/>
  <c r="H1486" i="1"/>
  <c r="H1485" i="1"/>
  <c r="H1484" i="1"/>
  <c r="H1483" i="1"/>
  <c r="H1482" i="1"/>
  <c r="H1481" i="1"/>
  <c r="H1480" i="1"/>
  <c r="H1479" i="1"/>
  <c r="H1478" i="1"/>
  <c r="H1477" i="1"/>
  <c r="H1476" i="1"/>
  <c r="H1475" i="1"/>
  <c r="H1474" i="1"/>
  <c r="H1473" i="1"/>
  <c r="H1472" i="1"/>
  <c r="H1471" i="1"/>
  <c r="H1470" i="1"/>
  <c r="H1469" i="1"/>
  <c r="H1468" i="1"/>
  <c r="H1467" i="1"/>
  <c r="H1466" i="1"/>
  <c r="H1465" i="1"/>
  <c r="H1464" i="1"/>
  <c r="H1463" i="1"/>
  <c r="H1462" i="1"/>
  <c r="H1461" i="1"/>
  <c r="H1460" i="1"/>
  <c r="H1459" i="1"/>
  <c r="H1458" i="1"/>
  <c r="H1457" i="1"/>
  <c r="H1456" i="1"/>
  <c r="H1455" i="1"/>
  <c r="H1454" i="1"/>
  <c r="H1453" i="1"/>
  <c r="H1452" i="1"/>
  <c r="H1451" i="1"/>
  <c r="H1450" i="1"/>
  <c r="H1449" i="1"/>
  <c r="H1448" i="1"/>
  <c r="H1447" i="1"/>
  <c r="H1446" i="1"/>
  <c r="H1445" i="1"/>
  <c r="H1444" i="1"/>
  <c r="H1443" i="1"/>
  <c r="H1442" i="1"/>
  <c r="H1441" i="1"/>
  <c r="H1440" i="1"/>
  <c r="H1439" i="1"/>
  <c r="H1438" i="1"/>
  <c r="H1437" i="1"/>
  <c r="H1436" i="1"/>
  <c r="H1435" i="1"/>
  <c r="H1434" i="1"/>
  <c r="H1433" i="1"/>
  <c r="H1432" i="1"/>
  <c r="H1431" i="1"/>
  <c r="H1430" i="1"/>
  <c r="H1429" i="1"/>
  <c r="H1428" i="1"/>
  <c r="H1427" i="1"/>
  <c r="H1426" i="1"/>
  <c r="H1425" i="1"/>
  <c r="H1424" i="1"/>
  <c r="H1423" i="1"/>
  <c r="H1422" i="1"/>
  <c r="H1421" i="1"/>
  <c r="H1420" i="1"/>
  <c r="H1419" i="1"/>
  <c r="H1418" i="1"/>
  <c r="H1417" i="1"/>
  <c r="H1416" i="1"/>
  <c r="H1415" i="1"/>
  <c r="H1414" i="1"/>
  <c r="H1413" i="1"/>
  <c r="H1412" i="1"/>
  <c r="H1411" i="1"/>
  <c r="H1410" i="1"/>
  <c r="H1409" i="1"/>
  <c r="H1408" i="1"/>
  <c r="H1407" i="1"/>
  <c r="H1406" i="1"/>
  <c r="H1405" i="1"/>
  <c r="H1404" i="1"/>
  <c r="H1403" i="1"/>
  <c r="H1402" i="1"/>
  <c r="H1401" i="1"/>
  <c r="H1400" i="1"/>
  <c r="H1399" i="1"/>
  <c r="H1398" i="1"/>
  <c r="H1397" i="1"/>
  <c r="H1396" i="1"/>
  <c r="H1395" i="1"/>
  <c r="H1394" i="1"/>
  <c r="H1393" i="1"/>
  <c r="H1392" i="1"/>
  <c r="H1391" i="1"/>
  <c r="H1390" i="1"/>
  <c r="H1389" i="1"/>
  <c r="H1388" i="1"/>
  <c r="H1387" i="1"/>
  <c r="H1386" i="1"/>
  <c r="H1385" i="1"/>
  <c r="H1384" i="1"/>
  <c r="H1383" i="1"/>
  <c r="H1382" i="1"/>
  <c r="H1381" i="1"/>
  <c r="H1380" i="1"/>
  <c r="H1379" i="1"/>
  <c r="H1378" i="1"/>
  <c r="H1377" i="1"/>
  <c r="H1376" i="1"/>
  <c r="H1375" i="1"/>
  <c r="H1374" i="1"/>
  <c r="H1373" i="1"/>
  <c r="H1372" i="1"/>
  <c r="H1371" i="1"/>
  <c r="H1370" i="1"/>
  <c r="H1369" i="1"/>
  <c r="H1368" i="1"/>
  <c r="H1367" i="1"/>
  <c r="H1366" i="1"/>
  <c r="H1365" i="1"/>
  <c r="H1364" i="1"/>
  <c r="H1363" i="1"/>
  <c r="H1362" i="1"/>
  <c r="H1361" i="1"/>
  <c r="H1360" i="1"/>
  <c r="H1359" i="1"/>
  <c r="H1358" i="1"/>
  <c r="H1357" i="1"/>
  <c r="H1356" i="1"/>
  <c r="H1355" i="1"/>
  <c r="H1354" i="1"/>
  <c r="H1353" i="1"/>
  <c r="H1352" i="1"/>
  <c r="H1351" i="1"/>
  <c r="H1350" i="1"/>
  <c r="H1349" i="1"/>
  <c r="H1348" i="1"/>
  <c r="H1347" i="1"/>
  <c r="H1346" i="1"/>
  <c r="H1345" i="1"/>
  <c r="H1344" i="1"/>
  <c r="H1343" i="1"/>
  <c r="H1342" i="1"/>
  <c r="H1341" i="1"/>
  <c r="H1340" i="1"/>
  <c r="H1339" i="1"/>
  <c r="H1338" i="1"/>
  <c r="H1337" i="1"/>
  <c r="H1336" i="1"/>
  <c r="H1335" i="1"/>
  <c r="H1334" i="1"/>
  <c r="H1333" i="1"/>
  <c r="H1332" i="1"/>
  <c r="H1331" i="1"/>
  <c r="H1330" i="1"/>
  <c r="H1329" i="1"/>
  <c r="H1328" i="1"/>
  <c r="H1327" i="1"/>
  <c r="H1326" i="1"/>
  <c r="H1325" i="1"/>
  <c r="H1324" i="1"/>
  <c r="H1323" i="1"/>
  <c r="H1322" i="1"/>
  <c r="H1321" i="1"/>
  <c r="H1320" i="1"/>
  <c r="H1319" i="1"/>
  <c r="H1318" i="1"/>
  <c r="H1317" i="1"/>
  <c r="H1316" i="1"/>
  <c r="H1315" i="1"/>
  <c r="H1314" i="1"/>
  <c r="H1313" i="1"/>
  <c r="H1312" i="1"/>
  <c r="H1311" i="1"/>
  <c r="H1310" i="1"/>
  <c r="H1309" i="1"/>
  <c r="H1308" i="1"/>
  <c r="H1307" i="1"/>
  <c r="H1306" i="1"/>
  <c r="H1305" i="1"/>
  <c r="H1304" i="1"/>
  <c r="H1303" i="1"/>
  <c r="H1302" i="1"/>
  <c r="H1301" i="1"/>
  <c r="H1300" i="1"/>
  <c r="H1299" i="1"/>
  <c r="H1298" i="1"/>
  <c r="H1297" i="1"/>
  <c r="H1296" i="1"/>
  <c r="H1295" i="1"/>
  <c r="H1294" i="1"/>
  <c r="H1293" i="1"/>
  <c r="H1292" i="1"/>
  <c r="H1291" i="1"/>
  <c r="H1290" i="1"/>
  <c r="H1289" i="1"/>
  <c r="H1288" i="1"/>
  <c r="H1287" i="1"/>
  <c r="H1286" i="1"/>
  <c r="H1285" i="1"/>
  <c r="H1284" i="1"/>
  <c r="H1283" i="1"/>
  <c r="H1282" i="1"/>
  <c r="H1281" i="1"/>
  <c r="H1280" i="1"/>
  <c r="H1279" i="1"/>
  <c r="H1278" i="1"/>
  <c r="H1277" i="1"/>
  <c r="H1276" i="1"/>
  <c r="H1275" i="1"/>
  <c r="H1274" i="1"/>
  <c r="H1273" i="1"/>
  <c r="H1272" i="1"/>
  <c r="H1271" i="1"/>
  <c r="H1270" i="1"/>
  <c r="H1269" i="1"/>
  <c r="H1268" i="1"/>
  <c r="H1267" i="1"/>
  <c r="H1266" i="1"/>
  <c r="H1265" i="1"/>
  <c r="H1264" i="1"/>
  <c r="H1263" i="1"/>
  <c r="H1262" i="1"/>
  <c r="H1261" i="1"/>
  <c r="H1260" i="1"/>
  <c r="H1259" i="1"/>
  <c r="H1258" i="1"/>
  <c r="H1257" i="1"/>
  <c r="H1256" i="1"/>
  <c r="H1255" i="1"/>
  <c r="H1254" i="1"/>
  <c r="H1253" i="1"/>
  <c r="H1252" i="1"/>
  <c r="H1251" i="1"/>
  <c r="H1250" i="1"/>
  <c r="H1249" i="1"/>
  <c r="H1248" i="1"/>
  <c r="H1247" i="1"/>
  <c r="H1246" i="1"/>
  <c r="H1245" i="1"/>
  <c r="H1244" i="1"/>
  <c r="H1243" i="1"/>
  <c r="H1242" i="1"/>
  <c r="H1241" i="1"/>
  <c r="H1240" i="1"/>
  <c r="H1239" i="1"/>
  <c r="H1238" i="1"/>
  <c r="H1237" i="1"/>
  <c r="H1236" i="1"/>
  <c r="H1235" i="1"/>
  <c r="H1234" i="1"/>
  <c r="H1233" i="1"/>
  <c r="H1232" i="1"/>
  <c r="H1231" i="1"/>
  <c r="H1230" i="1"/>
  <c r="H1229" i="1"/>
  <c r="H1228" i="1"/>
  <c r="H1227" i="1"/>
  <c r="H1226" i="1"/>
  <c r="H1225" i="1"/>
  <c r="H1224" i="1"/>
  <c r="H1223" i="1"/>
  <c r="H1222" i="1"/>
  <c r="H1221" i="1"/>
  <c r="H1220" i="1"/>
  <c r="H1219" i="1"/>
  <c r="H1218" i="1"/>
  <c r="H1217" i="1"/>
  <c r="H1216" i="1"/>
  <c r="H1215" i="1"/>
  <c r="H1214" i="1"/>
  <c r="H1213" i="1"/>
  <c r="H1212" i="1"/>
  <c r="H1211" i="1"/>
  <c r="H1210" i="1"/>
  <c r="H1209" i="1"/>
  <c r="H1208" i="1"/>
  <c r="H1207" i="1"/>
  <c r="H1206" i="1"/>
  <c r="H1205" i="1"/>
  <c r="H1204" i="1"/>
  <c r="H1203" i="1"/>
  <c r="H1202" i="1"/>
  <c r="H1201" i="1"/>
  <c r="H1200" i="1"/>
  <c r="H1199" i="1"/>
  <c r="H1198" i="1"/>
  <c r="H1197" i="1"/>
  <c r="H1196" i="1"/>
  <c r="H1195" i="1"/>
  <c r="H1194" i="1"/>
  <c r="H1193" i="1"/>
  <c r="H1192" i="1"/>
  <c r="H1191" i="1"/>
  <c r="H1190" i="1"/>
  <c r="H1189" i="1"/>
  <c r="H1188" i="1"/>
  <c r="H1187" i="1"/>
  <c r="H1186" i="1"/>
  <c r="H1185" i="1"/>
  <c r="H1184" i="1"/>
  <c r="H1183" i="1"/>
  <c r="H1182" i="1"/>
  <c r="H1181" i="1"/>
  <c r="H1180" i="1"/>
  <c r="H1179" i="1"/>
  <c r="H1178" i="1"/>
  <c r="H1177" i="1"/>
  <c r="H1176" i="1"/>
  <c r="H1175" i="1"/>
  <c r="H1174" i="1"/>
  <c r="H1173" i="1"/>
  <c r="H1172" i="1"/>
  <c r="H1171" i="1"/>
  <c r="H1170" i="1"/>
  <c r="H1169" i="1"/>
  <c r="H1168" i="1"/>
  <c r="H1167" i="1"/>
  <c r="H1166" i="1"/>
  <c r="H1165" i="1"/>
  <c r="H1164" i="1"/>
  <c r="H1163" i="1"/>
  <c r="H1162" i="1"/>
  <c r="H1161" i="1"/>
  <c r="H1160" i="1"/>
  <c r="H1159" i="1"/>
  <c r="H1158" i="1"/>
  <c r="H1157" i="1"/>
  <c r="H1156" i="1"/>
  <c r="H1155" i="1"/>
  <c r="H1154" i="1"/>
  <c r="H1153" i="1"/>
  <c r="H1152" i="1"/>
  <c r="H1151" i="1"/>
  <c r="H1150" i="1"/>
  <c r="H1149" i="1"/>
  <c r="H1148" i="1"/>
  <c r="H1147" i="1"/>
  <c r="H1146" i="1"/>
  <c r="H1145" i="1"/>
  <c r="H1144" i="1"/>
  <c r="H1143" i="1"/>
  <c r="H1142" i="1"/>
  <c r="H1141" i="1"/>
  <c r="H1140" i="1"/>
  <c r="H1139" i="1"/>
  <c r="H1138" i="1"/>
  <c r="H1137" i="1"/>
  <c r="H1136" i="1"/>
  <c r="H1135" i="1"/>
  <c r="H1134" i="1"/>
  <c r="H1133" i="1"/>
  <c r="H1132" i="1"/>
  <c r="H1131" i="1"/>
  <c r="H1130" i="1"/>
  <c r="H1129" i="1"/>
  <c r="H1128" i="1"/>
  <c r="H1127" i="1"/>
  <c r="H1126" i="1"/>
  <c r="H1125" i="1"/>
  <c r="H1124" i="1"/>
  <c r="H1123" i="1"/>
  <c r="H1122" i="1"/>
  <c r="H1121" i="1"/>
  <c r="H1120" i="1"/>
  <c r="H1119" i="1"/>
  <c r="H1118" i="1"/>
  <c r="H1117" i="1"/>
  <c r="H1116" i="1"/>
  <c r="H1115" i="1"/>
  <c r="H1114" i="1"/>
  <c r="H1113" i="1"/>
  <c r="H1112" i="1"/>
  <c r="H1111" i="1"/>
  <c r="H1110" i="1"/>
  <c r="H1109" i="1"/>
  <c r="H1108" i="1"/>
  <c r="H1107" i="1"/>
  <c r="H1106" i="1"/>
  <c r="H1105" i="1"/>
  <c r="H1104" i="1"/>
  <c r="H1103" i="1"/>
  <c r="H1102" i="1"/>
  <c r="H1101" i="1"/>
  <c r="H1100" i="1"/>
  <c r="H1099" i="1"/>
  <c r="H1098" i="1"/>
  <c r="H1097" i="1"/>
  <c r="H1096" i="1"/>
  <c r="H1095" i="1"/>
  <c r="H1094" i="1"/>
  <c r="H1093" i="1"/>
  <c r="H1092" i="1"/>
  <c r="H1091" i="1"/>
  <c r="H1090" i="1"/>
  <c r="H1089" i="1"/>
  <c r="H1088" i="1"/>
  <c r="H1087" i="1"/>
  <c r="H1086" i="1"/>
  <c r="H1085" i="1"/>
  <c r="H1084" i="1"/>
  <c r="H1083" i="1"/>
  <c r="H1082" i="1"/>
  <c r="H1081" i="1"/>
  <c r="H1080" i="1"/>
  <c r="H1079" i="1"/>
  <c r="H1078" i="1"/>
  <c r="H1077" i="1"/>
  <c r="H1076" i="1"/>
  <c r="H1075" i="1"/>
  <c r="H1074" i="1"/>
  <c r="H1073" i="1"/>
  <c r="H1072" i="1"/>
  <c r="H1071" i="1"/>
  <c r="H1070" i="1"/>
  <c r="H1069" i="1"/>
  <c r="H1068" i="1"/>
  <c r="H1067" i="1"/>
  <c r="H1066" i="1"/>
  <c r="H1065" i="1"/>
  <c r="H1064" i="1"/>
  <c r="H1063" i="1"/>
  <c r="H1062" i="1"/>
  <c r="H1061" i="1"/>
  <c r="H1060" i="1"/>
  <c r="H1059" i="1"/>
  <c r="H1058" i="1"/>
  <c r="H1057" i="1"/>
  <c r="H1056" i="1"/>
  <c r="H1055" i="1"/>
  <c r="H1054" i="1"/>
  <c r="H1053" i="1"/>
  <c r="H1052" i="1"/>
  <c r="H1051" i="1"/>
  <c r="H1050" i="1"/>
  <c r="H1049" i="1"/>
  <c r="H1048" i="1"/>
  <c r="H1047" i="1"/>
  <c r="H1046" i="1"/>
  <c r="H1045" i="1"/>
  <c r="H1044" i="1"/>
  <c r="H1043" i="1"/>
  <c r="H1042" i="1"/>
  <c r="H1041" i="1"/>
  <c r="H1040" i="1"/>
  <c r="H1039" i="1"/>
  <c r="H1038" i="1"/>
  <c r="H1037" i="1"/>
  <c r="H1036" i="1"/>
  <c r="H1035" i="1"/>
  <c r="H1034" i="1"/>
  <c r="H1033" i="1"/>
  <c r="H1032" i="1"/>
  <c r="H1031" i="1"/>
  <c r="H1030" i="1"/>
  <c r="H1029" i="1"/>
  <c r="H1028" i="1"/>
  <c r="H1027" i="1"/>
  <c r="H1026" i="1"/>
  <c r="H1025" i="1"/>
  <c r="H1024" i="1"/>
  <c r="H1023" i="1"/>
  <c r="H1022" i="1"/>
  <c r="H1021" i="1"/>
  <c r="H1020" i="1"/>
  <c r="H1019" i="1"/>
  <c r="H1018" i="1"/>
  <c r="H1017" i="1"/>
  <c r="H1016" i="1"/>
  <c r="H1015" i="1"/>
  <c r="H1014" i="1"/>
  <c r="H1013" i="1"/>
  <c r="H1012" i="1"/>
  <c r="H1011" i="1"/>
  <c r="H1010" i="1"/>
  <c r="H1009" i="1"/>
  <c r="H1008" i="1"/>
  <c r="H1007" i="1"/>
  <c r="H1006" i="1"/>
  <c r="H1005" i="1"/>
  <c r="H1004" i="1"/>
  <c r="H1003" i="1"/>
  <c r="H1002" i="1"/>
  <c r="H1001" i="1"/>
  <c r="H1000" i="1"/>
  <c r="H999" i="1"/>
  <c r="H998" i="1"/>
  <c r="H997" i="1"/>
  <c r="H996" i="1"/>
  <c r="H995" i="1"/>
  <c r="H994" i="1"/>
  <c r="H993" i="1"/>
  <c r="H992" i="1"/>
  <c r="H991" i="1"/>
  <c r="H990" i="1"/>
  <c r="H989" i="1"/>
  <c r="H988" i="1"/>
  <c r="H987" i="1"/>
  <c r="H986" i="1"/>
  <c r="H985" i="1"/>
  <c r="H984" i="1"/>
  <c r="H983" i="1"/>
  <c r="H982" i="1"/>
  <c r="H981" i="1"/>
  <c r="H980" i="1"/>
  <c r="H979" i="1"/>
  <c r="H978" i="1"/>
  <c r="H977" i="1"/>
  <c r="H976" i="1"/>
  <c r="H975" i="1"/>
  <c r="H974" i="1"/>
  <c r="H973" i="1"/>
  <c r="H972" i="1"/>
  <c r="H971" i="1"/>
  <c r="H970" i="1"/>
  <c r="H969" i="1"/>
  <c r="H968" i="1"/>
  <c r="H967" i="1"/>
  <c r="H966" i="1"/>
  <c r="H965" i="1"/>
  <c r="H964" i="1"/>
  <c r="H963" i="1"/>
  <c r="H962" i="1"/>
  <c r="H961" i="1"/>
  <c r="H960" i="1"/>
  <c r="H959" i="1"/>
  <c r="H958" i="1"/>
  <c r="H957" i="1"/>
  <c r="H956" i="1"/>
  <c r="H955" i="1"/>
  <c r="H954" i="1"/>
  <c r="H953" i="1"/>
  <c r="H952" i="1"/>
  <c r="H951" i="1"/>
  <c r="H950" i="1"/>
  <c r="H949" i="1"/>
  <c r="H948" i="1"/>
  <c r="H947" i="1"/>
  <c r="H946" i="1"/>
  <c r="H945" i="1"/>
  <c r="H944" i="1"/>
  <c r="H943" i="1"/>
  <c r="H942" i="1"/>
  <c r="H941" i="1"/>
  <c r="H940" i="1"/>
  <c r="H939" i="1"/>
  <c r="H938" i="1"/>
  <c r="H937" i="1"/>
  <c r="H936" i="1"/>
  <c r="H935" i="1"/>
  <c r="H934" i="1"/>
  <c r="H933" i="1"/>
  <c r="H932" i="1"/>
  <c r="H931" i="1"/>
  <c r="H930" i="1"/>
  <c r="H929" i="1"/>
  <c r="H928" i="1"/>
  <c r="H927" i="1"/>
  <c r="H926" i="1"/>
  <c r="H925" i="1"/>
  <c r="H924" i="1"/>
  <c r="H923" i="1"/>
  <c r="H922" i="1"/>
  <c r="H921" i="1"/>
  <c r="H920" i="1"/>
  <c r="H919" i="1"/>
  <c r="H918" i="1"/>
  <c r="H917" i="1"/>
  <c r="H916" i="1"/>
  <c r="H915" i="1"/>
  <c r="H914" i="1"/>
  <c r="H913" i="1"/>
  <c r="H912" i="1"/>
  <c r="H911" i="1"/>
  <c r="H910" i="1"/>
  <c r="H909" i="1"/>
  <c r="H908" i="1"/>
  <c r="H907" i="1"/>
  <c r="H906" i="1"/>
  <c r="H905" i="1"/>
  <c r="H904" i="1"/>
  <c r="H903" i="1"/>
  <c r="H902" i="1"/>
  <c r="H901" i="1"/>
  <c r="H900" i="1"/>
  <c r="H899" i="1"/>
  <c r="H898" i="1"/>
  <c r="H897" i="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6" i="1"/>
  <c r="H795" i="1"/>
  <c r="H794" i="1"/>
  <c r="H793" i="1"/>
  <c r="H792" i="1"/>
  <c r="H791" i="1"/>
  <c r="H790" i="1"/>
  <c r="H789" i="1"/>
  <c r="H788" i="1"/>
  <c r="H787" i="1"/>
  <c r="H786" i="1"/>
  <c r="H785" i="1"/>
  <c r="H784" i="1"/>
  <c r="H783" i="1"/>
  <c r="H782" i="1"/>
  <c r="H781" i="1"/>
  <c r="H780" i="1"/>
  <c r="H779" i="1"/>
  <c r="H778" i="1"/>
  <c r="H777" i="1"/>
  <c r="H776" i="1"/>
  <c r="H775" i="1"/>
  <c r="H774" i="1"/>
  <c r="H773" i="1"/>
  <c r="H769" i="1"/>
  <c r="H768" i="1"/>
  <c r="H767" i="1"/>
  <c r="H766" i="1"/>
  <c r="H765" i="1"/>
  <c r="H764" i="1"/>
  <c r="H763" i="1"/>
  <c r="H762" i="1"/>
  <c r="H761" i="1"/>
  <c r="H760" i="1"/>
  <c r="H759" i="1"/>
  <c r="H758" i="1"/>
  <c r="H757" i="1"/>
  <c r="H756" i="1"/>
  <c r="H755" i="1"/>
  <c r="H754" i="1"/>
  <c r="H753" i="1"/>
  <c r="H752" i="1"/>
  <c r="H751" i="1"/>
  <c r="H750" i="1"/>
  <c r="H749" i="1"/>
  <c r="H748" i="1"/>
  <c r="H747" i="1"/>
  <c r="H746" i="1"/>
  <c r="H739" i="1"/>
  <c r="H738" i="1"/>
  <c r="H737" i="1"/>
  <c r="H736" i="1"/>
  <c r="H735" i="1"/>
  <c r="H734" i="1"/>
  <c r="H733" i="1"/>
  <c r="H732" i="1"/>
  <c r="H730" i="1"/>
  <c r="H729" i="1"/>
  <c r="H728" i="1"/>
  <c r="H727" i="1"/>
  <c r="H726" i="1"/>
  <c r="H725" i="1"/>
  <c r="H724" i="1"/>
  <c r="H723" i="1"/>
  <c r="H722" i="1"/>
  <c r="H721" i="1"/>
  <c r="H720" i="1"/>
  <c r="H719" i="1"/>
  <c r="H718" i="1"/>
  <c r="H717" i="1"/>
  <c r="H716" i="1"/>
  <c r="H715" i="1"/>
  <c r="H713" i="1"/>
  <c r="H712" i="1"/>
  <c r="H711" i="1"/>
  <c r="H710" i="1"/>
  <c r="H709" i="1"/>
  <c r="H708" i="1"/>
  <c r="H707" i="1"/>
  <c r="H706" i="1"/>
  <c r="H705" i="1"/>
  <c r="H704" i="1"/>
  <c r="H703" i="1"/>
  <c r="H702" i="1"/>
  <c r="H701" i="1"/>
  <c r="H699" i="1"/>
  <c r="H698" i="1"/>
  <c r="H697" i="1"/>
  <c r="H696" i="1"/>
  <c r="H695" i="1"/>
  <c r="H694" i="1"/>
  <c r="H692" i="1"/>
  <c r="H691" i="1"/>
  <c r="H690" i="1"/>
  <c r="H689" i="1"/>
  <c r="H687" i="1"/>
  <c r="H686" i="1"/>
  <c r="H685" i="1"/>
  <c r="H684" i="1"/>
  <c r="H683" i="1"/>
  <c r="H682" i="1"/>
  <c r="H681" i="1"/>
  <c r="H680" i="1"/>
  <c r="H678" i="1"/>
  <c r="H677" i="1"/>
  <c r="H676" i="1"/>
  <c r="H675" i="1"/>
  <c r="H674" i="1"/>
  <c r="H673" i="1"/>
  <c r="H672" i="1"/>
  <c r="H671" i="1"/>
  <c r="H669" i="1"/>
  <c r="H668" i="1"/>
  <c r="H667" i="1"/>
  <c r="H666" i="1"/>
  <c r="H665" i="1"/>
  <c r="H663" i="1"/>
  <c r="H662" i="1"/>
  <c r="H661" i="1"/>
  <c r="H660" i="1"/>
  <c r="H659" i="1"/>
  <c r="H658" i="1"/>
  <c r="H657" i="1"/>
  <c r="H656" i="1"/>
  <c r="H655" i="1"/>
  <c r="H653" i="1"/>
  <c r="H652" i="1"/>
  <c r="H651" i="1"/>
  <c r="H650" i="1"/>
  <c r="H649" i="1"/>
  <c r="H648" i="1"/>
  <c r="H647" i="1"/>
  <c r="H646" i="1"/>
  <c r="H645" i="1"/>
  <c r="H644" i="1"/>
  <c r="H643" i="1"/>
  <c r="H641" i="1"/>
  <c r="H640" i="1"/>
  <c r="H639" i="1"/>
  <c r="H638" i="1"/>
  <c r="H637" i="1"/>
  <c r="H636" i="1"/>
  <c r="H635" i="1"/>
  <c r="H630" i="1"/>
  <c r="H629" i="1"/>
  <c r="H628" i="1"/>
  <c r="H627" i="1"/>
  <c r="H626" i="1"/>
  <c r="H625" i="1"/>
  <c r="H624" i="1"/>
  <c r="H623" i="1"/>
  <c r="H621" i="1"/>
  <c r="H620" i="1"/>
  <c r="H619" i="1"/>
  <c r="H618" i="1"/>
  <c r="H617" i="1"/>
  <c r="H616" i="1"/>
  <c r="H615" i="1"/>
  <c r="H614" i="1"/>
  <c r="H613" i="1"/>
  <c r="H612" i="1"/>
  <c r="H611" i="1"/>
  <c r="H610" i="1"/>
  <c r="H609" i="1"/>
  <c r="H608" i="1"/>
  <c r="H607" i="1"/>
  <c r="H606" i="1"/>
  <c r="H604" i="1"/>
  <c r="H603" i="1"/>
  <c r="H602" i="1"/>
  <c r="H601" i="1"/>
  <c r="H600" i="1"/>
  <c r="H599" i="1"/>
  <c r="H598" i="1"/>
  <c r="H597" i="1"/>
  <c r="H596" i="1"/>
  <c r="H595" i="1"/>
  <c r="H594" i="1"/>
  <c r="H593" i="1"/>
  <c r="H592" i="1"/>
  <c r="H590" i="1"/>
  <c r="H589" i="1"/>
  <c r="H588" i="1"/>
  <c r="H587" i="1"/>
  <c r="H586" i="1"/>
  <c r="H585" i="1"/>
  <c r="H582" i="1"/>
  <c r="H581" i="1"/>
  <c r="H580" i="1"/>
  <c r="H579" i="1"/>
  <c r="H577" i="1"/>
  <c r="H576" i="1"/>
  <c r="H575" i="1"/>
  <c r="H574" i="1"/>
  <c r="H573" i="1"/>
  <c r="H572" i="1"/>
  <c r="H571" i="1"/>
  <c r="H570" i="1"/>
  <c r="H568" i="1"/>
  <c r="H567" i="1"/>
  <c r="H566" i="1"/>
  <c r="H565" i="1"/>
  <c r="H564" i="1"/>
  <c r="H563" i="1"/>
  <c r="H562" i="1"/>
  <c r="H561" i="1"/>
  <c r="H559" i="1"/>
  <c r="H558" i="1"/>
  <c r="H557" i="1"/>
  <c r="H556" i="1"/>
  <c r="H555" i="1"/>
  <c r="H553" i="1"/>
  <c r="H552" i="1"/>
  <c r="H551" i="1"/>
  <c r="H550" i="1"/>
  <c r="H549" i="1"/>
  <c r="H548" i="1"/>
  <c r="H547" i="1"/>
  <c r="H546" i="1"/>
  <c r="H545" i="1"/>
  <c r="H543" i="1"/>
  <c r="H542" i="1"/>
  <c r="H541" i="1"/>
  <c r="H540" i="1"/>
  <c r="H539" i="1"/>
  <c r="H538" i="1"/>
  <c r="H537" i="1"/>
  <c r="H536" i="1"/>
  <c r="H535" i="1"/>
  <c r="H534" i="1"/>
  <c r="H533" i="1"/>
  <c r="H531" i="1"/>
  <c r="H530" i="1"/>
  <c r="H529" i="1"/>
  <c r="H528" i="1"/>
  <c r="H527" i="1"/>
  <c r="H526" i="1"/>
  <c r="H525" i="1"/>
  <c r="H520" i="1"/>
  <c r="H515" i="1"/>
  <c r="H513" i="1"/>
  <c r="H512" i="1"/>
  <c r="H511" i="1"/>
  <c r="H509" i="1"/>
  <c r="H508" i="1"/>
  <c r="H507" i="1"/>
  <c r="H503" i="1"/>
  <c r="H502" i="1"/>
  <c r="H500" i="1"/>
  <c r="H499" i="1"/>
  <c r="H497" i="1"/>
  <c r="H496" i="1"/>
  <c r="H494" i="1"/>
  <c r="H493" i="1"/>
  <c r="H489" i="1"/>
  <c r="H488" i="1"/>
  <c r="H487" i="1"/>
  <c r="H486" i="1"/>
  <c r="H484" i="1"/>
  <c r="H483" i="1"/>
  <c r="H481" i="1"/>
  <c r="H480" i="1"/>
  <c r="H478" i="1"/>
  <c r="H477" i="1"/>
  <c r="H476" i="1"/>
  <c r="H475" i="1"/>
  <c r="H473" i="1"/>
  <c r="H472" i="1"/>
  <c r="H471" i="1"/>
  <c r="H470" i="1"/>
  <c r="H469" i="1"/>
  <c r="H468" i="1"/>
  <c r="H467" i="1"/>
  <c r="H466" i="1"/>
  <c r="H462" i="1"/>
  <c r="H459" i="1"/>
  <c r="H458" i="1"/>
  <c r="H457" i="1"/>
  <c r="H456" i="1"/>
  <c r="H454" i="1"/>
  <c r="H453" i="1"/>
  <c r="H452" i="1"/>
  <c r="H451" i="1"/>
  <c r="H450" i="1"/>
  <c r="H449" i="1"/>
  <c r="H448" i="1"/>
  <c r="H447" i="1"/>
  <c r="H443" i="1"/>
  <c r="H442" i="1"/>
  <c r="H441" i="1"/>
  <c r="H439" i="1"/>
  <c r="H438" i="1"/>
  <c r="H437" i="1"/>
  <c r="H432" i="1"/>
  <c r="H431" i="1"/>
  <c r="H430" i="1"/>
  <c r="H429" i="1"/>
  <c r="H427" i="1"/>
  <c r="H426" i="1"/>
  <c r="H425" i="1"/>
  <c r="H424" i="1"/>
  <c r="H422" i="1"/>
  <c r="H421" i="1"/>
  <c r="H415" i="1"/>
  <c r="H414" i="1"/>
  <c r="H413" i="1"/>
  <c r="H412" i="1"/>
  <c r="H411" i="1"/>
  <c r="H410" i="1"/>
  <c r="H409" i="1"/>
  <c r="H408" i="1"/>
  <c r="H407" i="1"/>
  <c r="H406" i="1"/>
  <c r="H404" i="1"/>
  <c r="H403" i="1"/>
  <c r="H402" i="1"/>
  <c r="H401" i="1"/>
  <c r="H400" i="1"/>
  <c r="H399" i="1"/>
  <c r="H398" i="1"/>
  <c r="H397" i="1"/>
  <c r="H396" i="1"/>
  <c r="H394" i="1"/>
  <c r="H393" i="1"/>
  <c r="H392" i="1"/>
  <c r="H391" i="1"/>
  <c r="H390" i="1"/>
  <c r="H389" i="1"/>
  <c r="H388" i="1"/>
  <c r="H387" i="1"/>
  <c r="H386" i="1"/>
  <c r="H384" i="1"/>
  <c r="H382" i="1"/>
  <c r="H381" i="1"/>
  <c r="H380" i="1"/>
  <c r="H379" i="1"/>
  <c r="H378" i="1"/>
  <c r="H377" i="1"/>
  <c r="H376" i="1"/>
  <c r="H375" i="1"/>
  <c r="H374" i="1"/>
  <c r="H372" i="1"/>
  <c r="H371" i="1"/>
  <c r="H370" i="1"/>
  <c r="H369" i="1"/>
  <c r="H368" i="1"/>
  <c r="H367" i="1"/>
  <c r="H366" i="1"/>
  <c r="H365" i="1"/>
  <c r="H364" i="1"/>
  <c r="H362" i="1"/>
  <c r="H361" i="1"/>
  <c r="H360" i="1"/>
  <c r="H359" i="1"/>
  <c r="H358" i="1"/>
  <c r="H357" i="1"/>
  <c r="H356" i="1"/>
  <c r="H355" i="1"/>
  <c r="H354" i="1"/>
  <c r="H353" i="1"/>
  <c r="H352" i="1"/>
  <c r="H351" i="1"/>
  <c r="H350" i="1"/>
  <c r="H349" i="1"/>
  <c r="H348" i="1"/>
  <c r="H347" i="1"/>
  <c r="H346" i="1"/>
  <c r="H345" i="1"/>
  <c r="H343" i="1"/>
  <c r="H342" i="1"/>
  <c r="H341" i="1"/>
  <c r="H340" i="1"/>
  <c r="H339" i="1"/>
  <c r="H337" i="1"/>
  <c r="H336" i="1"/>
  <c r="H335" i="1"/>
  <c r="H333" i="1"/>
  <c r="H332" i="1"/>
  <c r="H331" i="1"/>
  <c r="H330" i="1"/>
  <c r="H329" i="1"/>
  <c r="H328" i="1"/>
  <c r="H327" i="1"/>
  <c r="H325" i="1"/>
  <c r="H324" i="1"/>
  <c r="H320" i="1"/>
  <c r="H319" i="1"/>
  <c r="H318" i="1"/>
  <c r="H317" i="1"/>
  <c r="H314" i="1"/>
  <c r="H313" i="1"/>
  <c r="H312" i="1"/>
  <c r="H311" i="1"/>
  <c r="H310" i="1"/>
  <c r="H308" i="1"/>
  <c r="H307" i="1"/>
  <c r="H306" i="1"/>
  <c r="H302" i="1"/>
  <c r="H300" i="1"/>
  <c r="H298" i="1"/>
  <c r="H296" i="1"/>
  <c r="H290" i="1"/>
  <c r="H288" i="1"/>
  <c r="H287" i="1"/>
  <c r="H286" i="1"/>
  <c r="H285" i="1"/>
  <c r="H284" i="1"/>
  <c r="H283" i="1"/>
  <c r="H281" i="1"/>
  <c r="H280" i="1"/>
  <c r="H279" i="1"/>
  <c r="H278" i="1"/>
  <c r="H277" i="1"/>
  <c r="H276" i="1"/>
  <c r="H274" i="1"/>
  <c r="H273" i="1"/>
  <c r="H272" i="1"/>
  <c r="H271" i="1"/>
  <c r="H270" i="1"/>
  <c r="H269" i="1"/>
  <c r="H268" i="1"/>
  <c r="H267" i="1"/>
  <c r="H266" i="1"/>
  <c r="H265" i="1"/>
  <c r="H264" i="1"/>
  <c r="H263" i="1"/>
  <c r="H262" i="1"/>
  <c r="H261" i="1"/>
  <c r="H260" i="1"/>
  <c r="H259" i="1"/>
  <c r="H258" i="1"/>
  <c r="H257" i="1"/>
  <c r="H256" i="1"/>
  <c r="H255" i="1"/>
  <c r="H253" i="1"/>
  <c r="H252" i="1"/>
  <c r="H251" i="1"/>
  <c r="H250" i="1"/>
  <c r="H249" i="1"/>
  <c r="H248" i="1"/>
  <c r="H247" i="1"/>
  <c r="H246" i="1"/>
  <c r="H245" i="1"/>
  <c r="H243" i="1"/>
  <c r="H242" i="1"/>
  <c r="H241" i="1"/>
  <c r="H240" i="1"/>
  <c r="H239" i="1"/>
  <c r="H238" i="1"/>
  <c r="H237" i="1"/>
  <c r="H236" i="1"/>
  <c r="H235" i="1"/>
  <c r="H234" i="1"/>
  <c r="H233" i="1"/>
  <c r="H231" i="1"/>
  <c r="H230" i="1"/>
  <c r="H229" i="1"/>
  <c r="H228" i="1"/>
  <c r="H227" i="1"/>
  <c r="H226" i="1"/>
  <c r="H222" i="1"/>
  <c r="H221" i="1"/>
  <c r="H220" i="1"/>
  <c r="H219" i="1"/>
  <c r="H218" i="1"/>
  <c r="H217" i="1"/>
  <c r="H215" i="1"/>
  <c r="H213" i="1"/>
  <c r="H212" i="1"/>
  <c r="H210" i="1"/>
  <c r="H209" i="1"/>
  <c r="H207" i="1"/>
  <c r="H206" i="1"/>
  <c r="H204" i="1"/>
  <c r="H203" i="1"/>
  <c r="H201" i="1"/>
  <c r="H200" i="1"/>
  <c r="H198" i="1"/>
  <c r="H197" i="1"/>
  <c r="H195" i="1"/>
  <c r="H194" i="1"/>
  <c r="H192" i="1"/>
  <c r="H188" i="1"/>
  <c r="H187" i="1"/>
  <c r="H185" i="1"/>
  <c r="H184" i="1"/>
  <c r="H182" i="1"/>
  <c r="H181" i="1"/>
  <c r="H179" i="1"/>
  <c r="H178" i="1"/>
  <c r="H176" i="1"/>
  <c r="H175" i="1"/>
  <c r="H173" i="1"/>
  <c r="H172" i="1"/>
  <c r="H170" i="1"/>
  <c r="H169" i="1"/>
  <c r="H167" i="1"/>
  <c r="H166" i="1"/>
  <c r="H164" i="1"/>
  <c r="H163" i="1"/>
  <c r="H161" i="1"/>
  <c r="H160" i="1"/>
  <c r="H158" i="1"/>
  <c r="H157" i="1"/>
  <c r="H155" i="1"/>
  <c r="H154" i="1"/>
  <c r="H152" i="1"/>
  <c r="H151" i="1"/>
  <c r="H149" i="1"/>
  <c r="H148" i="1"/>
  <c r="H146" i="1"/>
  <c r="H145" i="1"/>
  <c r="H143" i="1"/>
  <c r="H142" i="1"/>
  <c r="H140" i="1"/>
  <c r="H139" i="1"/>
  <c r="H137" i="1"/>
  <c r="H136" i="1"/>
  <c r="H134" i="1"/>
  <c r="H133" i="1"/>
  <c r="H129" i="1"/>
  <c r="H128" i="1"/>
  <c r="H127" i="1"/>
  <c r="H125" i="1"/>
  <c r="H124" i="1"/>
  <c r="H122" i="1"/>
  <c r="H121" i="1"/>
  <c r="H119" i="1"/>
  <c r="H118" i="1"/>
  <c r="H116" i="1"/>
  <c r="H115" i="1"/>
  <c r="H113" i="1"/>
  <c r="H112" i="1"/>
  <c r="H110" i="1"/>
  <c r="H109" i="1"/>
  <c r="H104" i="1"/>
  <c r="H102" i="1"/>
  <c r="H100" i="1"/>
  <c r="H98" i="1"/>
  <c r="H96" i="1"/>
  <c r="H94" i="1"/>
  <c r="H92" i="1"/>
  <c r="H90" i="1"/>
  <c r="H88" i="1"/>
  <c r="H86" i="1"/>
  <c r="H84" i="1"/>
  <c r="H80" i="1"/>
  <c r="H79" i="1"/>
  <c r="H77" i="1"/>
  <c r="H76" i="1"/>
  <c r="H75" i="1"/>
  <c r="H74" i="1"/>
  <c r="H73" i="1"/>
  <c r="H72" i="1"/>
  <c r="H70" i="1"/>
  <c r="H69" i="1"/>
  <c r="H68" i="1"/>
  <c r="H66" i="1"/>
  <c r="H65" i="1"/>
  <c r="H63" i="1"/>
  <c r="H62" i="1"/>
  <c r="H60" i="1"/>
  <c r="H59" i="1"/>
  <c r="H57" i="1"/>
  <c r="H56" i="1"/>
  <c r="H54" i="1"/>
  <c r="H53" i="1"/>
  <c r="H51" i="1"/>
  <c r="H50" i="1"/>
  <c r="H48" i="1"/>
  <c r="H47" i="1"/>
  <c r="H43" i="1"/>
  <c r="H42" i="1"/>
  <c r="H40" i="1"/>
  <c r="H38" i="1"/>
  <c r="H37" i="1"/>
  <c r="H36" i="1"/>
  <c r="H35" i="1"/>
  <c r="H33" i="1"/>
  <c r="H32" i="1"/>
  <c r="H31" i="1"/>
  <c r="H29" i="1"/>
  <c r="H28" i="1"/>
  <c r="H26" i="1"/>
  <c r="H25" i="1"/>
  <c r="H23" i="1"/>
  <c r="H22" i="1"/>
  <c r="H20" i="1"/>
  <c r="H19" i="1"/>
  <c r="H17" i="1"/>
  <c r="H16" i="1"/>
  <c r="H14" i="1"/>
  <c r="H13" i="1"/>
  <c r="H9" i="1"/>
  <c r="L26" i="2"/>
  <c r="K26" i="2"/>
  <c r="M26" i="2"/>
  <c r="J26" i="2"/>
  <c r="A1" i="2"/>
  <c r="C17" i="7" a="1"/>
  <c r="C17" i="7"/>
  <c r="C16" i="7" a="1"/>
  <c r="C16" i="7"/>
  <c r="C15" i="7" a="1"/>
  <c r="C15" i="7"/>
  <c r="C14" i="7" a="1"/>
  <c r="C14" i="7"/>
  <c r="C13" i="7" a="1"/>
  <c r="C13" i="7"/>
  <c r="C12" i="7" a="1"/>
  <c r="C12" i="7"/>
  <c r="C11" i="7" a="1"/>
  <c r="C11" i="7"/>
  <c r="C10" i="7" a="1"/>
  <c r="C10" i="7"/>
  <c r="C9" i="7" a="1"/>
  <c r="C9" i="7"/>
  <c r="C8" i="7" a="1"/>
  <c r="C8" i="7"/>
  <c r="C7" i="7" a="1"/>
  <c r="C7" i="7"/>
  <c r="C6" i="7" a="1"/>
  <c r="C6" i="7"/>
  <c r="C5" i="7" a="1"/>
  <c r="C5" i="7"/>
  <c r="C4" i="7" a="1"/>
  <c r="C4" i="7"/>
  <c r="C3" i="7" a="1"/>
  <c r="C3" i="7"/>
  <c r="C2" i="7" a="1"/>
  <c r="C2" i="7"/>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D37" i="2"/>
  <c r="D27" i="2"/>
  <c r="D28" i="2"/>
  <c r="D29" i="2"/>
  <c r="D30" i="2"/>
  <c r="D31" i="2"/>
  <c r="D32" i="2"/>
  <c r="D33" i="2"/>
  <c r="D34" i="2"/>
  <c r="D35" i="2"/>
  <c r="D36"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H60" i="2"/>
  <c r="I60" i="2"/>
  <c r="H61" i="2"/>
  <c r="I61" i="2"/>
  <c r="H62" i="2"/>
  <c r="I62" i="2"/>
  <c r="H63" i="2"/>
  <c r="I63" i="2"/>
  <c r="H64" i="2"/>
  <c r="I64" i="2"/>
  <c r="H65" i="2"/>
  <c r="I65" i="2"/>
  <c r="H66" i="2"/>
  <c r="I66" i="2"/>
  <c r="H67" i="2"/>
  <c r="I67" i="2"/>
  <c r="H68" i="2"/>
  <c r="I68" i="2"/>
  <c r="H69" i="2"/>
  <c r="I69" i="2"/>
  <c r="H70" i="2"/>
  <c r="I70" i="2"/>
  <c r="H71" i="2"/>
  <c r="I71" i="2"/>
  <c r="H72" i="2"/>
  <c r="I72" i="2"/>
  <c r="H73" i="2"/>
  <c r="I73" i="2"/>
  <c r="H74" i="2"/>
  <c r="I74" i="2"/>
  <c r="H75" i="2"/>
  <c r="I75" i="2"/>
  <c r="H76" i="2"/>
  <c r="I76" i="2"/>
  <c r="H77" i="2"/>
  <c r="I77" i="2"/>
  <c r="H78" i="2"/>
  <c r="I78" i="2"/>
  <c r="H79" i="2"/>
  <c r="I79" i="2"/>
  <c r="H80" i="2"/>
  <c r="I80" i="2"/>
  <c r="H81" i="2"/>
  <c r="I81" i="2"/>
  <c r="H82" i="2"/>
  <c r="I82" i="2"/>
  <c r="H83" i="2"/>
  <c r="I83" i="2"/>
  <c r="H84" i="2"/>
  <c r="I84" i="2"/>
  <c r="H85" i="2"/>
  <c r="I85" i="2"/>
  <c r="H86" i="2"/>
  <c r="I86" i="2"/>
  <c r="H87" i="2"/>
  <c r="I87" i="2"/>
  <c r="H88" i="2"/>
  <c r="I88" i="2"/>
  <c r="H89" i="2"/>
  <c r="I89" i="2"/>
  <c r="H90" i="2"/>
  <c r="I90" i="2"/>
  <c r="H91" i="2"/>
  <c r="I91" i="2"/>
  <c r="H92" i="2"/>
  <c r="I92" i="2"/>
  <c r="H93" i="2"/>
  <c r="I93" i="2"/>
  <c r="H94" i="2"/>
  <c r="I94" i="2"/>
  <c r="H95" i="2"/>
  <c r="I95" i="2"/>
  <c r="H96" i="2"/>
  <c r="I96" i="2"/>
  <c r="H97" i="2"/>
  <c r="I97" i="2"/>
  <c r="H98" i="2"/>
  <c r="I98" i="2"/>
  <c r="H99" i="2"/>
  <c r="I99" i="2"/>
  <c r="H100" i="2"/>
  <c r="I100" i="2"/>
  <c r="H101" i="2"/>
  <c r="I101" i="2"/>
  <c r="H102" i="2"/>
  <c r="I102" i="2"/>
  <c r="H103" i="2"/>
  <c r="I103" i="2"/>
  <c r="H104" i="2"/>
  <c r="I104" i="2"/>
  <c r="H105" i="2"/>
  <c r="I105" i="2"/>
  <c r="H106" i="2"/>
  <c r="I106" i="2"/>
  <c r="H107" i="2"/>
  <c r="I107" i="2"/>
  <c r="H108" i="2"/>
  <c r="I108" i="2"/>
  <c r="H109" i="2"/>
  <c r="I109" i="2"/>
  <c r="H110"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A23" i="3"/>
  <c r="A31" i="3"/>
  <c r="A16" i="3"/>
  <c r="A17" i="3"/>
  <c r="A18" i="3"/>
  <c r="A19" i="3"/>
  <c r="A20" i="3"/>
  <c r="A21" i="3"/>
  <c r="A22" i="3"/>
  <c r="A24" i="3"/>
  <c r="A25" i="3"/>
  <c r="A26" i="3"/>
  <c r="A27" i="3"/>
  <c r="A28" i="3"/>
  <c r="A29" i="3"/>
  <c r="A30" i="3"/>
  <c r="A32" i="3"/>
  <c r="A33" i="3"/>
  <c r="M194" i="2"/>
  <c r="M192" i="2"/>
  <c r="M191" i="2"/>
  <c r="M190" i="2"/>
  <c r="M189" i="2"/>
  <c r="M188" i="2"/>
  <c r="M187" i="2"/>
  <c r="M186" i="2"/>
  <c r="M185" i="2"/>
  <c r="M184" i="2"/>
  <c r="M183" i="2"/>
  <c r="M182" i="2"/>
  <c r="M181" i="2"/>
  <c r="M180" i="2"/>
  <c r="M179" i="2"/>
  <c r="M178" i="2"/>
  <c r="M177" i="2"/>
  <c r="M176" i="2"/>
  <c r="M175" i="2"/>
  <c r="M174" i="2"/>
  <c r="M173" i="2"/>
  <c r="M172" i="2"/>
  <c r="M171" i="2"/>
  <c r="M170" i="2"/>
  <c r="M169" i="2"/>
  <c r="M168" i="2"/>
  <c r="M167" i="2"/>
  <c r="M166" i="2"/>
  <c r="M165" i="2"/>
  <c r="M164" i="2"/>
  <c r="M163" i="2"/>
  <c r="M162" i="2"/>
  <c r="M161" i="2"/>
  <c r="M160" i="2"/>
  <c r="M159" i="2"/>
  <c r="M158" i="2"/>
  <c r="M157" i="2"/>
  <c r="M156" i="2"/>
  <c r="M155" i="2"/>
  <c r="M154" i="2"/>
  <c r="M153" i="2"/>
  <c r="M152" i="2"/>
  <c r="M151" i="2"/>
  <c r="M150" i="2"/>
  <c r="M149" i="2"/>
  <c r="M148" i="2"/>
  <c r="M147" i="2"/>
  <c r="M146" i="2"/>
  <c r="M145" i="2"/>
  <c r="M144" i="2"/>
  <c r="M143" i="2"/>
  <c r="M142" i="2"/>
  <c r="M141" i="2"/>
  <c r="M140" i="2"/>
  <c r="M139" i="2"/>
  <c r="M138" i="2"/>
  <c r="M137" i="2"/>
  <c r="M135" i="2"/>
  <c r="M134" i="2"/>
  <c r="M133" i="2"/>
  <c r="M132" i="2"/>
  <c r="M131" i="2"/>
  <c r="M130" i="2"/>
  <c r="M129" i="2"/>
  <c r="M128" i="2"/>
  <c r="M127" i="2"/>
  <c r="M126" i="2"/>
  <c r="M125" i="2"/>
  <c r="M124" i="2"/>
  <c r="M123" i="2"/>
  <c r="M122" i="2"/>
  <c r="M121" i="2"/>
  <c r="M120" i="2"/>
  <c r="M119" i="2"/>
  <c r="M118" i="2"/>
  <c r="M117" i="2"/>
  <c r="M116" i="2"/>
  <c r="M115" i="2"/>
  <c r="M114" i="2"/>
  <c r="M113" i="2"/>
  <c r="M112" i="2"/>
  <c r="M111" i="2"/>
  <c r="K110" i="2"/>
  <c r="M110" i="2"/>
  <c r="K109" i="2"/>
  <c r="M109" i="2"/>
  <c r="K108" i="2"/>
  <c r="M108" i="2"/>
  <c r="K107" i="2"/>
  <c r="E3" i="7"/>
  <c r="M107" i="2"/>
  <c r="K106" i="2"/>
  <c r="M106" i="2"/>
  <c r="K105" i="2"/>
  <c r="M105" i="2"/>
  <c r="K104" i="2"/>
  <c r="M104" i="2"/>
  <c r="K103" i="2"/>
  <c r="M103" i="2"/>
  <c r="K102" i="2"/>
  <c r="M102" i="2"/>
  <c r="K101" i="2"/>
  <c r="M101" i="2"/>
  <c r="K100" i="2"/>
  <c r="M100" i="2"/>
  <c r="K99" i="2"/>
  <c r="M99" i="2"/>
  <c r="K98" i="2"/>
  <c r="M98" i="2"/>
  <c r="K97" i="2"/>
  <c r="M97" i="2"/>
  <c r="K96" i="2"/>
  <c r="M96" i="2"/>
  <c r="K95" i="2"/>
  <c r="M95" i="2"/>
  <c r="K94" i="2"/>
  <c r="M94" i="2"/>
  <c r="K93" i="2"/>
  <c r="M93" i="2"/>
  <c r="K92" i="2"/>
  <c r="M92" i="2"/>
  <c r="K91" i="2"/>
  <c r="M91" i="2"/>
  <c r="K90" i="2"/>
  <c r="M90" i="2"/>
  <c r="K89" i="2"/>
  <c r="M89" i="2"/>
  <c r="K88" i="2"/>
  <c r="M88" i="2"/>
  <c r="K87" i="2"/>
  <c r="M87" i="2"/>
  <c r="K86" i="2"/>
  <c r="M86" i="2"/>
  <c r="K85" i="2"/>
  <c r="M85" i="2"/>
  <c r="K84" i="2"/>
  <c r="M84" i="2"/>
  <c r="K83" i="2"/>
  <c r="M83" i="2"/>
  <c r="K82" i="2"/>
  <c r="M82" i="2"/>
  <c r="K81" i="2"/>
  <c r="M81" i="2"/>
  <c r="K80" i="2"/>
  <c r="M80" i="2"/>
  <c r="K79" i="2"/>
  <c r="M79" i="2"/>
  <c r="K78" i="2"/>
  <c r="M78" i="2"/>
  <c r="K77" i="2"/>
  <c r="M77" i="2"/>
  <c r="K76" i="2"/>
  <c r="M76" i="2"/>
  <c r="K75" i="2"/>
  <c r="M75" i="2"/>
  <c r="K74" i="2"/>
  <c r="M74" i="2"/>
  <c r="K73" i="2"/>
  <c r="M73" i="2"/>
  <c r="K72" i="2"/>
  <c r="M72" i="2"/>
  <c r="K71" i="2"/>
  <c r="M71" i="2"/>
  <c r="K70" i="2"/>
  <c r="M70" i="2"/>
  <c r="K69" i="2"/>
  <c r="M69" i="2"/>
  <c r="K68" i="2"/>
  <c r="M68" i="2"/>
  <c r="K67" i="2"/>
  <c r="M67" i="2"/>
  <c r="K66" i="2"/>
  <c r="M66" i="2"/>
  <c r="K65" i="2"/>
  <c r="M65" i="2"/>
  <c r="K64" i="2"/>
  <c r="M64" i="2"/>
  <c r="K63" i="2"/>
  <c r="M63" i="2"/>
  <c r="K62" i="2"/>
  <c r="M62" i="2"/>
  <c r="K61" i="2"/>
  <c r="M61" i="2"/>
  <c r="F15" i="7"/>
  <c r="E15" i="7"/>
  <c r="F2" i="7"/>
  <c r="F3" i="7"/>
  <c r="F4" i="7"/>
  <c r="F5" i="7"/>
  <c r="F6" i="7"/>
  <c r="F7" i="7"/>
  <c r="F8" i="7"/>
  <c r="F9" i="7"/>
  <c r="F10" i="7"/>
  <c r="F11" i="7"/>
  <c r="F12" i="7"/>
  <c r="F13" i="7"/>
  <c r="F14" i="7"/>
  <c r="F16" i="7"/>
  <c r="F17" i="7"/>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205" i="13"/>
  <c r="C206" i="13"/>
  <c r="C207" i="13"/>
  <c r="C208" i="13"/>
  <c r="C209" i="13"/>
  <c r="C210" i="13"/>
  <c r="C211" i="13"/>
  <c r="C212" i="13"/>
  <c r="C213" i="13"/>
  <c r="C214" i="13"/>
  <c r="C215" i="13"/>
  <c r="C216" i="13"/>
  <c r="C217" i="13"/>
  <c r="C218" i="13"/>
  <c r="C219" i="13"/>
  <c r="C220" i="13"/>
  <c r="C221" i="13"/>
  <c r="C222" i="13"/>
  <c r="C223" i="13"/>
  <c r="C224" i="13"/>
  <c r="C225" i="13"/>
  <c r="C226" i="13"/>
  <c r="C227" i="13"/>
  <c r="C228" i="13"/>
  <c r="C229" i="13"/>
  <c r="C230" i="13"/>
  <c r="C231" i="13"/>
  <c r="C232" i="13"/>
  <c r="C233" i="13"/>
  <c r="C234" i="13"/>
  <c r="C235" i="13"/>
  <c r="C236" i="13"/>
  <c r="C237" i="13"/>
  <c r="C238" i="13"/>
  <c r="C239" i="13"/>
  <c r="C240" i="13"/>
  <c r="C241" i="13"/>
  <c r="C242" i="13"/>
  <c r="C243" i="13"/>
  <c r="C244" i="13"/>
  <c r="C245" i="13"/>
  <c r="C246" i="13"/>
  <c r="C247" i="13"/>
  <c r="C248" i="13"/>
  <c r="C249" i="13"/>
  <c r="C250" i="13"/>
  <c r="C251" i="13"/>
  <c r="C252" i="13"/>
  <c r="C253" i="13"/>
  <c r="C254" i="13"/>
  <c r="C255" i="13"/>
  <c r="C256" i="13"/>
  <c r="C257" i="13"/>
  <c r="C258" i="13"/>
  <c r="C259" i="13"/>
  <c r="C260" i="13"/>
  <c r="C261" i="13"/>
  <c r="C262" i="13"/>
  <c r="C263" i="13"/>
  <c r="C264" i="13"/>
  <c r="C265" i="13"/>
  <c r="C266" i="13"/>
  <c r="C267" i="13"/>
  <c r="C268" i="13"/>
  <c r="C269" i="13"/>
  <c r="C270" i="13"/>
  <c r="C271" i="13"/>
  <c r="C272" i="13"/>
  <c r="C273" i="13"/>
  <c r="C274" i="13"/>
  <c r="C275" i="13"/>
  <c r="C276" i="13"/>
  <c r="C277" i="13"/>
  <c r="C278" i="13"/>
  <c r="C279" i="13"/>
  <c r="C280" i="13"/>
  <c r="C281" i="13"/>
  <c r="C282" i="13"/>
  <c r="C283" i="13"/>
  <c r="C284" i="13"/>
  <c r="C285" i="13"/>
  <c r="C286" i="13"/>
  <c r="C287" i="13"/>
  <c r="C288" i="13"/>
  <c r="C289" i="13"/>
  <c r="C290" i="13"/>
  <c r="C291" i="13"/>
  <c r="C292" i="13"/>
  <c r="C293" i="13"/>
  <c r="C294" i="13"/>
  <c r="C295" i="13"/>
  <c r="C296" i="13"/>
  <c r="C297" i="13"/>
  <c r="C298" i="13"/>
  <c r="C299" i="13"/>
  <c r="C300" i="13"/>
  <c r="C301" i="13"/>
  <c r="C302" i="13"/>
  <c r="C303" i="13"/>
  <c r="C304" i="13"/>
  <c r="C305" i="13"/>
  <c r="C306" i="13"/>
  <c r="C307" i="13"/>
  <c r="C308" i="13"/>
  <c r="C309" i="13"/>
  <c r="C310" i="13"/>
  <c r="C311" i="13"/>
  <c r="C312" i="13"/>
  <c r="C313" i="13"/>
  <c r="C314" i="13"/>
  <c r="C315" i="13"/>
  <c r="C316" i="13"/>
  <c r="C317" i="13"/>
  <c r="C318" i="13"/>
  <c r="C319" i="13"/>
  <c r="C320" i="13"/>
  <c r="C321" i="13"/>
  <c r="C322" i="13"/>
  <c r="C323" i="13"/>
  <c r="C324" i="13"/>
  <c r="C325" i="13"/>
  <c r="C326" i="13"/>
  <c r="C327" i="13"/>
  <c r="C328" i="13"/>
  <c r="C329" i="13"/>
  <c r="C330" i="13"/>
  <c r="C331" i="13"/>
  <c r="C332" i="13"/>
  <c r="C333" i="13"/>
  <c r="C334" i="13"/>
  <c r="C335" i="13"/>
  <c r="C336" i="13"/>
  <c r="C337" i="13"/>
  <c r="C338" i="13"/>
  <c r="C339" i="13"/>
  <c r="C340" i="13"/>
  <c r="C341" i="13"/>
  <c r="C342" i="13"/>
  <c r="C343" i="13"/>
  <c r="C344" i="13"/>
  <c r="C345" i="13"/>
  <c r="C346" i="13"/>
  <c r="C347" i="13"/>
  <c r="C348" i="13"/>
  <c r="C349" i="13"/>
  <c r="C350" i="13"/>
  <c r="C351" i="13"/>
  <c r="C352" i="13"/>
  <c r="C353" i="13"/>
  <c r="C354" i="13"/>
  <c r="C355" i="13"/>
  <c r="C356" i="13"/>
  <c r="C357" i="13"/>
  <c r="C358" i="13"/>
  <c r="C359" i="13"/>
  <c r="C360" i="13"/>
  <c r="C361" i="13"/>
  <c r="C362" i="13"/>
  <c r="C363" i="13"/>
  <c r="C364" i="13"/>
  <c r="C365" i="13"/>
  <c r="C366" i="13"/>
  <c r="C367" i="13"/>
  <c r="C368" i="13"/>
  <c r="C369" i="13"/>
  <c r="C370" i="13"/>
  <c r="C371" i="13"/>
  <c r="C372" i="13"/>
  <c r="C373" i="13"/>
  <c r="C374" i="13"/>
  <c r="C375" i="13"/>
  <c r="C376" i="13"/>
  <c r="C377" i="13"/>
  <c r="C378" i="13"/>
  <c r="C379" i="13"/>
  <c r="C380" i="13"/>
  <c r="C381" i="13"/>
  <c r="C382" i="13"/>
  <c r="C383" i="13"/>
  <c r="C384" i="13"/>
  <c r="C385" i="13"/>
  <c r="C386" i="13"/>
  <c r="C387" i="13"/>
  <c r="C388" i="13"/>
  <c r="C389" i="13"/>
  <c r="C390" i="13"/>
  <c r="C391" i="13"/>
  <c r="C392" i="13"/>
  <c r="C393" i="13"/>
  <c r="C394" i="13"/>
  <c r="C395" i="13"/>
  <c r="C396" i="13"/>
  <c r="C397" i="13"/>
  <c r="C398" i="13"/>
  <c r="C399" i="13"/>
  <c r="C400" i="13"/>
  <c r="C401" i="13"/>
  <c r="C402" i="13"/>
  <c r="C403" i="13"/>
  <c r="C404" i="13"/>
  <c r="C405" i="13"/>
  <c r="C406" i="13"/>
  <c r="C407" i="13"/>
  <c r="C408" i="13"/>
  <c r="C409" i="13"/>
  <c r="C410" i="13"/>
  <c r="C411" i="13"/>
  <c r="C412" i="13"/>
  <c r="C413" i="13"/>
  <c r="C414" i="13"/>
  <c r="C415" i="13"/>
  <c r="C416" i="13"/>
  <c r="C417" i="13"/>
  <c r="C418" i="13"/>
  <c r="C419" i="13"/>
  <c r="C420" i="13"/>
  <c r="C421" i="13"/>
  <c r="C422" i="13"/>
  <c r="C423" i="13"/>
  <c r="C424" i="13"/>
  <c r="C425" i="13"/>
  <c r="C426" i="13"/>
  <c r="C427" i="13"/>
  <c r="C428" i="13"/>
  <c r="C429" i="13"/>
  <c r="C430" i="13"/>
  <c r="C431" i="13"/>
  <c r="C432" i="13"/>
  <c r="C433" i="13"/>
  <c r="C434" i="13"/>
  <c r="C435" i="13"/>
  <c r="C436" i="13"/>
  <c r="C437" i="13"/>
  <c r="C438" i="13"/>
  <c r="C439" i="13"/>
  <c r="C440" i="13"/>
  <c r="C441" i="13"/>
  <c r="C442" i="13"/>
  <c r="C443" i="13"/>
  <c r="C444" i="13"/>
  <c r="C445" i="13"/>
  <c r="C446" i="13"/>
  <c r="C447" i="13"/>
  <c r="C448" i="13"/>
  <c r="C449" i="13"/>
  <c r="C450" i="13"/>
  <c r="C451" i="13"/>
  <c r="C452" i="13"/>
  <c r="C453" i="13"/>
  <c r="C454" i="13"/>
  <c r="C455" i="13"/>
  <c r="C456" i="13"/>
  <c r="C457" i="13"/>
  <c r="C458" i="13"/>
  <c r="C459" i="13"/>
  <c r="C460" i="13"/>
  <c r="C461" i="13"/>
  <c r="C462" i="13"/>
  <c r="C463" i="13"/>
  <c r="C464" i="13"/>
  <c r="C465" i="13"/>
  <c r="C466" i="13"/>
  <c r="C467" i="13"/>
  <c r="C468" i="13"/>
  <c r="C469" i="13"/>
  <c r="C470" i="13"/>
  <c r="C471" i="13"/>
  <c r="C472" i="13"/>
  <c r="C473" i="13"/>
  <c r="C474" i="13"/>
  <c r="C475" i="13"/>
  <c r="C476" i="13"/>
  <c r="C477" i="13"/>
  <c r="C478" i="13"/>
  <c r="C479" i="13"/>
  <c r="C480" i="13"/>
  <c r="C481" i="13"/>
  <c r="C482" i="13"/>
  <c r="C483" i="13"/>
  <c r="C484" i="13"/>
  <c r="C485" i="13"/>
  <c r="C486" i="13"/>
  <c r="C487" i="13"/>
  <c r="C488" i="13"/>
  <c r="C489" i="13"/>
  <c r="C490" i="13"/>
  <c r="C491" i="13"/>
  <c r="C492" i="13"/>
  <c r="C493" i="13"/>
  <c r="C494" i="13"/>
  <c r="C495" i="13"/>
  <c r="C496" i="13"/>
  <c r="C497" i="13"/>
  <c r="C498" i="13"/>
  <c r="C499" i="13"/>
  <c r="C500" i="13"/>
  <c r="C501" i="13"/>
  <c r="C502" i="13"/>
  <c r="C503" i="13"/>
  <c r="C504" i="13"/>
  <c r="C505" i="13"/>
  <c r="C506" i="13"/>
  <c r="C507" i="13"/>
  <c r="C4" i="13"/>
  <c r="C5" i="13"/>
  <c r="C6" i="13"/>
  <c r="C7" i="13"/>
  <c r="C8" i="13"/>
  <c r="C9" i="13"/>
  <c r="C10" i="13"/>
  <c r="C11" i="13"/>
  <c r="C12" i="13"/>
  <c r="C13" i="13"/>
  <c r="C14" i="13"/>
  <c r="C15" i="13"/>
  <c r="C16" i="13"/>
  <c r="C17" i="13"/>
  <c r="C18" i="13"/>
  <c r="C3" i="1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G46" i="2"/>
  <c r="H46" i="2"/>
  <c r="I46" i="2"/>
  <c r="G47" i="2"/>
  <c r="H47" i="2"/>
  <c r="I47" i="2"/>
  <c r="G48" i="2"/>
  <c r="H48" i="2"/>
  <c r="G49" i="2"/>
  <c r="H49" i="2"/>
  <c r="I49" i="2"/>
  <c r="K49" i="2"/>
  <c r="G50" i="2"/>
  <c r="H50" i="2"/>
  <c r="I50" i="2"/>
  <c r="G51" i="2"/>
  <c r="H51" i="2"/>
  <c r="I51" i="2"/>
  <c r="G52" i="2"/>
  <c r="H52" i="2"/>
  <c r="G53" i="2"/>
  <c r="H53" i="2"/>
  <c r="I53" i="2"/>
  <c r="G54" i="2"/>
  <c r="H54" i="2"/>
  <c r="G55" i="2"/>
  <c r="H55" i="2"/>
  <c r="I55" i="2"/>
  <c r="G56" i="2"/>
  <c r="H56" i="2"/>
  <c r="I56" i="2"/>
  <c r="J56" i="2"/>
  <c r="K56" i="2"/>
  <c r="L56" i="2"/>
  <c r="G57" i="2"/>
  <c r="H57" i="2"/>
  <c r="I57" i="2"/>
  <c r="K57" i="2"/>
  <c r="G58" i="2"/>
  <c r="H58" i="2"/>
  <c r="I58" i="2"/>
  <c r="L58" i="2"/>
  <c r="G59" i="2"/>
  <c r="H59" i="2"/>
  <c r="I59" i="2"/>
  <c r="L59" i="2"/>
  <c r="J59" i="2"/>
  <c r="K59" i="2"/>
  <c r="G60" i="2"/>
  <c r="G61" i="2"/>
  <c r="J61" i="2"/>
  <c r="L61" i="2"/>
  <c r="G62" i="2"/>
  <c r="J62" i="2"/>
  <c r="L62" i="2"/>
  <c r="G63" i="2"/>
  <c r="J63" i="2"/>
  <c r="L63" i="2"/>
  <c r="G64" i="2"/>
  <c r="J64" i="2"/>
  <c r="L64" i="2"/>
  <c r="G65" i="2"/>
  <c r="J65" i="2"/>
  <c r="L65" i="2"/>
  <c r="G66" i="2"/>
  <c r="J66" i="2"/>
  <c r="L66" i="2"/>
  <c r="G67" i="2"/>
  <c r="J67" i="2"/>
  <c r="L67" i="2"/>
  <c r="G68" i="2"/>
  <c r="J68" i="2"/>
  <c r="L68" i="2"/>
  <c r="G69" i="2"/>
  <c r="J69" i="2"/>
  <c r="L69" i="2"/>
  <c r="G70" i="2"/>
  <c r="J70" i="2"/>
  <c r="L70" i="2"/>
  <c r="G71" i="2"/>
  <c r="J71" i="2"/>
  <c r="L71" i="2"/>
  <c r="G72" i="2"/>
  <c r="J72" i="2"/>
  <c r="L72" i="2"/>
  <c r="G73" i="2"/>
  <c r="J73" i="2"/>
  <c r="L73" i="2"/>
  <c r="G74" i="2"/>
  <c r="J74" i="2"/>
  <c r="L74" i="2"/>
  <c r="G75" i="2"/>
  <c r="J75" i="2"/>
  <c r="L75" i="2"/>
  <c r="G76" i="2"/>
  <c r="J76" i="2"/>
  <c r="L76" i="2"/>
  <c r="G77" i="2"/>
  <c r="J77" i="2"/>
  <c r="L77" i="2"/>
  <c r="G78" i="2"/>
  <c r="J78" i="2"/>
  <c r="L78" i="2"/>
  <c r="G79" i="2"/>
  <c r="J79" i="2"/>
  <c r="L79" i="2"/>
  <c r="G80" i="2"/>
  <c r="J80" i="2"/>
  <c r="L80" i="2"/>
  <c r="G81" i="2"/>
  <c r="J81" i="2"/>
  <c r="L81" i="2"/>
  <c r="G82" i="2"/>
  <c r="J82" i="2"/>
  <c r="L82" i="2"/>
  <c r="G83" i="2"/>
  <c r="J83" i="2"/>
  <c r="L83" i="2"/>
  <c r="G84" i="2"/>
  <c r="J84" i="2"/>
  <c r="L84" i="2"/>
  <c r="G85" i="2"/>
  <c r="J85" i="2"/>
  <c r="L85" i="2"/>
  <c r="G86" i="2"/>
  <c r="J86" i="2"/>
  <c r="L86" i="2"/>
  <c r="G87" i="2"/>
  <c r="J87" i="2"/>
  <c r="L87" i="2"/>
  <c r="G88" i="2"/>
  <c r="J88" i="2"/>
  <c r="L88" i="2"/>
  <c r="G89" i="2"/>
  <c r="J89" i="2"/>
  <c r="L89" i="2"/>
  <c r="G90" i="2"/>
  <c r="J90" i="2"/>
  <c r="L90" i="2"/>
  <c r="G91" i="2"/>
  <c r="J91" i="2"/>
  <c r="L91" i="2"/>
  <c r="G92" i="2"/>
  <c r="J92" i="2"/>
  <c r="L92" i="2"/>
  <c r="G93" i="2"/>
  <c r="J93" i="2"/>
  <c r="L93" i="2"/>
  <c r="G94" i="2"/>
  <c r="J94" i="2"/>
  <c r="L94" i="2"/>
  <c r="G95" i="2"/>
  <c r="J95" i="2"/>
  <c r="L95" i="2"/>
  <c r="G96" i="2"/>
  <c r="J96" i="2"/>
  <c r="L96" i="2"/>
  <c r="G97" i="2"/>
  <c r="J97" i="2"/>
  <c r="L97" i="2"/>
  <c r="G98" i="2"/>
  <c r="J98" i="2"/>
  <c r="L98" i="2"/>
  <c r="G99" i="2"/>
  <c r="J99" i="2"/>
  <c r="L99" i="2"/>
  <c r="G100" i="2"/>
  <c r="J100" i="2"/>
  <c r="L100" i="2"/>
  <c r="G101" i="2"/>
  <c r="J101" i="2"/>
  <c r="L101" i="2"/>
  <c r="G102" i="2"/>
  <c r="J102" i="2"/>
  <c r="L102" i="2"/>
  <c r="G103" i="2"/>
  <c r="J103" i="2"/>
  <c r="L103" i="2"/>
  <c r="G104" i="2"/>
  <c r="J104" i="2"/>
  <c r="L104" i="2"/>
  <c r="G105" i="2"/>
  <c r="J105" i="2"/>
  <c r="L105" i="2"/>
  <c r="G106" i="2"/>
  <c r="J106" i="2"/>
  <c r="L106" i="2"/>
  <c r="G107" i="2"/>
  <c r="J107" i="2"/>
  <c r="L107" i="2"/>
  <c r="G108" i="2"/>
  <c r="J108" i="2"/>
  <c r="L108" i="2"/>
  <c r="G109" i="2"/>
  <c r="J109" i="2"/>
  <c r="L109" i="2"/>
  <c r="G110" i="2"/>
  <c r="J110" i="2"/>
  <c r="L110" i="2"/>
  <c r="G111" i="2"/>
  <c r="H111" i="2"/>
  <c r="J111" i="2"/>
  <c r="K111" i="2"/>
  <c r="L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J193" i="2"/>
  <c r="J112" i="2"/>
  <c r="J113" i="2"/>
  <c r="J114" i="2"/>
  <c r="J115" i="2"/>
  <c r="J116" i="2"/>
  <c r="J117" i="2"/>
  <c r="J118" i="2"/>
  <c r="J119" i="2"/>
  <c r="J120" i="2"/>
  <c r="J121" i="2"/>
  <c r="J122" i="2"/>
  <c r="J123" i="2"/>
  <c r="J124" i="2"/>
  <c r="J125" i="2"/>
  <c r="J126" i="2"/>
  <c r="J127" i="2"/>
  <c r="J128" i="2"/>
  <c r="J129" i="2"/>
  <c r="J130" i="2"/>
  <c r="J131" i="2"/>
  <c r="J132" i="2"/>
  <c r="J133" i="2"/>
  <c r="J134" i="2"/>
  <c r="J135"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4" i="2"/>
  <c r="K112" i="2"/>
  <c r="K113" i="2"/>
  <c r="K114" i="2"/>
  <c r="K115" i="2"/>
  <c r="K116" i="2"/>
  <c r="K117" i="2"/>
  <c r="K118" i="2"/>
  <c r="K119" i="2"/>
  <c r="K120" i="2"/>
  <c r="K121" i="2"/>
  <c r="K122" i="2"/>
  <c r="K123" i="2"/>
  <c r="K124" i="2"/>
  <c r="K125" i="2"/>
  <c r="K126" i="2"/>
  <c r="K127" i="2"/>
  <c r="K128" i="2"/>
  <c r="K129" i="2"/>
  <c r="K130" i="2"/>
  <c r="K131" i="2"/>
  <c r="K132" i="2"/>
  <c r="K133" i="2"/>
  <c r="K134" i="2"/>
  <c r="K135"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4" i="2"/>
  <c r="L112" i="2"/>
  <c r="L113" i="2"/>
  <c r="L114" i="2"/>
  <c r="L115" i="2"/>
  <c r="L116" i="2"/>
  <c r="L117" i="2"/>
  <c r="L118" i="2"/>
  <c r="L119" i="2"/>
  <c r="L120" i="2"/>
  <c r="L121" i="2"/>
  <c r="L122" i="2"/>
  <c r="L123" i="2"/>
  <c r="L124" i="2"/>
  <c r="L125" i="2"/>
  <c r="L126" i="2"/>
  <c r="L127" i="2"/>
  <c r="L128" i="2"/>
  <c r="L129" i="2"/>
  <c r="L130" i="2"/>
  <c r="L131" i="2"/>
  <c r="L132" i="2"/>
  <c r="L133" i="2"/>
  <c r="L134" i="2"/>
  <c r="L135"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4" i="2"/>
  <c r="K58" i="2"/>
  <c r="M58" i="2"/>
  <c r="L57" i="2"/>
  <c r="M56" i="2"/>
  <c r="I52" i="2"/>
  <c r="K52" i="2"/>
  <c r="M52" i="2"/>
  <c r="J57" i="2"/>
  <c r="J58" i="2"/>
  <c r="M59" i="2"/>
  <c r="I48" i="2"/>
  <c r="J48" i="2"/>
  <c r="M57" i="2"/>
  <c r="I54" i="2"/>
  <c r="J54" i="2"/>
  <c r="L193" i="2"/>
  <c r="K193" i="2"/>
  <c r="M193" i="2"/>
  <c r="L136" i="2"/>
  <c r="J136" i="2"/>
  <c r="K136" i="2"/>
  <c r="M136" i="2"/>
  <c r="L60" i="2"/>
  <c r="J60" i="2"/>
  <c r="K60" i="2"/>
  <c r="M60" i="2"/>
  <c r="J55" i="2"/>
  <c r="K55" i="2"/>
  <c r="L55" i="2"/>
  <c r="M55" i="2"/>
  <c r="E6" i="7"/>
  <c r="E13" i="7"/>
  <c r="E5" i="7"/>
  <c r="E12" i="7"/>
  <c r="E4" i="7"/>
  <c r="E11" i="7"/>
  <c r="E10" i="7"/>
  <c r="E2" i="7"/>
  <c r="E9" i="7"/>
  <c r="E14" i="7"/>
  <c r="E17" i="7"/>
  <c r="E8" i="7"/>
  <c r="E16" i="7"/>
  <c r="E7" i="7"/>
  <c r="L54" i="2"/>
  <c r="K54" i="2"/>
  <c r="M54" i="2"/>
  <c r="L49" i="2"/>
  <c r="J49" i="2"/>
  <c r="L51" i="2"/>
  <c r="J51" i="2"/>
  <c r="K51" i="2"/>
  <c r="J53" i="2"/>
  <c r="K53" i="2"/>
  <c r="L53" i="2"/>
  <c r="L50" i="2"/>
  <c r="K50" i="2"/>
  <c r="J50" i="2"/>
  <c r="L52" i="2"/>
  <c r="M53" i="2"/>
  <c r="L47" i="2"/>
  <c r="J47" i="2"/>
  <c r="K47" i="2"/>
  <c r="M47" i="2"/>
  <c r="M49" i="2"/>
  <c r="M50" i="2"/>
  <c r="L48" i="2"/>
  <c r="M51" i="2"/>
  <c r="K48" i="2"/>
  <c r="M48" i="2"/>
  <c r="J46" i="2"/>
  <c r="K46" i="2"/>
  <c r="M46" i="2"/>
  <c r="L46" i="2"/>
  <c r="G27" i="2"/>
  <c r="H27" i="2"/>
  <c r="G28" i="2"/>
  <c r="H28" i="2"/>
  <c r="I28" i="2"/>
  <c r="G29" i="2"/>
  <c r="H29" i="2"/>
  <c r="I29" i="2"/>
  <c r="G30" i="2"/>
  <c r="H30" i="2"/>
  <c r="I30" i="2"/>
  <c r="G31" i="2"/>
  <c r="H31" i="2"/>
  <c r="I31" i="2"/>
  <c r="G32" i="2"/>
  <c r="H32" i="2"/>
  <c r="I32" i="2"/>
  <c r="G33" i="2"/>
  <c r="H33" i="2"/>
  <c r="I33" i="2"/>
  <c r="G34" i="2"/>
  <c r="H34" i="2"/>
  <c r="I34" i="2"/>
  <c r="G35" i="2"/>
  <c r="H35" i="2"/>
  <c r="I35" i="2"/>
  <c r="G36" i="2"/>
  <c r="H36" i="2"/>
  <c r="I36" i="2"/>
  <c r="G37" i="2"/>
  <c r="H37" i="2"/>
  <c r="I37" i="2"/>
  <c r="G38" i="2"/>
  <c r="H38" i="2"/>
  <c r="I38" i="2"/>
  <c r="G39" i="2"/>
  <c r="H39" i="2"/>
  <c r="I39" i="2"/>
  <c r="G40" i="2"/>
  <c r="H40" i="2"/>
  <c r="I40" i="2"/>
  <c r="G41" i="2"/>
  <c r="H41" i="2"/>
  <c r="I41" i="2"/>
  <c r="G42" i="2"/>
  <c r="H42" i="2"/>
  <c r="G43" i="2"/>
  <c r="H43" i="2"/>
  <c r="I43" i="2"/>
  <c r="G44" i="2"/>
  <c r="H44" i="2"/>
  <c r="I44" i="2"/>
  <c r="G45" i="2"/>
  <c r="H45" i="2"/>
  <c r="I45" i="2"/>
  <c r="I42" i="2"/>
  <c r="L42" i="2"/>
  <c r="J52" i="2"/>
  <c r="I27" i="2"/>
  <c r="L27" i="2"/>
  <c r="J37" i="2"/>
  <c r="J35" i="2"/>
  <c r="J33" i="2"/>
  <c r="J29" i="2"/>
  <c r="J36" i="2"/>
  <c r="J34" i="2"/>
  <c r="J28" i="2"/>
  <c r="J39" i="2"/>
  <c r="K39" i="2"/>
  <c r="M39" i="2"/>
  <c r="L39" i="2"/>
  <c r="J31" i="2"/>
  <c r="K31" i="2"/>
  <c r="M31" i="2"/>
  <c r="L31" i="2"/>
  <c r="J41" i="2"/>
  <c r="K41" i="2"/>
  <c r="M41" i="2"/>
  <c r="L41" i="2"/>
  <c r="J38" i="2"/>
  <c r="K38" i="2"/>
  <c r="M38" i="2"/>
  <c r="L38" i="2"/>
  <c r="J43" i="2"/>
  <c r="K43" i="2"/>
  <c r="M43" i="2"/>
  <c r="L43" i="2"/>
  <c r="J30" i="2"/>
  <c r="K30" i="2"/>
  <c r="M30" i="2"/>
  <c r="L30" i="2"/>
  <c r="J44" i="2"/>
  <c r="K44" i="2"/>
  <c r="M44" i="2"/>
  <c r="L44" i="2"/>
  <c r="J45" i="2"/>
  <c r="K45" i="2"/>
  <c r="M45" i="2"/>
  <c r="L45" i="2"/>
  <c r="J40" i="2"/>
  <c r="K40" i="2"/>
  <c r="M40" i="2"/>
  <c r="L40" i="2"/>
  <c r="J32" i="2"/>
  <c r="K32" i="2"/>
  <c r="M32" i="2"/>
  <c r="L32" i="2"/>
  <c r="L37" i="2"/>
  <c r="L36" i="2"/>
  <c r="L35" i="2"/>
  <c r="L34" i="2"/>
  <c r="L33" i="2"/>
  <c r="L29" i="2"/>
  <c r="L28" i="2"/>
  <c r="K37" i="2"/>
  <c r="M37" i="2"/>
  <c r="K36" i="2"/>
  <c r="M36" i="2"/>
  <c r="K35" i="2"/>
  <c r="M35" i="2"/>
  <c r="K34" i="2"/>
  <c r="M34" i="2"/>
  <c r="K33" i="2"/>
  <c r="K29" i="2"/>
  <c r="M29" i="2"/>
  <c r="K28" i="2"/>
  <c r="M28" i="2"/>
  <c r="H8" i="13"/>
  <c r="G8" i="13"/>
  <c r="H7" i="13"/>
  <c r="G7" i="13"/>
  <c r="H10" i="13"/>
  <c r="G10" i="13"/>
  <c r="H9" i="13"/>
  <c r="G9" i="13"/>
  <c r="H4" i="13"/>
  <c r="H5" i="13"/>
  <c r="H6"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H36" i="13"/>
  <c r="H37" i="13"/>
  <c r="H38" i="13"/>
  <c r="H39" i="13"/>
  <c r="H40" i="13"/>
  <c r="H41" i="13"/>
  <c r="H42" i="13"/>
  <c r="H43" i="13"/>
  <c r="H44" i="13"/>
  <c r="H45" i="13"/>
  <c r="H46" i="13"/>
  <c r="H47" i="13"/>
  <c r="H48" i="13"/>
  <c r="H49" i="13"/>
  <c r="H50" i="13"/>
  <c r="H51" i="13"/>
  <c r="H52" i="13"/>
  <c r="H53" i="13"/>
  <c r="H54" i="13"/>
  <c r="H55" i="13"/>
  <c r="H56" i="13"/>
  <c r="H57" i="13"/>
  <c r="H58" i="13"/>
  <c r="H59" i="13"/>
  <c r="H60" i="13"/>
  <c r="H61" i="13"/>
  <c r="H62" i="13"/>
  <c r="H63" i="13"/>
  <c r="H64" i="13"/>
  <c r="H65" i="13"/>
  <c r="H66" i="13"/>
  <c r="H67" i="13"/>
  <c r="H68" i="13"/>
  <c r="H69" i="13"/>
  <c r="H70" i="13"/>
  <c r="H71" i="13"/>
  <c r="H72" i="13"/>
  <c r="H73" i="13"/>
  <c r="H74" i="13"/>
  <c r="H75" i="13"/>
  <c r="H76" i="13"/>
  <c r="H77" i="13"/>
  <c r="H78" i="13"/>
  <c r="H79" i="13"/>
  <c r="H80" i="13"/>
  <c r="H81" i="13"/>
  <c r="H82" i="13"/>
  <c r="H83" i="13"/>
  <c r="H84" i="13"/>
  <c r="H85" i="13"/>
  <c r="H86" i="13"/>
  <c r="H87" i="13"/>
  <c r="H88" i="13"/>
  <c r="H89" i="13"/>
  <c r="H90" i="13"/>
  <c r="H91" i="13"/>
  <c r="H92" i="13"/>
  <c r="H93" i="13"/>
  <c r="H94" i="13"/>
  <c r="H95" i="13"/>
  <c r="H96" i="13"/>
  <c r="H97" i="13"/>
  <c r="H98" i="13"/>
  <c r="H99" i="13"/>
  <c r="H100" i="13"/>
  <c r="H101" i="13"/>
  <c r="H102" i="13"/>
  <c r="H103" i="13"/>
  <c r="H104" i="13"/>
  <c r="H105" i="13"/>
  <c r="H106" i="13"/>
  <c r="H107" i="13"/>
  <c r="H108" i="13"/>
  <c r="H109" i="13"/>
  <c r="H110" i="13"/>
  <c r="H111" i="13"/>
  <c r="H112" i="13"/>
  <c r="H113" i="13"/>
  <c r="H114" i="13"/>
  <c r="H115" i="13"/>
  <c r="H116" i="13"/>
  <c r="H117" i="13"/>
  <c r="H118" i="13"/>
  <c r="H119" i="13"/>
  <c r="H120" i="13"/>
  <c r="H121" i="13"/>
  <c r="H122" i="13"/>
  <c r="H123" i="13"/>
  <c r="H124" i="13"/>
  <c r="H125" i="13"/>
  <c r="H126" i="13"/>
  <c r="H127" i="13"/>
  <c r="H128" i="13"/>
  <c r="H129" i="13"/>
  <c r="H130" i="13"/>
  <c r="H131" i="13"/>
  <c r="H132" i="13"/>
  <c r="H133" i="13"/>
  <c r="H134" i="13"/>
  <c r="H135" i="13"/>
  <c r="H136" i="13"/>
  <c r="H137" i="13"/>
  <c r="H138" i="13"/>
  <c r="H139" i="13"/>
  <c r="H140" i="13"/>
  <c r="H141" i="13"/>
  <c r="H142" i="13"/>
  <c r="H143" i="13"/>
  <c r="H144" i="13"/>
  <c r="H145" i="13"/>
  <c r="H146" i="13"/>
  <c r="H147" i="13"/>
  <c r="H148" i="13"/>
  <c r="H149" i="13"/>
  <c r="H150" i="13"/>
  <c r="H151" i="13"/>
  <c r="H152" i="13"/>
  <c r="H153" i="13"/>
  <c r="H154" i="13"/>
  <c r="H155" i="13"/>
  <c r="H156" i="13"/>
  <c r="H157" i="13"/>
  <c r="H158" i="13"/>
  <c r="H159" i="13"/>
  <c r="H160" i="13"/>
  <c r="H161" i="13"/>
  <c r="H162" i="13"/>
  <c r="H163" i="13"/>
  <c r="H164" i="13"/>
  <c r="H165" i="13"/>
  <c r="H166" i="13"/>
  <c r="H167" i="13"/>
  <c r="H168" i="13"/>
  <c r="H169" i="13"/>
  <c r="H170" i="13"/>
  <c r="H171" i="13"/>
  <c r="H172" i="13"/>
  <c r="H173" i="13"/>
  <c r="H174" i="13"/>
  <c r="H175" i="13"/>
  <c r="H176" i="13"/>
  <c r="H177" i="13"/>
  <c r="H178" i="13"/>
  <c r="H179" i="13"/>
  <c r="H180" i="13"/>
  <c r="H181" i="13"/>
  <c r="H182" i="13"/>
  <c r="H183" i="13"/>
  <c r="H184" i="13"/>
  <c r="H185" i="13"/>
  <c r="H186" i="13"/>
  <c r="H187" i="13"/>
  <c r="H188" i="13"/>
  <c r="H189" i="13"/>
  <c r="H190" i="13"/>
  <c r="H191" i="13"/>
  <c r="H192" i="13"/>
  <c r="H193" i="13"/>
  <c r="H194" i="13"/>
  <c r="H195" i="13"/>
  <c r="H196" i="13"/>
  <c r="H197" i="13"/>
  <c r="H198" i="13"/>
  <c r="H199" i="13"/>
  <c r="H200" i="13"/>
  <c r="H201" i="13"/>
  <c r="H202" i="13"/>
  <c r="H203" i="13"/>
  <c r="H204" i="13"/>
  <c r="H205" i="13"/>
  <c r="H206" i="13"/>
  <c r="H207" i="13"/>
  <c r="H208" i="13"/>
  <c r="H209" i="13"/>
  <c r="H210" i="13"/>
  <c r="H211" i="13"/>
  <c r="H212" i="13"/>
  <c r="H213" i="13"/>
  <c r="H214" i="13"/>
  <c r="H215" i="13"/>
  <c r="H216" i="13"/>
  <c r="H217" i="13"/>
  <c r="H218" i="13"/>
  <c r="H219" i="13"/>
  <c r="H220" i="13"/>
  <c r="H221" i="13"/>
  <c r="H222" i="13"/>
  <c r="H223" i="13"/>
  <c r="H224" i="13"/>
  <c r="H225" i="13"/>
  <c r="H226" i="13"/>
  <c r="H227" i="13"/>
  <c r="H228" i="13"/>
  <c r="H229" i="13"/>
  <c r="H230" i="13"/>
  <c r="H231" i="13"/>
  <c r="H232" i="13"/>
  <c r="H233" i="13"/>
  <c r="H234" i="13"/>
  <c r="H235" i="13"/>
  <c r="H236" i="13"/>
  <c r="H237" i="13"/>
  <c r="H238" i="13"/>
  <c r="H239" i="13"/>
  <c r="H240" i="13"/>
  <c r="H241" i="13"/>
  <c r="H242" i="13"/>
  <c r="H243" i="13"/>
  <c r="H244" i="13"/>
  <c r="H245" i="13"/>
  <c r="H246" i="13"/>
  <c r="H247" i="13"/>
  <c r="H248" i="13"/>
  <c r="H249" i="13"/>
  <c r="H250" i="13"/>
  <c r="H251" i="13"/>
  <c r="H252" i="13"/>
  <c r="H253" i="13"/>
  <c r="H254" i="13"/>
  <c r="H255" i="13"/>
  <c r="H256" i="13"/>
  <c r="H257" i="13"/>
  <c r="H258" i="13"/>
  <c r="H259" i="13"/>
  <c r="H260" i="13"/>
  <c r="H261" i="13"/>
  <c r="H262" i="13"/>
  <c r="H263" i="13"/>
  <c r="H264" i="13"/>
  <c r="H265" i="13"/>
  <c r="H266" i="13"/>
  <c r="H267" i="13"/>
  <c r="H268" i="13"/>
  <c r="H269" i="13"/>
  <c r="H270" i="13"/>
  <c r="H271" i="13"/>
  <c r="H272" i="13"/>
  <c r="H273" i="13"/>
  <c r="H274" i="13"/>
  <c r="H275" i="13"/>
  <c r="H276" i="13"/>
  <c r="H277" i="13"/>
  <c r="H278" i="13"/>
  <c r="H279" i="13"/>
  <c r="H280" i="13"/>
  <c r="H281" i="13"/>
  <c r="H282" i="13"/>
  <c r="H283" i="13"/>
  <c r="H284" i="13"/>
  <c r="H285" i="13"/>
  <c r="H286" i="13"/>
  <c r="H287" i="13"/>
  <c r="H288" i="13"/>
  <c r="H289" i="13"/>
  <c r="H290" i="13"/>
  <c r="H291" i="13"/>
  <c r="H292" i="13"/>
  <c r="H293" i="13"/>
  <c r="H294" i="13"/>
  <c r="H295" i="13"/>
  <c r="H296" i="13"/>
  <c r="H297" i="13"/>
  <c r="H298" i="13"/>
  <c r="H299" i="13"/>
  <c r="H300" i="13"/>
  <c r="H301" i="13"/>
  <c r="H302" i="13"/>
  <c r="H303" i="13"/>
  <c r="H304" i="13"/>
  <c r="H305" i="13"/>
  <c r="H306" i="13"/>
  <c r="H307" i="13"/>
  <c r="H308" i="13"/>
  <c r="H309" i="13"/>
  <c r="H310" i="13"/>
  <c r="H311" i="13"/>
  <c r="H312" i="13"/>
  <c r="H313" i="13"/>
  <c r="H314" i="13"/>
  <c r="H315" i="13"/>
  <c r="H316" i="13"/>
  <c r="H317" i="13"/>
  <c r="H318" i="13"/>
  <c r="H319" i="13"/>
  <c r="H320" i="13"/>
  <c r="H321" i="13"/>
  <c r="H322" i="13"/>
  <c r="H323" i="13"/>
  <c r="H324" i="13"/>
  <c r="H325" i="13"/>
  <c r="H326" i="13"/>
  <c r="H327" i="13"/>
  <c r="H328" i="13"/>
  <c r="H329" i="13"/>
  <c r="H330" i="13"/>
  <c r="H331" i="13"/>
  <c r="H332" i="13"/>
  <c r="H333" i="13"/>
  <c r="H334" i="13"/>
  <c r="H335" i="13"/>
  <c r="H336" i="13"/>
  <c r="H337" i="13"/>
  <c r="H338" i="13"/>
  <c r="H339" i="13"/>
  <c r="H340" i="13"/>
  <c r="H341" i="13"/>
  <c r="H342" i="13"/>
  <c r="H343" i="13"/>
  <c r="H344" i="13"/>
  <c r="H345" i="13"/>
  <c r="H346" i="13"/>
  <c r="H347" i="13"/>
  <c r="H348" i="13"/>
  <c r="H349" i="13"/>
  <c r="H350" i="13"/>
  <c r="H351" i="13"/>
  <c r="H352" i="13"/>
  <c r="H353" i="13"/>
  <c r="H354" i="13"/>
  <c r="H355" i="13"/>
  <c r="H356" i="13"/>
  <c r="H357" i="13"/>
  <c r="H358" i="13"/>
  <c r="H359" i="13"/>
  <c r="H360" i="13"/>
  <c r="H361" i="13"/>
  <c r="H362" i="13"/>
  <c r="H363" i="13"/>
  <c r="H364" i="13"/>
  <c r="H365" i="13"/>
  <c r="H366" i="13"/>
  <c r="H367" i="13"/>
  <c r="H368" i="13"/>
  <c r="H369" i="13"/>
  <c r="H370" i="13"/>
  <c r="H371" i="13"/>
  <c r="H372" i="13"/>
  <c r="H373" i="13"/>
  <c r="H374" i="13"/>
  <c r="H375" i="13"/>
  <c r="H376" i="13"/>
  <c r="H377" i="13"/>
  <c r="H378" i="13"/>
  <c r="H379" i="13"/>
  <c r="H380" i="13"/>
  <c r="H381" i="13"/>
  <c r="H382" i="13"/>
  <c r="H383" i="13"/>
  <c r="H384" i="13"/>
  <c r="H385" i="13"/>
  <c r="H386" i="13"/>
  <c r="H387" i="13"/>
  <c r="H388" i="13"/>
  <c r="H389" i="13"/>
  <c r="H390" i="13"/>
  <c r="H391" i="13"/>
  <c r="H392" i="13"/>
  <c r="H393" i="13"/>
  <c r="H394" i="13"/>
  <c r="H395" i="13"/>
  <c r="H396" i="13"/>
  <c r="H397" i="13"/>
  <c r="H398" i="13"/>
  <c r="H399" i="13"/>
  <c r="H400" i="13"/>
  <c r="H401" i="13"/>
  <c r="H402" i="13"/>
  <c r="H403" i="13"/>
  <c r="H404" i="13"/>
  <c r="H405" i="13"/>
  <c r="H406" i="13"/>
  <c r="H407" i="13"/>
  <c r="H408" i="13"/>
  <c r="H409" i="13"/>
  <c r="H410" i="13"/>
  <c r="H411" i="13"/>
  <c r="H412" i="13"/>
  <c r="H413" i="13"/>
  <c r="H414" i="13"/>
  <c r="H415" i="13"/>
  <c r="H416" i="13"/>
  <c r="H417" i="13"/>
  <c r="H418" i="13"/>
  <c r="H419" i="13"/>
  <c r="H420" i="13"/>
  <c r="H421" i="13"/>
  <c r="H422" i="13"/>
  <c r="H423" i="13"/>
  <c r="H424" i="13"/>
  <c r="H425" i="13"/>
  <c r="H426" i="13"/>
  <c r="H427" i="13"/>
  <c r="H428" i="13"/>
  <c r="H429" i="13"/>
  <c r="H430" i="13"/>
  <c r="H431" i="13"/>
  <c r="H432" i="13"/>
  <c r="H433" i="13"/>
  <c r="H434" i="13"/>
  <c r="H435" i="13"/>
  <c r="H436" i="13"/>
  <c r="H437" i="13"/>
  <c r="H438" i="13"/>
  <c r="H439" i="13"/>
  <c r="H440" i="13"/>
  <c r="H441" i="13"/>
  <c r="H442" i="13"/>
  <c r="H443" i="13"/>
  <c r="H444" i="13"/>
  <c r="H445" i="13"/>
  <c r="H446" i="13"/>
  <c r="H447" i="13"/>
  <c r="H448" i="13"/>
  <c r="H449" i="13"/>
  <c r="H450" i="13"/>
  <c r="H451" i="13"/>
  <c r="H452" i="13"/>
  <c r="H453" i="13"/>
  <c r="H454" i="13"/>
  <c r="H455" i="13"/>
  <c r="H456" i="13"/>
  <c r="H457" i="13"/>
  <c r="H458" i="13"/>
  <c r="H459" i="13"/>
  <c r="H460" i="13"/>
  <c r="H461" i="13"/>
  <c r="H462" i="13"/>
  <c r="H463" i="13"/>
  <c r="H464" i="13"/>
  <c r="H465" i="13"/>
  <c r="H466" i="13"/>
  <c r="H467" i="13"/>
  <c r="H468" i="13"/>
  <c r="H469" i="13"/>
  <c r="H470" i="13"/>
  <c r="H471" i="13"/>
  <c r="H472" i="13"/>
  <c r="H473" i="13"/>
  <c r="H474" i="13"/>
  <c r="H475" i="13"/>
  <c r="H476" i="13"/>
  <c r="H477" i="13"/>
  <c r="H478" i="13"/>
  <c r="H479" i="13"/>
  <c r="H480" i="13"/>
  <c r="H481" i="13"/>
  <c r="H482" i="13"/>
  <c r="H483" i="13"/>
  <c r="H484" i="13"/>
  <c r="H485" i="13"/>
  <c r="H486" i="13"/>
  <c r="H487" i="13"/>
  <c r="H488" i="13"/>
  <c r="H489" i="13"/>
  <c r="H490" i="13"/>
  <c r="H491" i="13"/>
  <c r="H492" i="13"/>
  <c r="H493" i="13"/>
  <c r="H494" i="13"/>
  <c r="H495" i="13"/>
  <c r="H496" i="13"/>
  <c r="H497" i="13"/>
  <c r="H498" i="13"/>
  <c r="H499" i="13"/>
  <c r="H500" i="13"/>
  <c r="H501" i="13"/>
  <c r="H502" i="13"/>
  <c r="H503" i="13"/>
  <c r="H504" i="13"/>
  <c r="H505" i="13"/>
  <c r="H506" i="13"/>
  <c r="H507" i="13"/>
  <c r="H3" i="13"/>
  <c r="G4" i="13"/>
  <c r="G5" i="13"/>
  <c r="G6" i="13"/>
  <c r="G11" i="13"/>
  <c r="G12" i="13"/>
  <c r="G13" i="13"/>
  <c r="G14" i="13"/>
  <c r="G15" i="13"/>
  <c r="G16" i="13"/>
  <c r="G17" i="13"/>
  <c r="G18" i="13"/>
  <c r="G19" i="13"/>
  <c r="G20" i="13"/>
  <c r="G21" i="13"/>
  <c r="G22" i="13"/>
  <c r="G23" i="13"/>
  <c r="G24" i="13"/>
  <c r="G25" i="13"/>
  <c r="G26" i="13"/>
  <c r="G27" i="13"/>
  <c r="G28" i="13"/>
  <c r="G29" i="13"/>
  <c r="G30" i="13"/>
  <c r="G31" i="13"/>
  <c r="G32" i="13"/>
  <c r="G33" i="13"/>
  <c r="G34" i="13"/>
  <c r="G35" i="13"/>
  <c r="G36" i="13"/>
  <c r="G37" i="13"/>
  <c r="G38" i="13"/>
  <c r="G39" i="13"/>
  <c r="G40" i="13"/>
  <c r="G41" i="13"/>
  <c r="G42" i="13"/>
  <c r="G43" i="13"/>
  <c r="G44" i="13"/>
  <c r="G45" i="13"/>
  <c r="G46" i="13"/>
  <c r="G47" i="13"/>
  <c r="G48" i="13"/>
  <c r="G49" i="13"/>
  <c r="G50" i="13"/>
  <c r="G51" i="13"/>
  <c r="G52" i="13"/>
  <c r="G53" i="13"/>
  <c r="G54" i="13"/>
  <c r="G55" i="13"/>
  <c r="G56" i="13"/>
  <c r="G57" i="13"/>
  <c r="G58" i="13"/>
  <c r="G59" i="13"/>
  <c r="G60" i="13"/>
  <c r="G61" i="13"/>
  <c r="G62" i="13"/>
  <c r="G63" i="13"/>
  <c r="G64" i="13"/>
  <c r="G65" i="13"/>
  <c r="G66" i="13"/>
  <c r="G67" i="13"/>
  <c r="G68" i="13"/>
  <c r="G69" i="13"/>
  <c r="G70" i="13"/>
  <c r="G71" i="13"/>
  <c r="G72" i="13"/>
  <c r="G73" i="13"/>
  <c r="G74" i="13"/>
  <c r="G75" i="13"/>
  <c r="G76" i="13"/>
  <c r="G77" i="13"/>
  <c r="G78" i="13"/>
  <c r="G79" i="13"/>
  <c r="G80" i="13"/>
  <c r="G81" i="13"/>
  <c r="G82" i="13"/>
  <c r="G83" i="13"/>
  <c r="G84" i="13"/>
  <c r="G85" i="13"/>
  <c r="G86" i="13"/>
  <c r="G87" i="13"/>
  <c r="G88" i="13"/>
  <c r="G89" i="13"/>
  <c r="G90" i="13"/>
  <c r="G91" i="13"/>
  <c r="G92" i="13"/>
  <c r="G93" i="13"/>
  <c r="G94" i="13"/>
  <c r="G95" i="13"/>
  <c r="G96" i="13"/>
  <c r="G97" i="13"/>
  <c r="G98" i="13"/>
  <c r="G99" i="13"/>
  <c r="G100" i="13"/>
  <c r="G101" i="13"/>
  <c r="G102" i="13"/>
  <c r="G103" i="13"/>
  <c r="G104" i="13"/>
  <c r="G105" i="13"/>
  <c r="G106" i="13"/>
  <c r="G107" i="13"/>
  <c r="G108" i="13"/>
  <c r="G109" i="13"/>
  <c r="G110" i="13"/>
  <c r="G111" i="13"/>
  <c r="G112" i="13"/>
  <c r="G113" i="13"/>
  <c r="G114" i="13"/>
  <c r="G115" i="13"/>
  <c r="G116" i="13"/>
  <c r="G117" i="13"/>
  <c r="G118" i="13"/>
  <c r="G119" i="13"/>
  <c r="G120" i="13"/>
  <c r="G121" i="13"/>
  <c r="G122" i="13"/>
  <c r="G123" i="13"/>
  <c r="G124" i="13"/>
  <c r="G125" i="13"/>
  <c r="G126" i="13"/>
  <c r="G127" i="13"/>
  <c r="G128" i="13"/>
  <c r="G129" i="13"/>
  <c r="G130" i="13"/>
  <c r="G131" i="13"/>
  <c r="G132" i="13"/>
  <c r="G133" i="13"/>
  <c r="G134" i="13"/>
  <c r="G135" i="13"/>
  <c r="G136" i="13"/>
  <c r="G137" i="13"/>
  <c r="G138" i="13"/>
  <c r="G139" i="13"/>
  <c r="G140" i="13"/>
  <c r="G141" i="13"/>
  <c r="G142" i="13"/>
  <c r="G143" i="13"/>
  <c r="G144" i="13"/>
  <c r="G145" i="13"/>
  <c r="G146" i="13"/>
  <c r="G147" i="13"/>
  <c r="G148" i="13"/>
  <c r="G149" i="13"/>
  <c r="G150" i="13"/>
  <c r="G151" i="13"/>
  <c r="G152" i="13"/>
  <c r="G153" i="13"/>
  <c r="G154" i="13"/>
  <c r="G155" i="13"/>
  <c r="G156" i="13"/>
  <c r="G157" i="13"/>
  <c r="G158" i="13"/>
  <c r="G159" i="13"/>
  <c r="G160" i="13"/>
  <c r="G161" i="13"/>
  <c r="G162" i="13"/>
  <c r="G163" i="13"/>
  <c r="G164" i="13"/>
  <c r="G165" i="13"/>
  <c r="G166" i="13"/>
  <c r="G167" i="13"/>
  <c r="G168" i="13"/>
  <c r="G169" i="13"/>
  <c r="G170" i="13"/>
  <c r="G171" i="13"/>
  <c r="G172" i="13"/>
  <c r="G173" i="13"/>
  <c r="G174" i="13"/>
  <c r="G175" i="13"/>
  <c r="G176" i="13"/>
  <c r="G177" i="13"/>
  <c r="G178" i="13"/>
  <c r="G179" i="13"/>
  <c r="G180" i="13"/>
  <c r="G181" i="13"/>
  <c r="G182" i="13"/>
  <c r="G183" i="13"/>
  <c r="G184" i="13"/>
  <c r="G185" i="13"/>
  <c r="G186" i="13"/>
  <c r="G187" i="13"/>
  <c r="G188" i="13"/>
  <c r="G189" i="13"/>
  <c r="G190" i="13"/>
  <c r="G191" i="13"/>
  <c r="G192" i="13"/>
  <c r="G193" i="13"/>
  <c r="G194" i="13"/>
  <c r="G195" i="13"/>
  <c r="G196" i="13"/>
  <c r="G197" i="13"/>
  <c r="G198" i="13"/>
  <c r="G199" i="13"/>
  <c r="G200" i="13"/>
  <c r="G201" i="13"/>
  <c r="G202" i="13"/>
  <c r="G203" i="13"/>
  <c r="G204" i="13"/>
  <c r="G205" i="13"/>
  <c r="G206" i="13"/>
  <c r="G207" i="13"/>
  <c r="G208" i="13"/>
  <c r="G209" i="13"/>
  <c r="G210" i="13"/>
  <c r="G211" i="13"/>
  <c r="G212" i="13"/>
  <c r="G213" i="13"/>
  <c r="G214" i="13"/>
  <c r="G215" i="13"/>
  <c r="G216" i="13"/>
  <c r="G217" i="13"/>
  <c r="G218" i="13"/>
  <c r="G219" i="13"/>
  <c r="G220" i="13"/>
  <c r="G221" i="13"/>
  <c r="G222" i="13"/>
  <c r="G223" i="13"/>
  <c r="G224" i="13"/>
  <c r="G225" i="13"/>
  <c r="G226" i="13"/>
  <c r="G227" i="13"/>
  <c r="G228" i="13"/>
  <c r="G229" i="13"/>
  <c r="G230" i="13"/>
  <c r="G231" i="13"/>
  <c r="G232" i="13"/>
  <c r="G233" i="13"/>
  <c r="G234" i="13"/>
  <c r="G235" i="13"/>
  <c r="G236" i="13"/>
  <c r="G237" i="13"/>
  <c r="G238" i="13"/>
  <c r="G239" i="13"/>
  <c r="G240" i="13"/>
  <c r="G241" i="13"/>
  <c r="G242" i="13"/>
  <c r="G243" i="13"/>
  <c r="G244" i="13"/>
  <c r="G245" i="13"/>
  <c r="G246" i="13"/>
  <c r="G247" i="13"/>
  <c r="G248" i="13"/>
  <c r="G249" i="13"/>
  <c r="G250" i="13"/>
  <c r="G251" i="13"/>
  <c r="G252" i="13"/>
  <c r="G253" i="13"/>
  <c r="G254" i="13"/>
  <c r="G255" i="13"/>
  <c r="G256" i="13"/>
  <c r="G257" i="13"/>
  <c r="G258" i="13"/>
  <c r="G259" i="13"/>
  <c r="G260" i="13"/>
  <c r="G261" i="13"/>
  <c r="G262" i="13"/>
  <c r="G263" i="13"/>
  <c r="G264" i="13"/>
  <c r="G265" i="13"/>
  <c r="G266" i="13"/>
  <c r="G267" i="13"/>
  <c r="G268" i="13"/>
  <c r="G269" i="13"/>
  <c r="G270" i="13"/>
  <c r="G271" i="13"/>
  <c r="G272" i="13"/>
  <c r="G273" i="13"/>
  <c r="G274" i="13"/>
  <c r="G275" i="13"/>
  <c r="G276" i="13"/>
  <c r="G277" i="13"/>
  <c r="G278" i="13"/>
  <c r="G279" i="13"/>
  <c r="G280" i="13"/>
  <c r="G281" i="13"/>
  <c r="G282" i="13"/>
  <c r="G283" i="13"/>
  <c r="G284" i="13"/>
  <c r="G285" i="13"/>
  <c r="G286" i="13"/>
  <c r="G287" i="13"/>
  <c r="G288" i="13"/>
  <c r="G289" i="13"/>
  <c r="G290" i="13"/>
  <c r="G291" i="13"/>
  <c r="G292" i="13"/>
  <c r="G293" i="13"/>
  <c r="G294" i="13"/>
  <c r="G295" i="13"/>
  <c r="G296" i="13"/>
  <c r="G297" i="13"/>
  <c r="G298" i="13"/>
  <c r="G299" i="13"/>
  <c r="G300" i="13"/>
  <c r="G301" i="13"/>
  <c r="G302" i="13"/>
  <c r="G303" i="13"/>
  <c r="G304" i="13"/>
  <c r="G305" i="13"/>
  <c r="G306" i="13"/>
  <c r="G307" i="13"/>
  <c r="G308" i="13"/>
  <c r="G309" i="13"/>
  <c r="G310" i="13"/>
  <c r="G311" i="13"/>
  <c r="G312" i="13"/>
  <c r="G313" i="13"/>
  <c r="G314" i="13"/>
  <c r="G315" i="13"/>
  <c r="G316" i="13"/>
  <c r="G317" i="13"/>
  <c r="G318" i="13"/>
  <c r="G319" i="13"/>
  <c r="G320" i="13"/>
  <c r="G321" i="13"/>
  <c r="G322" i="13"/>
  <c r="G323" i="13"/>
  <c r="G324" i="13"/>
  <c r="G325" i="13"/>
  <c r="G326" i="13"/>
  <c r="G327" i="13"/>
  <c r="G328" i="13"/>
  <c r="G329" i="13"/>
  <c r="G330" i="13"/>
  <c r="G331" i="13"/>
  <c r="G332" i="13"/>
  <c r="G333" i="13"/>
  <c r="G334" i="13"/>
  <c r="G335" i="13"/>
  <c r="G336" i="13"/>
  <c r="G337" i="13"/>
  <c r="G338" i="13"/>
  <c r="G339" i="13"/>
  <c r="G340" i="13"/>
  <c r="G341" i="13"/>
  <c r="G342" i="13"/>
  <c r="G343" i="13"/>
  <c r="G344" i="13"/>
  <c r="G345" i="13"/>
  <c r="G346" i="13"/>
  <c r="G347" i="13"/>
  <c r="G348" i="13"/>
  <c r="G349" i="13"/>
  <c r="G350" i="13"/>
  <c r="G351" i="13"/>
  <c r="G352" i="13"/>
  <c r="G353" i="13"/>
  <c r="G354" i="13"/>
  <c r="G355" i="13"/>
  <c r="G356" i="13"/>
  <c r="G357" i="13"/>
  <c r="G358" i="13"/>
  <c r="G359" i="13"/>
  <c r="G360" i="13"/>
  <c r="G361" i="13"/>
  <c r="G362" i="13"/>
  <c r="G363" i="13"/>
  <c r="G364" i="13"/>
  <c r="G365" i="13"/>
  <c r="G366" i="13"/>
  <c r="G367" i="13"/>
  <c r="G368" i="13"/>
  <c r="G369" i="13"/>
  <c r="G370" i="13"/>
  <c r="G371" i="13"/>
  <c r="G372" i="13"/>
  <c r="G373" i="13"/>
  <c r="G374" i="13"/>
  <c r="G375" i="13"/>
  <c r="G376" i="13"/>
  <c r="G377" i="13"/>
  <c r="G378" i="13"/>
  <c r="G379" i="13"/>
  <c r="G380" i="13"/>
  <c r="G381" i="13"/>
  <c r="G382" i="13"/>
  <c r="G383" i="13"/>
  <c r="G384" i="13"/>
  <c r="G385" i="13"/>
  <c r="G386" i="13"/>
  <c r="G387" i="13"/>
  <c r="G388" i="13"/>
  <c r="G389" i="13"/>
  <c r="G390" i="13"/>
  <c r="G391" i="13"/>
  <c r="G392" i="13"/>
  <c r="G393" i="13"/>
  <c r="G394" i="13"/>
  <c r="G395" i="13"/>
  <c r="G396" i="13"/>
  <c r="G397" i="13"/>
  <c r="G398" i="13"/>
  <c r="G399" i="13"/>
  <c r="G400" i="13"/>
  <c r="G401" i="13"/>
  <c r="G402" i="13"/>
  <c r="G403" i="13"/>
  <c r="G404" i="13"/>
  <c r="G405" i="13"/>
  <c r="G406" i="13"/>
  <c r="G407" i="13"/>
  <c r="G408" i="13"/>
  <c r="G409" i="13"/>
  <c r="G410" i="13"/>
  <c r="G411" i="13"/>
  <c r="G412" i="13"/>
  <c r="G413" i="13"/>
  <c r="G414" i="13"/>
  <c r="G415" i="13"/>
  <c r="G416" i="13"/>
  <c r="G417" i="13"/>
  <c r="G418" i="13"/>
  <c r="G419" i="13"/>
  <c r="G420" i="13"/>
  <c r="G421" i="13"/>
  <c r="G422" i="13"/>
  <c r="G423" i="13"/>
  <c r="G424" i="13"/>
  <c r="G425" i="13"/>
  <c r="G426" i="13"/>
  <c r="G427" i="13"/>
  <c r="G428" i="13"/>
  <c r="G429" i="13"/>
  <c r="G430" i="13"/>
  <c r="G431" i="13"/>
  <c r="G432" i="13"/>
  <c r="G433" i="13"/>
  <c r="G434" i="13"/>
  <c r="G435" i="13"/>
  <c r="G436" i="13"/>
  <c r="G437" i="13"/>
  <c r="G438" i="13"/>
  <c r="G439" i="13"/>
  <c r="G440" i="13"/>
  <c r="G441" i="13"/>
  <c r="G442" i="13"/>
  <c r="G443" i="13"/>
  <c r="G444" i="13"/>
  <c r="G445" i="13"/>
  <c r="G446" i="13"/>
  <c r="G447" i="13"/>
  <c r="G448" i="13"/>
  <c r="G449" i="13"/>
  <c r="G450" i="13"/>
  <c r="G451" i="13"/>
  <c r="G452" i="13"/>
  <c r="G453" i="13"/>
  <c r="G454" i="13"/>
  <c r="G455" i="13"/>
  <c r="G456" i="13"/>
  <c r="G457" i="13"/>
  <c r="G458" i="13"/>
  <c r="G459" i="13"/>
  <c r="G460" i="13"/>
  <c r="G461" i="13"/>
  <c r="G462" i="13"/>
  <c r="G463" i="13"/>
  <c r="G464" i="13"/>
  <c r="G465" i="13"/>
  <c r="G466" i="13"/>
  <c r="G467" i="13"/>
  <c r="G468" i="13"/>
  <c r="G469" i="13"/>
  <c r="G470" i="13"/>
  <c r="G471" i="13"/>
  <c r="G472" i="13"/>
  <c r="G473" i="13"/>
  <c r="G474" i="13"/>
  <c r="G475" i="13"/>
  <c r="G476" i="13"/>
  <c r="G477" i="13"/>
  <c r="G478" i="13"/>
  <c r="G479" i="13"/>
  <c r="G480" i="13"/>
  <c r="G481" i="13"/>
  <c r="G482" i="13"/>
  <c r="G483" i="13"/>
  <c r="G484" i="13"/>
  <c r="G485" i="13"/>
  <c r="G486" i="13"/>
  <c r="G487" i="13"/>
  <c r="G488" i="13"/>
  <c r="G489" i="13"/>
  <c r="G490" i="13"/>
  <c r="G491" i="13"/>
  <c r="G492" i="13"/>
  <c r="G493" i="13"/>
  <c r="G494" i="13"/>
  <c r="G495" i="13"/>
  <c r="G496" i="13"/>
  <c r="G497" i="13"/>
  <c r="G498" i="13"/>
  <c r="G499" i="13"/>
  <c r="G500" i="13"/>
  <c r="G501" i="13"/>
  <c r="G502" i="13"/>
  <c r="G503" i="13"/>
  <c r="G504" i="13"/>
  <c r="G505" i="13"/>
  <c r="G506" i="13"/>
  <c r="G507" i="13"/>
  <c r="G3" i="13"/>
  <c r="E16" i="2"/>
  <c r="J42" i="2"/>
  <c r="K42" i="2"/>
  <c r="M42" i="2"/>
  <c r="I24" i="2"/>
  <c r="J27" i="2"/>
  <c r="K27" i="2"/>
  <c r="M27" i="2"/>
  <c r="M33" i="2"/>
  <c r="L24" i="2"/>
  <c r="M22" i="2"/>
  <c r="J24" i="2"/>
  <c r="M20"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E1E1450-89D7-4F4C-80A3-E0F42CADE244}" keepAlive="1" name="Query - InvMaster" description="Connection to the 'InvMaster' query in the workbook." type="5" refreshedVersion="0" background="1">
    <dbPr connection="Provider=Microsoft.Mashup.OleDb.1;Data Source=$Workbook$;Location=InvMaster;Extended Properties=&quot;&quot;" command="SELECT * FROM [InvMaster]"/>
  </connection>
  <connection id="2" xr16:uid="{ECDEA54C-DCCE-45F9-AF4F-770A388338B3}" keepAlive="1" name="Query - InvMaster+" description="Connection to the 'InvMaster+' query in the workbook." type="5" refreshedVersion="0" background="1">
    <dbPr connection="Provider=Microsoft.Mashup.OleDb.1;Data Source=$Workbook$;Location=InvMaster+;Extended Properties=&quot;&quot;" command="SELECT * FROM [InvMaster+]"/>
  </connection>
  <connection id="3" xr16:uid="{9E587759-8720-4EE5-89E4-149F0696FBB4}" keepAlive="1" name="Query - Product Search" description="Connection to the 'Product Search' query in the workbook." type="5" refreshedVersion="8" background="1" saveData="1">
    <dbPr connection="Provider=Microsoft.Mashup.OleDb.1;Data Source=$Workbook$;Location=&quot;Product Search&quot;;Extended Properties=&quot;&quot;" command="SELECT * FROM [Product Search]"/>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<sst xmlns="http://schemas.openxmlformats.org/spreadsheetml/2006/main" count="42811" uniqueCount="8458">
  <si>
    <t xml:space="preserve">TAG HARDWARE    -  PRICE LIST         US$                                                                          </t>
  </si>
  <si>
    <t>FOB  -  TAG, Surrey, BC Canada</t>
  </si>
  <si>
    <t>Terms Net 30 Days</t>
  </si>
  <si>
    <t>COLOR</t>
  </si>
  <si>
    <t>CASE</t>
  </si>
  <si>
    <t>UNIT</t>
  </si>
  <si>
    <t xml:space="preserve">   PART CODE</t>
  </si>
  <si>
    <t xml:space="preserve">   ITEM DESCRIPTION</t>
  </si>
  <si>
    <t>CODE</t>
  </si>
  <si>
    <t>QTY.</t>
  </si>
  <si>
    <t>PRICE (ea.)</t>
  </si>
  <si>
    <t>PRICE</t>
  </si>
  <si>
    <t>CALIFORNIA CLOSETS BRANDING PLAQUE</t>
  </si>
  <si>
    <t>MALCR</t>
  </si>
  <si>
    <t>300.9250</t>
  </si>
  <si>
    <t>California Closets branding plaque</t>
  </si>
  <si>
    <t>PANTS - SKIRTS - HAMPERS - SHOE RAILS</t>
  </si>
  <si>
    <t>300.3108.CR</t>
  </si>
  <si>
    <t>18" Pull-Out Pant Rack w/12 Hangers</t>
  </si>
  <si>
    <t>CR</t>
  </si>
  <si>
    <t>300.3108.MAL</t>
  </si>
  <si>
    <t>MAL</t>
  </si>
  <si>
    <t>300.3110.CR</t>
  </si>
  <si>
    <t>24" Pull-Out Pant Rack w/18 Hangers</t>
  </si>
  <si>
    <t>300.3110.MAL</t>
  </si>
  <si>
    <t>300.3130.CR</t>
  </si>
  <si>
    <t>30" Pull-Out Pant Rack w/24 Hangers</t>
  </si>
  <si>
    <t>300.3130.MAL</t>
  </si>
  <si>
    <t>300.3036.CR</t>
  </si>
  <si>
    <t>300.3148.CR</t>
  </si>
  <si>
    <t>18" Pull-Out Hamper w/1 Large Bag</t>
  </si>
  <si>
    <t>300.3148.MAL</t>
  </si>
  <si>
    <t>300.3037.CR</t>
  </si>
  <si>
    <t>300.3140.CR</t>
  </si>
  <si>
    <t>24" Pull-Out Hamper w/2 Small Bags</t>
  </si>
  <si>
    <t>300.3140.MAL</t>
  </si>
  <si>
    <t>300.3037.ORB</t>
  </si>
  <si>
    <t>300.3038.CR</t>
  </si>
  <si>
    <t>300.3038.MAL</t>
  </si>
  <si>
    <t>300.3143.CR</t>
  </si>
  <si>
    <t>30" Pull-Out Hamper w/1 Sm &amp; 1 Lg Bag</t>
  </si>
  <si>
    <t>300.3143.MAL</t>
  </si>
  <si>
    <t>300.3039.CR</t>
  </si>
  <si>
    <t>18" Tilt-Out Hamper w/1 Large Bag</t>
  </si>
  <si>
    <t xml:space="preserve">BLK </t>
  </si>
  <si>
    <t>24" Tilt-Out Hamper w/2 Small Bags</t>
  </si>
  <si>
    <t>30" Tilt-Out Hamper w/1 Sm &amp; 1 Lg Bag</t>
  </si>
  <si>
    <t>300.3111.BLK</t>
  </si>
  <si>
    <t>Pant Rack Hanger</t>
  </si>
  <si>
    <t>300.3112.BLK</t>
  </si>
  <si>
    <t>Pant Rack Garment Clip</t>
  </si>
  <si>
    <t>300.3044.CR</t>
  </si>
  <si>
    <t>300.3117.BLK</t>
  </si>
  <si>
    <t>Small Sort and Go Hamper Bag w/handles</t>
  </si>
  <si>
    <t>300.3044.MAL</t>
  </si>
  <si>
    <t>300.3118.BLK</t>
  </si>
  <si>
    <t>Large Sort and Go Hamper Bag w/handles</t>
  </si>
  <si>
    <t>300.3120.BLK</t>
  </si>
  <si>
    <t>Shoe Rail Connecting Bracket</t>
  </si>
  <si>
    <t>BLK</t>
  </si>
  <si>
    <t>WH</t>
  </si>
  <si>
    <t>300.3045.CR</t>
  </si>
  <si>
    <t>300.3045.MAL</t>
  </si>
  <si>
    <t>300.3122.CR</t>
  </si>
  <si>
    <t>36" Shoe Rail</t>
  </si>
  <si>
    <t>300.3045.ORB</t>
  </si>
  <si>
    <t>300.3122.MAL</t>
  </si>
  <si>
    <t>300.3047.CR</t>
  </si>
  <si>
    <t>300.3047.MAL</t>
  </si>
  <si>
    <t>CLOSET POLES and CUPS</t>
  </si>
  <si>
    <t>300.3047.ORB</t>
  </si>
  <si>
    <r>
      <t xml:space="preserve">Signature Pole </t>
    </r>
    <r>
      <rPr>
        <b/>
        <sz val="17"/>
        <rFont val="Arial"/>
        <family val="2"/>
      </rPr>
      <t>(Capped)</t>
    </r>
    <r>
      <rPr>
        <b/>
        <sz val="18"/>
        <rFont val="Arial"/>
        <family val="2"/>
      </rPr>
      <t xml:space="preserve"> 8</t>
    </r>
    <r>
      <rPr>
        <b/>
        <sz val="17"/>
        <rFont val="Arial"/>
        <family val="2"/>
      </rPr>
      <t xml:space="preserve"> Ft</t>
    </r>
  </si>
  <si>
    <t>300.3092.CR</t>
  </si>
  <si>
    <t>Engage Pole (Capped) 8 Ft</t>
  </si>
  <si>
    <t>Signature Pole Cup (Single)</t>
  </si>
  <si>
    <t>300.3036.MAL</t>
  </si>
  <si>
    <t>300.3036.ORB</t>
  </si>
  <si>
    <t>300.3097.CR</t>
  </si>
  <si>
    <t>300.3097.DRILL</t>
  </si>
  <si>
    <r>
      <t xml:space="preserve">Signature Suspended Support </t>
    </r>
    <r>
      <rPr>
        <b/>
        <sz val="14"/>
        <rFont val="Arial"/>
        <family val="2"/>
      </rPr>
      <t>w/bolt</t>
    </r>
  </si>
  <si>
    <t>300.3097.MAL</t>
  </si>
  <si>
    <t>300.3038.ORB</t>
  </si>
  <si>
    <t>300.3098.08.DRILL</t>
  </si>
  <si>
    <r>
      <t xml:space="preserve">Signature Susp. Center Support </t>
    </r>
    <r>
      <rPr>
        <b/>
        <sz val="14"/>
        <rFont val="Arial"/>
        <family val="2"/>
      </rPr>
      <t>w/bolt</t>
    </r>
  </si>
  <si>
    <t>300.3098.JIG</t>
  </si>
  <si>
    <t>300.3039.MAL</t>
  </si>
  <si>
    <t xml:space="preserve">Elite Round Pole (Capped) 8 Ft. </t>
  </si>
  <si>
    <t>Elite Pole Cup (Single)</t>
  </si>
  <si>
    <t>300.3037.MAL</t>
  </si>
  <si>
    <t>ELITE COLLECTION: TIES - BELTS - VALETS - SCARVES</t>
  </si>
  <si>
    <t>310.3000.12.MALCR</t>
  </si>
  <si>
    <t>Elite Full Extension Tie 12 inch</t>
  </si>
  <si>
    <t>310.3010.12.MALCR</t>
  </si>
  <si>
    <t>Elite Full Extension Belt 12 inch</t>
  </si>
  <si>
    <t>310.3020.12.MALCR</t>
  </si>
  <si>
    <t>Elite Valet 12 inch</t>
  </si>
  <si>
    <t>310.3080.12.MALCR</t>
  </si>
  <si>
    <t>Elite Full Extension Scarf 12 inch</t>
  </si>
  <si>
    <t>310.3000.14.MALCR</t>
  </si>
  <si>
    <t>Elite Full Extension Tie 14 inch</t>
  </si>
  <si>
    <t>310.3010.14.MALCR</t>
  </si>
  <si>
    <t>Elite Full Extension Belt 14 inch</t>
  </si>
  <si>
    <t>310.3020.14.MALCR</t>
  </si>
  <si>
    <t>Elite Valet 14 inch</t>
  </si>
  <si>
    <t>310.3080.14.MALCR</t>
  </si>
  <si>
    <t>Elite Full Extension Scarf 14 inch</t>
  </si>
  <si>
    <t>310.3000.18.MALCR</t>
  </si>
  <si>
    <t>Elite Full Extension Tie 18 inch</t>
  </si>
  <si>
    <t>310.3010.18.MALCR</t>
  </si>
  <si>
    <t>Elite Full Extension Belt 18 inch</t>
  </si>
  <si>
    <t>300.3162.MALCR</t>
  </si>
  <si>
    <t>310.3080.18.MALCR</t>
  </si>
  <si>
    <t>Elite Full Extension Scarf 18 inch</t>
  </si>
  <si>
    <t>300.3164.MALCR</t>
  </si>
  <si>
    <t>ELITE SHOE STORAGE</t>
  </si>
  <si>
    <t>300.3166.CR</t>
  </si>
  <si>
    <t>300.3166.MALCR</t>
  </si>
  <si>
    <t>300.3162.CR</t>
  </si>
  <si>
    <t>Elite Shoe Fence - for up to 12" Shelf</t>
  </si>
  <si>
    <t>300.3168.CR</t>
  </si>
  <si>
    <t>300.3164.CR</t>
  </si>
  <si>
    <t>Elite Shoe Fence - for up to 18" Shelf</t>
  </si>
  <si>
    <t>300.3168.MALCR</t>
  </si>
  <si>
    <t>Elite Shoe Fence - for up to 24" Shelf</t>
  </si>
  <si>
    <t>300.3169.CR</t>
  </si>
  <si>
    <t>Elite Shoe Fence - for up to 30" Shelf</t>
  </si>
  <si>
    <t>300.3170.CR</t>
  </si>
  <si>
    <t>300.3171.CR</t>
  </si>
  <si>
    <t>Elite Shoe Fence - for up to 36" Shelf</t>
  </si>
  <si>
    <t>300.3171.MALCR</t>
  </si>
  <si>
    <t>300.3160.CR</t>
  </si>
  <si>
    <t>Elite Shoe Fence - Bar ONLY - 93"</t>
  </si>
  <si>
    <t>300.3160.MAL</t>
  </si>
  <si>
    <t>Elite Shoe Fences Extra Center Supports</t>
  </si>
  <si>
    <t>Elite Shoe Fences Extra End Posts</t>
  </si>
  <si>
    <t>300.3190.CR</t>
  </si>
  <si>
    <t>300.3190.MAL</t>
  </si>
  <si>
    <t>300.3175.CR</t>
  </si>
  <si>
    <t>Elite Shoe Fences Corner Posts</t>
  </si>
  <si>
    <t>KNOBS, PULLS &amp; HANDLES - DECO HARDWARE</t>
  </si>
  <si>
    <t>300.3191.CR</t>
  </si>
  <si>
    <t>300.3212.000.CR</t>
  </si>
  <si>
    <t>300.3212.000.MAL</t>
  </si>
  <si>
    <t>300.3213.016.CR</t>
  </si>
  <si>
    <t>300.3213.016.MAL</t>
  </si>
  <si>
    <t>300.3191.MAL</t>
  </si>
  <si>
    <t>300.3214.000.CR</t>
  </si>
  <si>
    <r>
      <t xml:space="preserve">Elite Round Knob </t>
    </r>
    <r>
      <rPr>
        <sz val="14"/>
        <rFont val="Arial"/>
        <family val="2"/>
      </rPr>
      <t>with 1 pc 8-32x1" screw</t>
    </r>
  </si>
  <si>
    <t>300.3214.000.MAL</t>
  </si>
  <si>
    <t>300.3192.CR</t>
  </si>
  <si>
    <t>300.3192.MAL</t>
  </si>
  <si>
    <t>300.3215.000.CR</t>
  </si>
  <si>
    <r>
      <t xml:space="preserve">Elite Square Knob </t>
    </r>
    <r>
      <rPr>
        <sz val="14"/>
        <rFont val="Arial"/>
        <family val="2"/>
      </rPr>
      <t>with 1 pc 8-32x1" screw</t>
    </r>
  </si>
  <si>
    <t>300.3215.000.MAL</t>
  </si>
  <si>
    <t>300.3193.CR</t>
  </si>
  <si>
    <t>300.3193.MAL</t>
  </si>
  <si>
    <t>300.3217.016.CR</t>
  </si>
  <si>
    <t>300.3217.016.MAL</t>
  </si>
  <si>
    <t>300.3212.160.CR</t>
  </si>
  <si>
    <t>300.3212.160.MAL</t>
  </si>
  <si>
    <t>300.3213.160.CR</t>
  </si>
  <si>
    <t>300.3213.160.MAL</t>
  </si>
  <si>
    <t>300.3214.128.CR</t>
  </si>
  <si>
    <t>300.3214.128.MAL</t>
  </si>
  <si>
    <t>300.3215.096.CR</t>
  </si>
  <si>
    <r>
      <t xml:space="preserve">Elite Handle 96 mm </t>
    </r>
    <r>
      <rPr>
        <b/>
        <sz val="12"/>
        <rFont val="Arial"/>
        <family val="2"/>
      </rPr>
      <t>+ 2 pcs 8-32x1" screw</t>
    </r>
  </si>
  <si>
    <t>300.3215.096.MAL</t>
  </si>
  <si>
    <t>300.3195.CR</t>
  </si>
  <si>
    <t>300.3195.MAL</t>
  </si>
  <si>
    <t>300.3215.128.CR</t>
  </si>
  <si>
    <r>
      <t xml:space="preserve">Elite Handle 128 mm </t>
    </r>
    <r>
      <rPr>
        <b/>
        <sz val="12"/>
        <rFont val="Arial"/>
        <family val="2"/>
      </rPr>
      <t>+ 2 pcs 8-32x1" screw</t>
    </r>
  </si>
  <si>
    <t>300.3215.128.MAL</t>
  </si>
  <si>
    <t>300.3199.BLK</t>
  </si>
  <si>
    <t>300.3215.192.CR</t>
  </si>
  <si>
    <r>
      <t xml:space="preserve">Elite Handle 192 mm </t>
    </r>
    <r>
      <rPr>
        <b/>
        <sz val="12"/>
        <rFont val="Arial"/>
        <family val="2"/>
      </rPr>
      <t>+ 2 pcs 8-32x1" screw</t>
    </r>
  </si>
  <si>
    <t>300.3215.192.MAL</t>
  </si>
  <si>
    <t>300.3216.128.CR</t>
  </si>
  <si>
    <t>300.3216.128.MAL</t>
  </si>
  <si>
    <t>300.3217.128.CR</t>
  </si>
  <si>
    <t>300.3217.128.MAL</t>
  </si>
  <si>
    <t>300.3226.075.CR</t>
  </si>
  <si>
    <r>
      <t xml:space="preserve">Elite Aluminum Pull 3" </t>
    </r>
    <r>
      <rPr>
        <sz val="14"/>
        <rFont val="Arial"/>
        <family val="2"/>
      </rPr>
      <t>with 2pcs #4x1/2" screw</t>
    </r>
  </si>
  <si>
    <t>300.3226.075.MAL</t>
  </si>
  <si>
    <t>300.3226.225.CR</t>
  </si>
  <si>
    <t>300.3226.225.MAL</t>
  </si>
  <si>
    <t>300.3226.469.CR</t>
  </si>
  <si>
    <r>
      <t xml:space="preserve">Elite Aluminum Pull 18 1/2" </t>
    </r>
    <r>
      <rPr>
        <sz val="14"/>
        <rFont val="Arial"/>
        <family val="2"/>
      </rPr>
      <t>+ 5pcs #4x1/2" screw</t>
    </r>
  </si>
  <si>
    <t>300.3226.469.MAL</t>
  </si>
  <si>
    <t>300.3226.622.CR</t>
  </si>
  <si>
    <r>
      <t xml:space="preserve">Elite Aluminum Pull 24 1/2" </t>
    </r>
    <r>
      <rPr>
        <sz val="14"/>
        <rFont val="Arial"/>
        <family val="2"/>
      </rPr>
      <t>+ 7pcs #4x1/2" screw</t>
    </r>
  </si>
  <si>
    <t>300.3226.622.MAL</t>
  </si>
  <si>
    <t>300.3226.774.CR</t>
  </si>
  <si>
    <r>
      <t xml:space="preserve">Elite Aluminum Pull 30 1/2" </t>
    </r>
    <r>
      <rPr>
        <sz val="18"/>
        <rFont val="Arial"/>
        <family val="2"/>
      </rPr>
      <t>+</t>
    </r>
    <r>
      <rPr>
        <sz val="14"/>
        <rFont val="Arial"/>
        <family val="2"/>
      </rPr>
      <t xml:space="preserve"> 8pcs #4x1/2" screw</t>
    </r>
  </si>
  <si>
    <t>300.3226.774.MAL</t>
  </si>
  <si>
    <t>300.3226.927.CR</t>
  </si>
  <si>
    <r>
      <t xml:space="preserve">Elite Aluminum Pull 36 1/2" </t>
    </r>
    <r>
      <rPr>
        <sz val="14"/>
        <rFont val="Arial"/>
        <family val="2"/>
      </rPr>
      <t>+ 10pcs #4x1/2" screw</t>
    </r>
  </si>
  <si>
    <t>300.3226.927.MAL</t>
  </si>
  <si>
    <t>HOOKS</t>
  </si>
  <si>
    <t>Double Hook Low Profile w/screw</t>
  </si>
  <si>
    <t>Elite Tie Hook - Cleat Mount</t>
  </si>
  <si>
    <t>Elite Belt Hook -  Cleat Mount</t>
  </si>
  <si>
    <t>Elite Double Hook - Cleat Mount</t>
  </si>
  <si>
    <t>300.3602.MAL</t>
  </si>
  <si>
    <t>300.3603</t>
  </si>
  <si>
    <t>Elite Coat Hook - Cleat Mount</t>
  </si>
  <si>
    <t>300.3606.MAL</t>
  </si>
  <si>
    <t>300.3607.MAL</t>
  </si>
  <si>
    <t>300.3194.CR</t>
  </si>
  <si>
    <t>Elite Waterfall Hook - Cleat Mount</t>
  </si>
  <si>
    <t>300.3608.MAL</t>
  </si>
  <si>
    <t>300.3194.MAL</t>
  </si>
  <si>
    <t>Elite Broom Holder - Cleat Mount</t>
  </si>
  <si>
    <t>300.3615.MAL</t>
  </si>
  <si>
    <t>300.3196.CR</t>
  </si>
  <si>
    <t>Elite Compact Coat Hook - Cleat Mount</t>
  </si>
  <si>
    <t>300.3196.MAL</t>
  </si>
  <si>
    <t>Elite Cover Cap - California Closets</t>
  </si>
  <si>
    <t>300.3616.MAL</t>
  </si>
  <si>
    <t>Recessed Valet Pin</t>
  </si>
  <si>
    <t>300.3622</t>
  </si>
  <si>
    <t>300.3624.BLK</t>
  </si>
  <si>
    <t>Drill Bit Ø 11/32"</t>
  </si>
  <si>
    <t>300.3625.CR</t>
  </si>
  <si>
    <t>18" Drill Bit  Ø 8mm</t>
  </si>
  <si>
    <t>300.3098.12.DRILL</t>
  </si>
  <si>
    <t>18" Drill Bit  Ø 12mm</t>
  </si>
  <si>
    <t>Drilling Jig Ø 2x11/32 8mm+12mm</t>
  </si>
  <si>
    <t>300.3710.GLV</t>
  </si>
  <si>
    <t>300.3712.GLV</t>
  </si>
  <si>
    <t>300.3720.AL</t>
  </si>
  <si>
    <t>300.3720.BLK</t>
  </si>
  <si>
    <t>300.5101.MAL</t>
  </si>
  <si>
    <t>300.3720.BRZ</t>
  </si>
  <si>
    <t>300.5102.MAL</t>
  </si>
  <si>
    <t>300.3720.DBR</t>
  </si>
  <si>
    <t>300.5103.MAL</t>
  </si>
  <si>
    <t>300.3720.GRY</t>
  </si>
  <si>
    <t>300.5104.MAL</t>
  </si>
  <si>
    <t>300.3720.STN</t>
  </si>
  <si>
    <t>300.5108.MAL</t>
  </si>
  <si>
    <t>300.3720.WH</t>
  </si>
  <si>
    <t>300.3730</t>
  </si>
  <si>
    <t>300.5109.MAL</t>
  </si>
  <si>
    <t>300.3731</t>
  </si>
  <si>
    <t>300.3733</t>
  </si>
  <si>
    <t>300.3735</t>
  </si>
  <si>
    <t>300.5200.BLK</t>
  </si>
  <si>
    <t>California Closets Cover Cap Heavy Duty H</t>
  </si>
  <si>
    <t>300.3741</t>
  </si>
  <si>
    <t>300.5200.MAL</t>
  </si>
  <si>
    <t>300.3742</t>
  </si>
  <si>
    <t>300.5201.MAL</t>
  </si>
  <si>
    <t>Garden Tool Hook  Heavy Duty</t>
  </si>
  <si>
    <t>300.3746.AL</t>
  </si>
  <si>
    <t>300.5202.MAL</t>
  </si>
  <si>
    <t>Bike Hook  Heavy Duty</t>
  </si>
  <si>
    <t>300.3746.BLK</t>
  </si>
  <si>
    <t>300.5203.MAL</t>
  </si>
  <si>
    <t>Hose Hook  Heavy Duty</t>
  </si>
  <si>
    <t>300.3746.BRZ</t>
  </si>
  <si>
    <t>300.5204.MAL</t>
  </si>
  <si>
    <t>Utility Hook 5"  Heavy Duty</t>
  </si>
  <si>
    <t>300.3746.CDL</t>
  </si>
  <si>
    <t>300.5205.MAL</t>
  </si>
  <si>
    <t>Activity Rack  Heavy Duty</t>
  </si>
  <si>
    <t>300.3746.DBR</t>
  </si>
  <si>
    <t>300.5206.MAL</t>
  </si>
  <si>
    <t>Utility Hook 16"  Heavy Duty</t>
  </si>
  <si>
    <t>300.3746.GRY</t>
  </si>
  <si>
    <t>300.5207.MAL</t>
  </si>
  <si>
    <t>Fishing Rod Holder  Heavy Duty</t>
  </si>
  <si>
    <t>300.3746.IVR</t>
  </si>
  <si>
    <t>300.5208.MAL</t>
  </si>
  <si>
    <t>Shelf Support</t>
  </si>
  <si>
    <t>300.3746.STN</t>
  </si>
  <si>
    <t>300.5209.MAL</t>
  </si>
  <si>
    <t>300.3746.WH</t>
  </si>
  <si>
    <t>300.3747.AL</t>
  </si>
  <si>
    <t>300.5230.BLK</t>
  </si>
  <si>
    <t>California Closets Cover Cap  Light Duty H.</t>
  </si>
  <si>
    <t>300.3747.BLK</t>
  </si>
  <si>
    <t>300.5230.MAL</t>
  </si>
  <si>
    <t>300.3747.BRZ</t>
  </si>
  <si>
    <t>300.3747.CDL</t>
  </si>
  <si>
    <t>300.5231.MAL</t>
  </si>
  <si>
    <t>Plier Holder  Light Duty</t>
  </si>
  <si>
    <t>300.3747.DBR</t>
  </si>
  <si>
    <t>300.5232.MAL</t>
  </si>
  <si>
    <t>Wrench Holder  Light Duty</t>
  </si>
  <si>
    <t>300.3747.GRY</t>
  </si>
  <si>
    <t>300.5233.MAL</t>
  </si>
  <si>
    <t>Screw Driver Holder  Light Duty</t>
  </si>
  <si>
    <t>300.3747.IVR</t>
  </si>
  <si>
    <t>300.5234.MAL</t>
  </si>
  <si>
    <t>Wire Basket Hook  Light Duty</t>
  </si>
  <si>
    <t>300.3747.STN</t>
  </si>
  <si>
    <t>300.5261.MAL</t>
  </si>
  <si>
    <t>Single Hook  Light Duty</t>
  </si>
  <si>
    <t>300.3747.WH</t>
  </si>
  <si>
    <t>300.5262.MAL</t>
  </si>
  <si>
    <t>Paper Organizer Set  Light Duty</t>
  </si>
  <si>
    <t>300.3749</t>
  </si>
  <si>
    <t>300.5263.MAL</t>
  </si>
  <si>
    <t>Hand Tool Hook  Light Duty</t>
  </si>
  <si>
    <t>300.3751</t>
  </si>
  <si>
    <t>300.3760</t>
  </si>
  <si>
    <t>300.5302.CLR</t>
  </si>
  <si>
    <t>Clear Storage Bin  5"x4"x3"</t>
  </si>
  <si>
    <t>CLR</t>
  </si>
  <si>
    <t>300.5304.CLR</t>
  </si>
  <si>
    <t>Clear Storage Bin 7"x4"x3"</t>
  </si>
  <si>
    <t>300.5305.CLR</t>
  </si>
  <si>
    <t>Clear Storage Bin 10"x5"x5"</t>
  </si>
  <si>
    <t>300.5312.MAL</t>
  </si>
  <si>
    <t>Handle 160mm CTC</t>
  </si>
  <si>
    <t>300.4140.AL</t>
  </si>
  <si>
    <t>300.5314.MAL</t>
  </si>
  <si>
    <t>Handle 384mm CTC</t>
  </si>
  <si>
    <t>300.4140.BLK</t>
  </si>
  <si>
    <t>300.5321.BLK</t>
  </si>
  <si>
    <t>Foot Leveler 3"</t>
  </si>
  <si>
    <t>300.4140.BRZ</t>
  </si>
  <si>
    <t>300.5321.MAL</t>
  </si>
  <si>
    <t>300.5322.MAL</t>
  </si>
  <si>
    <t>Foot Leveler 3.5"</t>
  </si>
  <si>
    <t>300.4140.CDL</t>
  </si>
  <si>
    <t>300.5324.BLK</t>
  </si>
  <si>
    <t>Foot Leveler 6"</t>
  </si>
  <si>
    <t>300.4140.DBR</t>
  </si>
  <si>
    <t>300.5324.MAL</t>
  </si>
  <si>
    <t>300.4140.GRY</t>
  </si>
  <si>
    <t>300.5326.BLK</t>
  </si>
  <si>
    <t>Foot Leveler 9"</t>
  </si>
  <si>
    <t>300.4140.IVR</t>
  </si>
  <si>
    <t>300.5326.MAL</t>
  </si>
  <si>
    <t>300.4140.STN</t>
  </si>
  <si>
    <t>300.5328.MAL</t>
  </si>
  <si>
    <t>Foot Leveler 12"</t>
  </si>
  <si>
    <t>300.4140.WH</t>
  </si>
  <si>
    <t>300.5401.MAL</t>
  </si>
  <si>
    <t>Painted Head #10 x 2" Mounting Screws</t>
  </si>
  <si>
    <t>300.4332.AL</t>
  </si>
  <si>
    <t>300.5402.BLK</t>
  </si>
  <si>
    <t xml:space="preserve">Mounting Tape for edge profile x 54ft </t>
  </si>
  <si>
    <t>300.4332.BLK</t>
  </si>
  <si>
    <t>300.5403.BLK</t>
  </si>
  <si>
    <t>End Cap Set (Left &amp; Right)</t>
  </si>
  <si>
    <t>300.4332.BRZ</t>
  </si>
  <si>
    <t>300.5404.BLK</t>
  </si>
  <si>
    <t>Track Joiner</t>
  </si>
  <si>
    <t>300.4332.CDL</t>
  </si>
  <si>
    <t>300.5405.MAL</t>
  </si>
  <si>
    <t>Plastic Hinged Snap Cap</t>
  </si>
  <si>
    <t>300.4332.DBR</t>
  </si>
  <si>
    <t>300.4332.GRY</t>
  </si>
  <si>
    <t>Toggler SNAPTOGGLE 3/16" - 24</t>
  </si>
  <si>
    <t>300.4332.IVR</t>
  </si>
  <si>
    <t>300.5414.BLK</t>
  </si>
  <si>
    <t>Outlet Grommet 1/4"</t>
  </si>
  <si>
    <t>300.4332.STN</t>
  </si>
  <si>
    <t>300.4332.WH</t>
  </si>
  <si>
    <t>300.4364.AL</t>
  </si>
  <si>
    <t>300.5500.MAL</t>
  </si>
  <si>
    <t>300.4364.BLK</t>
  </si>
  <si>
    <t>300.4364.BRZ</t>
  </si>
  <si>
    <t>300.5501.MAL</t>
  </si>
  <si>
    <t>300.4364.CDL</t>
  </si>
  <si>
    <t>300.4364.DBR</t>
  </si>
  <si>
    <t>300.5503.MAL</t>
  </si>
  <si>
    <t>300.4364.GRY</t>
  </si>
  <si>
    <t>300.4364.IVR</t>
  </si>
  <si>
    <t>300.5505.MAL</t>
  </si>
  <si>
    <t>300.4364.STN</t>
  </si>
  <si>
    <t>300.4364.WH</t>
  </si>
  <si>
    <t>300.5507.MAL</t>
  </si>
  <si>
    <t>300.4388.AL</t>
  </si>
  <si>
    <t>300.4388.BLK</t>
  </si>
  <si>
    <t>300.5509.MAL</t>
  </si>
  <si>
    <t>300.4388.BRZ</t>
  </si>
  <si>
    <t>300.4388.CDL</t>
  </si>
  <si>
    <t>300.4388.DBR</t>
  </si>
  <si>
    <t>300.5601.MAL</t>
  </si>
  <si>
    <t>300.4388.GRY</t>
  </si>
  <si>
    <t>300.5602.MAL</t>
  </si>
  <si>
    <t>300.4388.IVR</t>
  </si>
  <si>
    <t>300.5603.MAL</t>
  </si>
  <si>
    <t>300.4388.STN</t>
  </si>
  <si>
    <t>300.5604.MAL</t>
  </si>
  <si>
    <t>300.4388.WH</t>
  </si>
  <si>
    <t>300.5605.MAL</t>
  </si>
  <si>
    <t>300.5606.MAL</t>
  </si>
  <si>
    <t>300.4660.STL</t>
  </si>
  <si>
    <t>300.5910.MAL</t>
  </si>
  <si>
    <t>300.4661.AL</t>
  </si>
  <si>
    <t>300.4661.BLK</t>
  </si>
  <si>
    <t>MIRRORS</t>
  </si>
  <si>
    <t>300.4661.BRZ</t>
  </si>
  <si>
    <t>300.4661.CDL</t>
  </si>
  <si>
    <t>300.4661.DBR</t>
  </si>
  <si>
    <t>300.4661.GRY</t>
  </si>
  <si>
    <t>300.3430.MAL</t>
  </si>
  <si>
    <t>Mirror 4 ft - Full Rotation</t>
  </si>
  <si>
    <t>300.3430.35.MAL</t>
  </si>
  <si>
    <t>VIRTUOSO</t>
  </si>
  <si>
    <t>Stanchion - C7003 / 2416</t>
  </si>
  <si>
    <t>n/a</t>
  </si>
  <si>
    <t>Rail - FR010</t>
  </si>
  <si>
    <t>300.3604</t>
  </si>
  <si>
    <t>Rail Connector - FR010 / 50</t>
  </si>
  <si>
    <t>Shelf Bracket (Universal) 355mm</t>
  </si>
  <si>
    <t>Shelf Bracket (Universal) 450mm</t>
  </si>
  <si>
    <t>Shelf Bracket (Universal) 550mm</t>
  </si>
  <si>
    <t>Shelf Bracket Heavy Duty (Universal) 450mm</t>
  </si>
  <si>
    <t>Shelf Bracket Heavy Duty (Universal) 550mm</t>
  </si>
  <si>
    <t>300.3621</t>
  </si>
  <si>
    <t>Leveler Leg / Back Support Assembly 3PC001-003</t>
  </si>
  <si>
    <t>Wall Adjusters - 3TE00</t>
  </si>
  <si>
    <t>Shelf Supports (w Mounting Hardware) - C15X16</t>
  </si>
  <si>
    <t>Shelf Supports (w Mounting Hardware) - C15X17</t>
  </si>
  <si>
    <t>Backing Clips - C7506</t>
  </si>
  <si>
    <t>CLOSET INSTALLATION HARDWARE</t>
  </si>
  <si>
    <t>Hang Rail - 8'</t>
  </si>
  <si>
    <t>Hang Rail - 8' BULK</t>
  </si>
  <si>
    <t xml:space="preserve">Wall Rail Cover - 97" </t>
  </si>
  <si>
    <t>AL</t>
  </si>
  <si>
    <t>BRZ</t>
  </si>
  <si>
    <t>Wall Rail Cover - 97" - Dark Brown</t>
  </si>
  <si>
    <t>DBR</t>
  </si>
  <si>
    <t>GRY</t>
  </si>
  <si>
    <t>STN</t>
  </si>
  <si>
    <r>
      <t xml:space="preserve">Pan Head </t>
    </r>
    <r>
      <rPr>
        <b/>
        <sz val="12"/>
        <rFont val="Arial"/>
        <family val="2"/>
      </rPr>
      <t>Phillips Drive 1/4 -20 x 2.5"</t>
    </r>
  </si>
  <si>
    <t>Snapskru with Screw (W30010)</t>
  </si>
  <si>
    <t>Suspension Bracket - Left</t>
  </si>
  <si>
    <t>Suspension Bracket - Right</t>
  </si>
  <si>
    <t>Euro Screw with Shoulder</t>
  </si>
  <si>
    <t>Euro Screw M6.3-2.3 x 10.5mm head ø7mm</t>
  </si>
  <si>
    <t>Shelf Support Spoon Pin</t>
  </si>
  <si>
    <t>Suspension Bracket Cover Cap Left</t>
  </si>
  <si>
    <t>CDL</t>
  </si>
  <si>
    <t>IVR</t>
  </si>
  <si>
    <t>Suspension Bracket Cover Cap Right</t>
  </si>
  <si>
    <t>H-Channel</t>
  </si>
  <si>
    <t>Outlet Grommet</t>
  </si>
  <si>
    <t>Double Outlet Grommet</t>
  </si>
  <si>
    <t>Round Outlet Grommet</t>
  </si>
  <si>
    <t>Angle Brackets</t>
  </si>
  <si>
    <t>300.4661.IVR</t>
  </si>
  <si>
    <t>300.4661.STN</t>
  </si>
  <si>
    <t>300.4661.WH</t>
  </si>
  <si>
    <t>Steel Angle L Bracket</t>
  </si>
  <si>
    <t>STL</t>
  </si>
  <si>
    <t>ENGAGE</t>
  </si>
  <si>
    <t>310.6000.15.SLA</t>
  </si>
  <si>
    <t xml:space="preserve">HARDWARE &amp; EDGEBAND JIGS  </t>
  </si>
  <si>
    <t>310.6000.18.BEA</t>
  </si>
  <si>
    <t>310.6920.00.BLK</t>
  </si>
  <si>
    <t>DRAWER FACE ADAPTOR</t>
  </si>
  <si>
    <t>310.6920.00.WH</t>
  </si>
  <si>
    <t>310.6000.18.SLA</t>
  </si>
  <si>
    <t>310.6000.24.BEA</t>
  </si>
  <si>
    <t>310.6900.18</t>
  </si>
  <si>
    <t>EDGEBAND CUTTING JIG 18"</t>
  </si>
  <si>
    <t>310.6900.24</t>
  </si>
  <si>
    <t>EDGEBAND CUTTING JIG 24"</t>
  </si>
  <si>
    <t>310.6900.30</t>
  </si>
  <si>
    <t>EDGEBAND CUTTING JIG 30"</t>
  </si>
  <si>
    <t>310.6000.24.SLA</t>
  </si>
  <si>
    <t>310.6900.36</t>
  </si>
  <si>
    <t>EDGEBAND CUTTING JIG 36"</t>
  </si>
  <si>
    <t>310.6950.BEA</t>
  </si>
  <si>
    <t>FABRIC ACCENT ROLL 180ft</t>
  </si>
  <si>
    <t>BEA</t>
  </si>
  <si>
    <t>310.6950.SLA</t>
  </si>
  <si>
    <t>SLA</t>
  </si>
  <si>
    <t>310.6379.00.BEA</t>
  </si>
  <si>
    <t>FABRIC SWATCH/SAMPLE</t>
  </si>
  <si>
    <t>310.6379.00.SLA</t>
  </si>
  <si>
    <t>COLLAPSIBLE STORAGE BOXES</t>
  </si>
  <si>
    <t>310.6110.24.BEA.MAL</t>
  </si>
  <si>
    <t>310.6000.15.BEA</t>
  </si>
  <si>
    <t xml:space="preserve">COLLAPSIBLE STORAGE BOX 15"x7"x14" </t>
  </si>
  <si>
    <t>310.6110.24.SLA.MAL</t>
  </si>
  <si>
    <t xml:space="preserve">COLLAPSIBLE STORAGE BOX 18"x7"x14" </t>
  </si>
  <si>
    <t xml:space="preserve">COLLAPSIBLE STORAGE BOX 24"x7"x14" </t>
  </si>
  <si>
    <t>310.6110.30.BEA.MAL</t>
  </si>
  <si>
    <t>310.6110.30.SLA.MAL</t>
  </si>
  <si>
    <t>310.6110.36.BEA.MAL</t>
  </si>
  <si>
    <t>DIVIDED SHELF / FOLDING STATION / JEWELRY ORGANIZER</t>
  </si>
  <si>
    <t>310.6110.36.SLA.MAL</t>
  </si>
  <si>
    <t>310.6110.18.BEA.MAL</t>
  </si>
  <si>
    <t xml:space="preserve">SHELF /  FOLDING STATION 18" </t>
  </si>
  <si>
    <t>310.6170.18.MAL</t>
  </si>
  <si>
    <t>310.6110.18.SLA.MAL</t>
  </si>
  <si>
    <t>310.6170.24.MAL</t>
  </si>
  <si>
    <t xml:space="preserve">SHELF /  FOLDING STATION 24" </t>
  </si>
  <si>
    <t>310.6170.30.MAL</t>
  </si>
  <si>
    <t>310.6170.36.MAL</t>
  </si>
  <si>
    <t xml:space="preserve">SHELF /  FOLDING STATION 30" </t>
  </si>
  <si>
    <t xml:space="preserve">SHELF /  FOLDING STATION 36" </t>
  </si>
  <si>
    <t>310.6180.14.MAL</t>
  </si>
  <si>
    <t>JEWELRY ORGANIZER INSERT - 18"</t>
  </si>
  <si>
    <t>JEWELRY ORGANIZER INSERT - 24"</t>
  </si>
  <si>
    <t>JEWELRY ORGANIZER INSERT - 30"</t>
  </si>
  <si>
    <t>JEWELRY ORGANIZER INSERT - 36"</t>
  </si>
  <si>
    <t>SHELF DIVIDER</t>
  </si>
  <si>
    <t>DIVIDED DRAWERS</t>
  </si>
  <si>
    <t>310.6320.18.BEA.MAL</t>
  </si>
  <si>
    <t xml:space="preserve">DIVIDED LINGERIE DRAWER - 18" </t>
  </si>
  <si>
    <t>310.6320.18.SLA.MAL</t>
  </si>
  <si>
    <t>310.6320.24.BEA.MAL</t>
  </si>
  <si>
    <t xml:space="preserve">DIVIDED LINGERIE DRAWER - 24" </t>
  </si>
  <si>
    <t>310.6320.24.SLA.MAL</t>
  </si>
  <si>
    <t>310.6320.30.BEA.MAL</t>
  </si>
  <si>
    <t xml:space="preserve">DIVIDED LINGERIE DRAWER - 30" </t>
  </si>
  <si>
    <t>310.6320.30.SLA.MAL</t>
  </si>
  <si>
    <t>310.6320.36.BEA.MAL</t>
  </si>
  <si>
    <t xml:space="preserve">DIVIDED LINGERIE DRAWER - 36" </t>
  </si>
  <si>
    <t>310.6320.36.SLA.MAL</t>
  </si>
  <si>
    <t>310.6380.18.BEA.MAL</t>
  </si>
  <si>
    <t xml:space="preserve">DIVIDED DEEP DRAWER - 18" </t>
  </si>
  <si>
    <t>310.6325.BEA</t>
  </si>
  <si>
    <t>310.6380.18.SLA.MAL</t>
  </si>
  <si>
    <t>310.6325.SLA</t>
  </si>
  <si>
    <t>310.6380.24.BEA.MAL</t>
  </si>
  <si>
    <t xml:space="preserve">DIVIDED DEEP DRAWER - 24" </t>
  </si>
  <si>
    <t>310.6380.24.SLA.MAL</t>
  </si>
  <si>
    <t>310.6380.30.BEA.MAL</t>
  </si>
  <si>
    <t xml:space="preserve">DIVIDED DEEP DRAWER - 30" </t>
  </si>
  <si>
    <t>310.6380.30.SLA.MAL</t>
  </si>
  <si>
    <t>310.6380.36.BEA.MAL</t>
  </si>
  <si>
    <t xml:space="preserve">DIVIDED DEEP DRAWER - 36" </t>
  </si>
  <si>
    <t>310.6380.36.SLA.MAL</t>
  </si>
  <si>
    <t>EXTRA LINGERIE DIVIDERS</t>
  </si>
  <si>
    <t xml:space="preserve">BEA </t>
  </si>
  <si>
    <t xml:space="preserve">SLA </t>
  </si>
  <si>
    <t>310.6385.BEA</t>
  </si>
  <si>
    <t>EXTRA DEEP DIVIDERS</t>
  </si>
  <si>
    <t>310.6385.SLA</t>
  </si>
  <si>
    <t>SHOE ORGANIZER</t>
  </si>
  <si>
    <t>310.6410.18.BEA.MAL</t>
  </si>
  <si>
    <t xml:space="preserve">PULL-OUT SHOE ORGANIZER - 18" </t>
  </si>
  <si>
    <t>310.6410.18.SLA.MAL</t>
  </si>
  <si>
    <t>310.6410.24.BEA.MAL</t>
  </si>
  <si>
    <t xml:space="preserve">PULL-OUT SHOE ORGANIZER - 24" </t>
  </si>
  <si>
    <t>310.6410.24.SLA.MAL</t>
  </si>
  <si>
    <t>310.6410.30.BEA.MAL</t>
  </si>
  <si>
    <t xml:space="preserve">PULL-OUT SHOE ORGANIZER - 30" </t>
  </si>
  <si>
    <t>310.6410.30.SLA.MAL</t>
  </si>
  <si>
    <t>310.6410.36.BEA.MAL</t>
  </si>
  <si>
    <t xml:space="preserve">PULL-OUT SHOE ORGANIZER - 36" </t>
  </si>
  <si>
    <t>310.6410.36.SLA.MAL</t>
  </si>
  <si>
    <t>310.6570.12.BEA</t>
  </si>
  <si>
    <t xml:space="preserve">LAUNDRY HAMPERS - 12" </t>
  </si>
  <si>
    <t>310.6570.15.BEA</t>
  </si>
  <si>
    <t xml:space="preserve">LAUNDRY HAMPERS - 15" </t>
  </si>
  <si>
    <t>310.6570.18.BEA</t>
  </si>
  <si>
    <t xml:space="preserve">LAUNDRY HAMPERS - 18" </t>
  </si>
  <si>
    <t>310.6570.12.SLA</t>
  </si>
  <si>
    <t>310.6570.15.SLA</t>
  </si>
  <si>
    <t>310.6570.18.SLA</t>
  </si>
  <si>
    <t>PANT RACK HANGER BLACK</t>
  </si>
  <si>
    <t>GOLD ITEMS:</t>
  </si>
  <si>
    <t>300.3045.MG</t>
  </si>
  <si>
    <t>MG</t>
  </si>
  <si>
    <t>300.3036.MG</t>
  </si>
  <si>
    <t>300.3038.MG</t>
  </si>
  <si>
    <t>Signature Suspended Support w/bolt</t>
  </si>
  <si>
    <t>300.3039.MG</t>
  </si>
  <si>
    <t>Signature Susp. Center Support w/bolt</t>
  </si>
  <si>
    <t>300.3047.MG</t>
  </si>
  <si>
    <t>300.3037.MG</t>
  </si>
  <si>
    <t>310.3000.12.MG</t>
  </si>
  <si>
    <t>310.3010.12.MG</t>
  </si>
  <si>
    <t>310.3020.12.MG</t>
  </si>
  <si>
    <t>310.3080.12.MG</t>
  </si>
  <si>
    <t>310.3000.14.MG</t>
  </si>
  <si>
    <t>310.3010.14.MG</t>
  </si>
  <si>
    <t>310.3020.14.MG</t>
  </si>
  <si>
    <t>310.3080.14.MG</t>
  </si>
  <si>
    <t>310.3000.18.MG</t>
  </si>
  <si>
    <t>310.3010.18.MG</t>
  </si>
  <si>
    <t>310.3080.18.MG</t>
  </si>
  <si>
    <t>300.3162.MG</t>
  </si>
  <si>
    <t>300.3164.MG</t>
  </si>
  <si>
    <t>300.3166.MG</t>
  </si>
  <si>
    <t>300.3168.MG</t>
  </si>
  <si>
    <t>300.3171.MG</t>
  </si>
  <si>
    <t>300.3160.MG</t>
  </si>
  <si>
    <t>300.3170.MG</t>
  </si>
  <si>
    <t>300.3169.MG</t>
  </si>
  <si>
    <t>300.3175.MG</t>
  </si>
  <si>
    <t>300.3212.000.MG</t>
  </si>
  <si>
    <t>300.3213.016.MG</t>
  </si>
  <si>
    <t>300.3214.000.MG</t>
  </si>
  <si>
    <r>
      <t>Elite Round Knob</t>
    </r>
    <r>
      <rPr>
        <b/>
        <sz val="14"/>
        <rFont val="Arial"/>
        <family val="2"/>
      </rPr>
      <t xml:space="preserve"> with 1 pc 8-32x1" screw</t>
    </r>
  </si>
  <si>
    <t>300.3215.000.MG</t>
  </si>
  <si>
    <r>
      <t>Elite Square Knob</t>
    </r>
    <r>
      <rPr>
        <b/>
        <sz val="14"/>
        <rFont val="Arial"/>
        <family val="2"/>
      </rPr>
      <t xml:space="preserve"> with 1 pc 8-32x1" screw</t>
    </r>
  </si>
  <si>
    <t>300.3217.016.MG</t>
  </si>
  <si>
    <t>300.3212.160.MG</t>
  </si>
  <si>
    <t>300.3213.160.MG</t>
  </si>
  <si>
    <t>300.3214.128.MG</t>
  </si>
  <si>
    <t>300.3215.096.MG</t>
  </si>
  <si>
    <t>Elite Handle 96 mm + 2 pcs 8-32x1" screw</t>
  </si>
  <si>
    <t>300.3215.128.MG</t>
  </si>
  <si>
    <t>Elite Handle 128 mm + 2 pcs 8-32x1" screw</t>
  </si>
  <si>
    <t>300.3215.192.MG</t>
  </si>
  <si>
    <t>Elite Handle 192 mm + 2 pcs 8-32x1" screw</t>
  </si>
  <si>
    <t>300.3216.128.MG</t>
  </si>
  <si>
    <t>300.3217.128.MG</t>
  </si>
  <si>
    <t>300.3190.MG</t>
  </si>
  <si>
    <t>300.3191.MG</t>
  </si>
  <si>
    <t>300.3192.MG</t>
  </si>
  <si>
    <t>300.3193.MG</t>
  </si>
  <si>
    <t>300.3194.MG</t>
  </si>
  <si>
    <t>300.3195.MG</t>
  </si>
  <si>
    <t>300.3196.MG</t>
  </si>
  <si>
    <t>300.3097.MG</t>
  </si>
  <si>
    <t>300.3430.MG</t>
  </si>
  <si>
    <t>300.3430.35.MG</t>
  </si>
  <si>
    <t>300.3420.48.MG</t>
  </si>
  <si>
    <t>300.3420.35.MG</t>
  </si>
  <si>
    <t>300.3226.075.MG</t>
  </si>
  <si>
    <r>
      <t>Elite Aluminum Pull 3"</t>
    </r>
    <r>
      <rPr>
        <b/>
        <sz val="14"/>
        <rFont val="Arial"/>
        <family val="2"/>
      </rPr>
      <t xml:space="preserve"> with 2pcs #4x1/2" screw</t>
    </r>
  </si>
  <si>
    <t>300.3226.225.MG</t>
  </si>
  <si>
    <t>300.3226.469.MG</t>
  </si>
  <si>
    <r>
      <t>Elite Aluminum Pull 18 1/2"</t>
    </r>
    <r>
      <rPr>
        <b/>
        <sz val="14"/>
        <rFont val="Arial"/>
        <family val="2"/>
      </rPr>
      <t xml:space="preserve"> + 5pcs #4x1/2" screw</t>
    </r>
  </si>
  <si>
    <t>300.3226.622.MG</t>
  </si>
  <si>
    <r>
      <t>Elite Aluminum Pull 24 1/2"</t>
    </r>
    <r>
      <rPr>
        <b/>
        <sz val="14"/>
        <rFont val="Arial"/>
        <family val="2"/>
      </rPr>
      <t xml:space="preserve"> + 7pcs #4x1/2" screw</t>
    </r>
  </si>
  <si>
    <t>300.3226.774.MG</t>
  </si>
  <si>
    <r>
      <t>Elite Aluminum Pull 30 1/2"</t>
    </r>
    <r>
      <rPr>
        <b/>
        <sz val="14"/>
        <rFont val="Arial"/>
        <family val="2"/>
      </rPr>
      <t xml:space="preserve"> + 8pcs #4x1/2" screw</t>
    </r>
  </si>
  <si>
    <t>300.3226.927.MG</t>
  </si>
  <si>
    <r>
      <t>Elite Aluminum Pull 36 1/2"</t>
    </r>
    <r>
      <rPr>
        <b/>
        <sz val="14"/>
        <rFont val="Arial"/>
        <family val="2"/>
      </rPr>
      <t xml:space="preserve"> + 10pcs #4x1/2" screw</t>
    </r>
  </si>
  <si>
    <t>310.6110.18.BEA.MG</t>
  </si>
  <si>
    <t>310.6110.18.SLA.MG</t>
  </si>
  <si>
    <t>310.6110.24.BEA.MG</t>
  </si>
  <si>
    <t>310.6110.24.SLA.MG</t>
  </si>
  <si>
    <t>310.6110.30.BEA.MG</t>
  </si>
  <si>
    <t>310.6110.30.SLA.MG</t>
  </si>
  <si>
    <t>310.6110.36.BEA.MG</t>
  </si>
  <si>
    <t>310.6110.36.SLA.MG</t>
  </si>
  <si>
    <t>310.6170.18.MG</t>
  </si>
  <si>
    <t>310.6170.24.MG</t>
  </si>
  <si>
    <t>310.6170.30.MG</t>
  </si>
  <si>
    <t>310.6170.36.MG</t>
  </si>
  <si>
    <t>310.6180.14.MG</t>
  </si>
  <si>
    <t>310.6320.18.BEA.MG</t>
  </si>
  <si>
    <t>310.6320.18.SLA.MG</t>
  </si>
  <si>
    <t>310.6320.24.BEA.MG</t>
  </si>
  <si>
    <t>310.6320.24.SLA.MG</t>
  </si>
  <si>
    <t>310.6320.30.BEA.MG</t>
  </si>
  <si>
    <t>310.6320.30.SLA.MG</t>
  </si>
  <si>
    <t>310.6320.36.BEA.MG</t>
  </si>
  <si>
    <t>310.6320.36.SLA.MG</t>
  </si>
  <si>
    <t>310.6380.18.BEA.MG</t>
  </si>
  <si>
    <t>310.6380.18.SLA.MG</t>
  </si>
  <si>
    <t>310.6380.24.BEA.MG</t>
  </si>
  <si>
    <t>310.6380.24.SLA.MG</t>
  </si>
  <si>
    <t>310.6380.30.BEA.MG</t>
  </si>
  <si>
    <t>310.6380.30.SLA.MG</t>
  </si>
  <si>
    <t>310.6380.36.BEA.MG</t>
  </si>
  <si>
    <t>310.6380.36.SLA.MG</t>
  </si>
  <si>
    <t>310.6410.18.BEA.MG</t>
  </si>
  <si>
    <t>310.6410.18.SLA.MG</t>
  </si>
  <si>
    <t>310.6410.24.BEA.MG</t>
  </si>
  <si>
    <t>310.6410.24.SLA.MG</t>
  </si>
  <si>
    <t>310.6410.30.BEA.MG</t>
  </si>
  <si>
    <t>310.6410.30.SLA.MG</t>
  </si>
  <si>
    <t>310.6410.36.BEA.MG</t>
  </si>
  <si>
    <t>310.6410.36.SLA.MG</t>
  </si>
  <si>
    <t>GRAPHITE ITEMS:</t>
  </si>
  <si>
    <t>300.3045.SG</t>
  </si>
  <si>
    <t>SG</t>
  </si>
  <si>
    <t>300.3036.SG</t>
  </si>
  <si>
    <t>300.3038.SG</t>
  </si>
  <si>
    <t>300.3039.SG</t>
  </si>
  <si>
    <t>300.3047.SG</t>
  </si>
  <si>
    <t>300.3037.SG</t>
  </si>
  <si>
    <t>310.3000.12.SG</t>
  </si>
  <si>
    <t>310.3010.12.SG</t>
  </si>
  <si>
    <t>310.3020.12.SG</t>
  </si>
  <si>
    <t>310.3080.12.SG</t>
  </si>
  <si>
    <t>310.3000.14.SG</t>
  </si>
  <si>
    <t>310.3010.14.SG</t>
  </si>
  <si>
    <t>310.3020.14.SG</t>
  </si>
  <si>
    <t>310.3080.14.SG</t>
  </si>
  <si>
    <t>310.3000.18.SG</t>
  </si>
  <si>
    <t>310.3010.18.SG</t>
  </si>
  <si>
    <t>310.3080.18.SG</t>
  </si>
  <si>
    <t>300.3162.SG</t>
  </si>
  <si>
    <t>300.3164.SG</t>
  </si>
  <si>
    <t>300.3166.SG</t>
  </si>
  <si>
    <t>300.3168.SG</t>
  </si>
  <si>
    <t>300.3171.SG</t>
  </si>
  <si>
    <t>300.3160.SG</t>
  </si>
  <si>
    <t>300.3170.SG</t>
  </si>
  <si>
    <t>300.3169.SG</t>
  </si>
  <si>
    <t>300.3175.SG</t>
  </si>
  <si>
    <t>300.3212.000.SG</t>
  </si>
  <si>
    <t>300.3213.016.SG</t>
  </si>
  <si>
    <t>300.3214.000.SG</t>
  </si>
  <si>
    <t>Elite Round Knob with 1 pc 8-32x1" screw</t>
  </si>
  <si>
    <t>300.3215.000.SG</t>
  </si>
  <si>
    <t>Elite Square Knob with 1 pc 8-32x1" screw</t>
  </si>
  <si>
    <t>300.3217.016.SG</t>
  </si>
  <si>
    <t>300.3212.160.SG</t>
  </si>
  <si>
    <t>300.3213.160.SG</t>
  </si>
  <si>
    <t>300.3214.128.SG</t>
  </si>
  <si>
    <t>300.3215.096.SG</t>
  </si>
  <si>
    <t>300.3215.128.SG</t>
  </si>
  <si>
    <t>300.3215.192.SG</t>
  </si>
  <si>
    <t>300.3216.128.SG</t>
  </si>
  <si>
    <t>300.3217.128.SG</t>
  </si>
  <si>
    <t>300.3190.SG</t>
  </si>
  <si>
    <t>300.3191.SG</t>
  </si>
  <si>
    <t>300.3192.SG</t>
  </si>
  <si>
    <t>300.3193.SG</t>
  </si>
  <si>
    <t>300.3194.SG</t>
  </si>
  <si>
    <t>300.3195.SG</t>
  </si>
  <si>
    <t>300.3196.SG</t>
  </si>
  <si>
    <t>300.3097.SG</t>
  </si>
  <si>
    <t>300.3430.SG</t>
  </si>
  <si>
    <t>300.3430.35.SG</t>
  </si>
  <si>
    <t>300.3226.075.SG</t>
  </si>
  <si>
    <t>300.3226.225.SG</t>
  </si>
  <si>
    <t>300.3226.469.SG</t>
  </si>
  <si>
    <t>300.3226.622.SG</t>
  </si>
  <si>
    <t>300.3226.774.SG</t>
  </si>
  <si>
    <r>
      <t xml:space="preserve">Elite Aluminum Pull 30 1/2" </t>
    </r>
    <r>
      <rPr>
        <b/>
        <sz val="14"/>
        <rFont val="Arial"/>
        <family val="2"/>
      </rPr>
      <t>+ 8pcs #4x1/2" screw</t>
    </r>
  </si>
  <si>
    <t>300.3226.927.SG</t>
  </si>
  <si>
    <r>
      <t xml:space="preserve">Elite Aluminum Pull 36 1/2" </t>
    </r>
    <r>
      <rPr>
        <b/>
        <sz val="14"/>
        <rFont val="Arial"/>
        <family val="2"/>
      </rPr>
      <t>+ 10pcs #4x1/2" screw</t>
    </r>
  </si>
  <si>
    <t>310.6110.18.BEA.SG</t>
  </si>
  <si>
    <t>310.6110.18.SLA.SG</t>
  </si>
  <si>
    <t>310.6110.24.BEA.SG</t>
  </si>
  <si>
    <t>310.6110.24.SLA.SG</t>
  </si>
  <si>
    <t>310.6110.30.BEA.SG</t>
  </si>
  <si>
    <t>310.6110.30.SLA.SG</t>
  </si>
  <si>
    <t>310.6110.36.BEA.SG</t>
  </si>
  <si>
    <t>310.6110.36.SLA.SG</t>
  </si>
  <si>
    <t>310.6170.18.SG</t>
  </si>
  <si>
    <t>310.6170.24.SG</t>
  </si>
  <si>
    <t>310.6170.30.SG</t>
  </si>
  <si>
    <t>310.6170.36.SG</t>
  </si>
  <si>
    <t>310.6180.14.SG</t>
  </si>
  <si>
    <t>310.6320.18.BEA.SG</t>
  </si>
  <si>
    <t>310.6320.18.SLA.SG</t>
  </si>
  <si>
    <t>310.6320.24.BEA.SG</t>
  </si>
  <si>
    <t>310.6320.24.SLA.SG</t>
  </si>
  <si>
    <t>310.6320.30.BEA.SG</t>
  </si>
  <si>
    <t>310.6320.30.SLA.SG</t>
  </si>
  <si>
    <t>310.6320.36.BEA.SG</t>
  </si>
  <si>
    <t>310.6320.36.SLA.SG</t>
  </si>
  <si>
    <t>310.6380.18.BEA.SG</t>
  </si>
  <si>
    <t>310.6380.18.SLA.SG</t>
  </si>
  <si>
    <t>310.6380.24.BEA.SG</t>
  </si>
  <si>
    <t>310.6380.24.SLA.SG</t>
  </si>
  <si>
    <t>310.6380.30.BEA.SG</t>
  </si>
  <si>
    <t>310.6380.30.SLA.SG</t>
  </si>
  <si>
    <t>310.6380.36.BEA.SG</t>
  </si>
  <si>
    <t>310.6380.36.SLA.SG</t>
  </si>
  <si>
    <t>310.6410.18.BEA.SG</t>
  </si>
  <si>
    <t>310.6410.18.SLA.SG</t>
  </si>
  <si>
    <t>310.6410.24.BEA.SG</t>
  </si>
  <si>
    <t>310.6410.24.SLA.SG</t>
  </si>
  <si>
    <t>310.6410.30.BEA.SG</t>
  </si>
  <si>
    <t>310.6410.30.SLA.SG</t>
  </si>
  <si>
    <t>310.6410.36.BEA.SG</t>
  </si>
  <si>
    <t>310.6410.36.SLA.SG</t>
  </si>
  <si>
    <t xml:space="preserve">LAUNDRY ORGANIZERS </t>
  </si>
  <si>
    <t>310.6530.18.BEA.MAL</t>
  </si>
  <si>
    <t>LAUNDRY ORGANIZER - 18"</t>
  </si>
  <si>
    <t>310.6530.18.SLA.MAL</t>
  </si>
  <si>
    <t>310.6530.24.BEA.MAL</t>
  </si>
  <si>
    <t>LAUNDRY ORGANIZER - 24"</t>
  </si>
  <si>
    <t>310.6530.24.SLA.MAL</t>
  </si>
  <si>
    <t>310.6530.30.BEA.MAL</t>
  </si>
  <si>
    <t>LAUNDRY ORGANIZER - 30"</t>
  </si>
  <si>
    <t>310.6530.30.SLA.MAL</t>
  </si>
  <si>
    <t>310.6530.36.BEA.MAL</t>
  </si>
  <si>
    <t>LAUNDRY ORGANIZER - 36"</t>
  </si>
  <si>
    <t>310.6530.36.SLA.MAL</t>
  </si>
  <si>
    <t>310.6530.18.BEA.MG</t>
  </si>
  <si>
    <t>310.6530.18.SLA.MG</t>
  </si>
  <si>
    <t>310.6530.24.BEA.MG</t>
  </si>
  <si>
    <t>310.6530.24.SLA.MG</t>
  </si>
  <si>
    <t>310.6530.30.BEA.MG</t>
  </si>
  <si>
    <t>310.6530.30.SLA.MG</t>
  </si>
  <si>
    <t>310.6530.36.BEA.MG</t>
  </si>
  <si>
    <t>310.6530.36.SLA.MG</t>
  </si>
  <si>
    <t>310.6530.18.BEA.SG</t>
  </si>
  <si>
    <t>310.6530.18.SLA.SG</t>
  </si>
  <si>
    <t>310.6530.24.BEA.SG</t>
  </si>
  <si>
    <t>310.6530.24.SLA.SG</t>
  </si>
  <si>
    <t>310.6530.30.BEA.SG</t>
  </si>
  <si>
    <t>310.6530.30.SLA.SG</t>
  </si>
  <si>
    <t>310.6530.36.BEA.SG</t>
  </si>
  <si>
    <t>310.6530.36.SLA.SG</t>
  </si>
  <si>
    <t xml:space="preserve">PANT ORGANIZERS </t>
  </si>
  <si>
    <t>310.6540.18.BEA.MAL</t>
  </si>
  <si>
    <t>PANT ORGANIZER - 18"</t>
  </si>
  <si>
    <t>310.6540.18.SLA.MAL</t>
  </si>
  <si>
    <t>310.6540.24.BEA.MAL</t>
  </si>
  <si>
    <t>PANT ORGANIZER - 24"</t>
  </si>
  <si>
    <t>310.6540.24.SLA.MAL</t>
  </si>
  <si>
    <t>310.6540.30.BEA.MAL</t>
  </si>
  <si>
    <t>PANT ORGANIZER - 30"</t>
  </si>
  <si>
    <t>310.6540.30.SLA.MAL</t>
  </si>
  <si>
    <t>310.6540.36.BEA.MAL</t>
  </si>
  <si>
    <t>PANT ORGANIZER - 36"</t>
  </si>
  <si>
    <t>310.6540.36.SLA.MAL</t>
  </si>
  <si>
    <t>310.6540.18.BEA.MG</t>
  </si>
  <si>
    <t>310.6540.18.SLA.MG</t>
  </si>
  <si>
    <t>310.6540.24.BEA.MG</t>
  </si>
  <si>
    <t>310.6540.24.SLA.MG</t>
  </si>
  <si>
    <t>310.6540.30.BEA.MG</t>
  </si>
  <si>
    <t>310.6540.30.SLA.MG</t>
  </si>
  <si>
    <t>310.6540.36.BEA.MG</t>
  </si>
  <si>
    <t>310.6540.36.SLA.MG</t>
  </si>
  <si>
    <t>310.6540.18.BEA.SG</t>
  </si>
  <si>
    <t>310.6540.18.SLA.SG</t>
  </si>
  <si>
    <t>310.6540.24.BEA.SG</t>
  </si>
  <si>
    <t>310.6540.24.SLA.SG</t>
  </si>
  <si>
    <t>310.6540.30.BEA.SG</t>
  </si>
  <si>
    <t>310.6540.30.SLA.SG</t>
  </si>
  <si>
    <t>310.6540.36.BEA.SG</t>
  </si>
  <si>
    <t>310.6540.36.SLA.SG</t>
  </si>
  <si>
    <t>310.1500.18.OYS.MAL</t>
  </si>
  <si>
    <t>310.1500.18.PWT.MAL</t>
  </si>
  <si>
    <t>310.1500.18.WIN.MAL</t>
  </si>
  <si>
    <t>310.1500.18.OYS.MG</t>
  </si>
  <si>
    <t>310.1500.18.PWT.MG</t>
  </si>
  <si>
    <t>310.1500.18.WIN.MG</t>
  </si>
  <si>
    <t>310.1500.18.OYS.SG</t>
  </si>
  <si>
    <t>310.1500.18.PWT.SG</t>
  </si>
  <si>
    <t>310.1500.18.WIN.SG</t>
  </si>
  <si>
    <t>310.1500.24.OYS.MAL</t>
  </si>
  <si>
    <t>310.1500.24.PWT.MAL</t>
  </si>
  <si>
    <t>310.1500.24.WIN.MAL</t>
  </si>
  <si>
    <t>310.1500.24.OYS.MG</t>
  </si>
  <si>
    <t>310.1500.24.PWT.MG</t>
  </si>
  <si>
    <t>310.1500.24.WIN.MG</t>
  </si>
  <si>
    <t>310.1500.24.OYS.SG</t>
  </si>
  <si>
    <t>310.1500.24.PWT.SG</t>
  </si>
  <si>
    <t>310.1500.24.WIN.SG</t>
  </si>
  <si>
    <t>310.1500.30.OYS.MAL</t>
  </si>
  <si>
    <t>310.1500.30.PWT.MAL</t>
  </si>
  <si>
    <t>310.1500.30.WIN.MAL</t>
  </si>
  <si>
    <t>310.1500.30.OYS.MG</t>
  </si>
  <si>
    <t>310.1500.30.PWT.MG</t>
  </si>
  <si>
    <t>310.1500.30.WIN.MG</t>
  </si>
  <si>
    <t>310.1500.30.OYS.SG</t>
  </si>
  <si>
    <t>310.1500.30.PWT.SG</t>
  </si>
  <si>
    <t>310.1500.30.WIN.SG</t>
  </si>
  <si>
    <t>310.1500.36.OYS.MAL</t>
  </si>
  <si>
    <t>310.1500.36.PWT.MAL</t>
  </si>
  <si>
    <t>310.1500.36.WIN.MAL</t>
  </si>
  <si>
    <t>310.1500.36.OYS.MG</t>
  </si>
  <si>
    <t>310.1500.36.PWT.MG</t>
  </si>
  <si>
    <t>310.1500.36.WIN.MG</t>
  </si>
  <si>
    <t>310.1500.36.OYS.SG</t>
  </si>
  <si>
    <t>310.1500.36.PWT.SG</t>
  </si>
  <si>
    <t>310.1500.36.WIN.SG</t>
  </si>
  <si>
    <t>310.1510.18.OYS.MAL</t>
  </si>
  <si>
    <t>310.1510.18.PWT.MAL</t>
  </si>
  <si>
    <t>310.1510.18.WIN.MAL</t>
  </si>
  <si>
    <t>310.1510.18.OYS.MG</t>
  </si>
  <si>
    <t>310.1510.18.PWT.MG</t>
  </si>
  <si>
    <t>310.1510.18.WIN.MG</t>
  </si>
  <si>
    <t>310.1510.18.OYS.SG</t>
  </si>
  <si>
    <t>310.1510.18.PWT.SG</t>
  </si>
  <si>
    <t>310.1510.18.WIN.SG</t>
  </si>
  <si>
    <t>310.1510.24.OYS.MAL</t>
  </si>
  <si>
    <t>310.1510.24.PWT.MAL</t>
  </si>
  <si>
    <t>310.1510.24.WIN.MAL</t>
  </si>
  <si>
    <t>310.1510.24.OYS.MG</t>
  </si>
  <si>
    <t>310.1510.24.PWT.MG</t>
  </si>
  <si>
    <t>310.1510.24.WIN.MG</t>
  </si>
  <si>
    <t>310.1510.24.OYS.SG</t>
  </si>
  <si>
    <t>310.1510.24.PWT.SG</t>
  </si>
  <si>
    <t>310.1510.24.WIN.SG</t>
  </si>
  <si>
    <t>310.1510.30.OYS.MAL</t>
  </si>
  <si>
    <t>310.1510.30.PWT.MAL</t>
  </si>
  <si>
    <t>310.1510.30.WIN.MAL</t>
  </si>
  <si>
    <t>310.1510.30.OYS.MG</t>
  </si>
  <si>
    <t>310.1510.30.PWT.MG</t>
  </si>
  <si>
    <t>310.1510.30.WIN.MG</t>
  </si>
  <si>
    <t>310.1510.30.OYS.SG</t>
  </si>
  <si>
    <t>310.1510.30.PWT.SG</t>
  </si>
  <si>
    <t>310.1510.30.WIN.SG</t>
  </si>
  <si>
    <t>310.1510.36.OYS.MAL</t>
  </si>
  <si>
    <t>310.1510.36.PWT.MAL</t>
  </si>
  <si>
    <t>310.1510.36.WIN.MAL</t>
  </si>
  <si>
    <t>310.1510.36.OYS.MG</t>
  </si>
  <si>
    <t>310.1510.36.PWT.MG</t>
  </si>
  <si>
    <t>310.1510.36.WIN.MG</t>
  </si>
  <si>
    <t>310.1510.36.OYS.SG</t>
  </si>
  <si>
    <t>310.1510.36.PWT.SG</t>
  </si>
  <si>
    <t>310.1510.36.WIN.SG</t>
  </si>
  <si>
    <t>310.1550.18.OYS.MAL</t>
  </si>
  <si>
    <t>310.1550.18.PWT.MAL</t>
  </si>
  <si>
    <t>310.1550.18.WIN.MAL</t>
  </si>
  <si>
    <t>310.1550.18.OYS.MG</t>
  </si>
  <si>
    <t>310.1550.18.PWT.MG</t>
  </si>
  <si>
    <t>310.1550.18.WIN.MG</t>
  </si>
  <si>
    <t>310.1550.18.OYS.SG</t>
  </si>
  <si>
    <t>310.1550.18.PWT.SG</t>
  </si>
  <si>
    <t>310.1550.18.WIN.SG</t>
  </si>
  <si>
    <t>310.1550.24.OYS.MAL</t>
  </si>
  <si>
    <t>310.1550.24.PWT.MAL</t>
  </si>
  <si>
    <t>310.1550.24.WIN.MAL</t>
  </si>
  <si>
    <t>310.1550.24.OYS.MG</t>
  </si>
  <si>
    <t>310.1550.24.PWT.MG</t>
  </si>
  <si>
    <t>310.1550.24.WIN.MG</t>
  </si>
  <si>
    <t>310.1550.24.OYS.SG</t>
  </si>
  <si>
    <t>310.1550.24.PWT.SG</t>
  </si>
  <si>
    <t>310.1550.24.WIN.SG</t>
  </si>
  <si>
    <t>310.1550.30.OYS.MAL</t>
  </si>
  <si>
    <t>310.1550.30.PWT.MAL</t>
  </si>
  <si>
    <t>310.1550.30.WIN.MAL</t>
  </si>
  <si>
    <t>310.1550.30.OYS.MG</t>
  </si>
  <si>
    <t>310.1550.30.PWT.MG</t>
  </si>
  <si>
    <t>310.1550.30.WIN.MG</t>
  </si>
  <si>
    <t>310.1550.30.OYS.SG</t>
  </si>
  <si>
    <t>310.1550.30.PWT.SG</t>
  </si>
  <si>
    <t>310.1550.30.WIN.SG</t>
  </si>
  <si>
    <t>310.1550.36.OYS.MAL</t>
  </si>
  <si>
    <t>310.1550.36.PWT.MAL</t>
  </si>
  <si>
    <t>310.1550.36.WIN.MAL</t>
  </si>
  <si>
    <t>310.1550.36.OYS.MG</t>
  </si>
  <si>
    <t>310.1550.36.PWT.MG</t>
  </si>
  <si>
    <t>310.1550.36.WIN.MG</t>
  </si>
  <si>
    <t>310.1550.36.OYS.SG</t>
  </si>
  <si>
    <t>310.1550.36.PWT.SG</t>
  </si>
  <si>
    <t>310.1550.36.WIN.SG</t>
  </si>
  <si>
    <t>310.1560.18.OYS.MAL</t>
  </si>
  <si>
    <t>310.1560.18.PWT.MAL</t>
  </si>
  <si>
    <t>310.1560.18.WIN.MAL</t>
  </si>
  <si>
    <t>310.1560.18.OYS.MG</t>
  </si>
  <si>
    <t>310.1560.18.PWT.MG</t>
  </si>
  <si>
    <t>310.1560.18.WIN.MG</t>
  </si>
  <si>
    <t>310.1560.18.OYS.SG</t>
  </si>
  <si>
    <t>310.1560.18.PWT.SG</t>
  </si>
  <si>
    <t>310.1560.18.WIN.SG</t>
  </si>
  <si>
    <t>310.1560.24.OYS.MAL</t>
  </si>
  <si>
    <t>310.1560.24.PWT.MAL</t>
  </si>
  <si>
    <t>310.1560.24.WIN.MAL</t>
  </si>
  <si>
    <t>310.1560.24.OYS.MG</t>
  </si>
  <si>
    <t>310.1560.24.PWT.MG</t>
  </si>
  <si>
    <t>310.1560.24.WIN.MG</t>
  </si>
  <si>
    <t>310.1560.24.OYS.SG</t>
  </si>
  <si>
    <t>310.1560.24.PWT.SG</t>
  </si>
  <si>
    <t>310.1560.24.WIN.SG</t>
  </si>
  <si>
    <t>310.1560.30.OYS.MAL</t>
  </si>
  <si>
    <t>310.1560.30.PWT.MAL</t>
  </si>
  <si>
    <t>310.1560.30.WIN.MAL</t>
  </si>
  <si>
    <t>310.1560.30.OYS.MG</t>
  </si>
  <si>
    <t>310.1560.30.PWT.MG</t>
  </si>
  <si>
    <t>310.1560.30.WIN.MG</t>
  </si>
  <si>
    <t>310.1560.30.OYS.SG</t>
  </si>
  <si>
    <t>310.1560.30.PWT.SG</t>
  </si>
  <si>
    <t>310.1560.30.WIN.SG</t>
  </si>
  <si>
    <t>310.1560.36.OYS.MAL</t>
  </si>
  <si>
    <t>310.1560.36.PWT.MAL</t>
  </si>
  <si>
    <t>310.1560.36.WIN.MAL</t>
  </si>
  <si>
    <t>310.1560.36.OYS.MG</t>
  </si>
  <si>
    <t>310.1560.36.PWT.MG</t>
  </si>
  <si>
    <t>310.1560.36.WIN.MG</t>
  </si>
  <si>
    <t>310.1560.36.OYS.SG</t>
  </si>
  <si>
    <t>310.1560.36.PWT.SG</t>
  </si>
  <si>
    <t>310.1560.36.WIN.SG</t>
  </si>
  <si>
    <t>310.1600.18.OYS.MAL</t>
  </si>
  <si>
    <t>310.1600.18.PWT.MAL</t>
  </si>
  <si>
    <t>310.1600.18.WIN.MAL</t>
  </si>
  <si>
    <t>310.1600.18.OYS.MG</t>
  </si>
  <si>
    <t>310.1600.18.PWT.MG</t>
  </si>
  <si>
    <t>310.1600.18.WIN.MG</t>
  </si>
  <si>
    <t>310.1600.18.OYS.SG</t>
  </si>
  <si>
    <t>310.1600.18.PWT.SG</t>
  </si>
  <si>
    <t>310.1600.18.WIN.SG</t>
  </si>
  <si>
    <t>310.1600.24.OYS.MAL</t>
  </si>
  <si>
    <t>310.1600.24.PWT.MAL</t>
  </si>
  <si>
    <t>310.1600.24.WIN.MAL</t>
  </si>
  <si>
    <t>310.1600.24.OYS.MG</t>
  </si>
  <si>
    <t>310.1600.24.PWT.MG</t>
  </si>
  <si>
    <t>310.1600.24.WIN.MG</t>
  </si>
  <si>
    <t>310.1600.24.OYS.SG</t>
  </si>
  <si>
    <t>310.1600.24.PWT.SG</t>
  </si>
  <si>
    <t>310.1600.24.WIN.SG</t>
  </si>
  <si>
    <t>310.1600.30.OYS.MAL</t>
  </si>
  <si>
    <t>310.1600.30.PWT.MAL</t>
  </si>
  <si>
    <t>310.1600.30.WIN.MAL</t>
  </si>
  <si>
    <t>310.1600.30.OYS.MG</t>
  </si>
  <si>
    <t>310.1600.30.PWT.MG</t>
  </si>
  <si>
    <t>310.1600.30.WIN.MG</t>
  </si>
  <si>
    <t>310.1600.30.OYS.SG</t>
  </si>
  <si>
    <t>310.1600.30.PWT.SG</t>
  </si>
  <si>
    <t>310.1600.30.WIN.SG</t>
  </si>
  <si>
    <t>310.1600.36.OYS.MAL</t>
  </si>
  <si>
    <t>310.1600.36.PWT.MAL</t>
  </si>
  <si>
    <t>310.1600.36.WIN.MAL</t>
  </si>
  <si>
    <t>310.1600.36.OYS.MG</t>
  </si>
  <si>
    <t>310.1600.36.PWT.MG</t>
  </si>
  <si>
    <t>310.1600.36.WIN.MG</t>
  </si>
  <si>
    <t>310.1600.36.OYS.SG</t>
  </si>
  <si>
    <t>310.1600.36.PWT.SG</t>
  </si>
  <si>
    <t>310.1600.36.WIN.SG</t>
  </si>
  <si>
    <t>310.1610.18.OYS.MAL</t>
  </si>
  <si>
    <t>310.1610.18.PWT.MAL</t>
  </si>
  <si>
    <t>310.1610.18.WIN.MAL</t>
  </si>
  <si>
    <t>310.1610.18.OYS.MG</t>
  </si>
  <si>
    <t>310.1610.18.PWT.MG</t>
  </si>
  <si>
    <t>310.1610.18.WIN.MG</t>
  </si>
  <si>
    <t>310.1610.18.OYS.SG</t>
  </si>
  <si>
    <t>310.1610.18.PWT.SG</t>
  </si>
  <si>
    <t>310.1610.18.WIN.SG</t>
  </si>
  <si>
    <t>310.1610.24.OYS.MAL</t>
  </si>
  <si>
    <t>310.1610.24.PWT.MAL</t>
  </si>
  <si>
    <t>310.1610.24.WIN.MAL</t>
  </si>
  <si>
    <t>310.1610.24.OYS.MG</t>
  </si>
  <si>
    <t>310.1610.24.PWT.MG</t>
  </si>
  <si>
    <t>310.1610.24.WIN.MG</t>
  </si>
  <si>
    <t>310.1610.24.OYS.SG</t>
  </si>
  <si>
    <t>310.1610.24.PWT.SG</t>
  </si>
  <si>
    <t>310.1610.24.WIN.SG</t>
  </si>
  <si>
    <t>310.1610.30.OYS.MAL</t>
  </si>
  <si>
    <t>310.1610.30.PWT.MAL</t>
  </si>
  <si>
    <t>310.1610.30.WIN.MAL</t>
  </si>
  <si>
    <t>310.1610.30.OYS.MG</t>
  </si>
  <si>
    <t>310.1610.30.PWT.MG</t>
  </si>
  <si>
    <t>310.1610.30.WIN.MG</t>
  </si>
  <si>
    <t>310.1610.30.OYS.SG</t>
  </si>
  <si>
    <t>310.1610.30.PWT.SG</t>
  </si>
  <si>
    <t>310.1610.30.WIN.SG</t>
  </si>
  <si>
    <t>310.1610.36.OYS.MAL</t>
  </si>
  <si>
    <t>310.1610.36.PWT.MAL</t>
  </si>
  <si>
    <t>310.1610.36.WIN.MAL</t>
  </si>
  <si>
    <t>310.1610.36.OYS.MG</t>
  </si>
  <si>
    <t>310.1610.36.PWT.MG</t>
  </si>
  <si>
    <t>310.1610.36.WIN.MG</t>
  </si>
  <si>
    <t>310.1610.36.OYS.SG</t>
  </si>
  <si>
    <t>310.1610.36.PWT.SG</t>
  </si>
  <si>
    <t>310.1610.36.WIN.SG</t>
  </si>
  <si>
    <t>310.1620.18.OYS.MAL</t>
  </si>
  <si>
    <t>310.1620.18.PWT.MAL</t>
  </si>
  <si>
    <t>310.1620.18.WIN.MAL</t>
  </si>
  <si>
    <t>310.1620.18.OYS.MG</t>
  </si>
  <si>
    <t>310.1620.18.PWT.MG</t>
  </si>
  <si>
    <t>310.1620.18.WIN.MG</t>
  </si>
  <si>
    <t>310.1620.18.OYS.SG</t>
  </si>
  <si>
    <t>310.1620.18.PWT.SG</t>
  </si>
  <si>
    <t>310.1620.18.WIN.SG</t>
  </si>
  <si>
    <t>310.1620.24.OYS.MAL</t>
  </si>
  <si>
    <t>310.1620.24.PWT.MAL</t>
  </si>
  <si>
    <t>310.1620.24.WIN.MAL</t>
  </si>
  <si>
    <t>310.1620.24.OYS.MG</t>
  </si>
  <si>
    <t>310.1620.24.PWT.MG</t>
  </si>
  <si>
    <t>310.1620.24.WIN.MG</t>
  </si>
  <si>
    <t>310.1620.24.OYS.SG</t>
  </si>
  <si>
    <t>310.1620.24.PWT.SG</t>
  </si>
  <si>
    <t>310.1620.24.WIN.SG</t>
  </si>
  <si>
    <t>310.1620.30.OYS.MAL</t>
  </si>
  <si>
    <t>310.1620.30.PWT.MAL</t>
  </si>
  <si>
    <t>310.1620.30.WIN.MAL</t>
  </si>
  <si>
    <t>310.1620.30.OYS.MG</t>
  </si>
  <si>
    <t>310.1620.30.PWT.MG</t>
  </si>
  <si>
    <t>310.1620.30.WIN.MG</t>
  </si>
  <si>
    <t>310.1620.30.OYS.SG</t>
  </si>
  <si>
    <t>310.1620.30.PWT.SG</t>
  </si>
  <si>
    <t>310.1620.30.WIN.SG</t>
  </si>
  <si>
    <t>310.1620.36.OYS.MAL</t>
  </si>
  <si>
    <t>310.1620.36.PWT.MAL</t>
  </si>
  <si>
    <t>310.1620.36.WIN.MAL</t>
  </si>
  <si>
    <t>310.1620.36.OYS.MG</t>
  </si>
  <si>
    <t>310.1620.36.PWT.MG</t>
  </si>
  <si>
    <t>310.1620.36.WIN.MG</t>
  </si>
  <si>
    <t>310.1620.36.OYS.SG</t>
  </si>
  <si>
    <t>310.1620.36.PWT.SG</t>
  </si>
  <si>
    <t>310.1620.36.WIN.SG</t>
  </si>
  <si>
    <t>310.1630.30.OYS.MAL</t>
  </si>
  <si>
    <t>310.1630.30.PWT.MAL</t>
  </si>
  <si>
    <t>310.1630.30.WIN.MAL</t>
  </si>
  <si>
    <t>310.1630.30.OYS.MG</t>
  </si>
  <si>
    <t>310.1630.30.PWT.MG</t>
  </si>
  <si>
    <t>310.1630.30.WIN.MG</t>
  </si>
  <si>
    <t>310.1630.30.OYS.SG</t>
  </si>
  <si>
    <t>310.1630.30.PWT.SG</t>
  </si>
  <si>
    <t>310.1630.30.WIN.SG</t>
  </si>
  <si>
    <t>310.1630.36.OYS.MAL</t>
  </si>
  <si>
    <t>310.1630.36.PWT.MAL</t>
  </si>
  <si>
    <t>310.1630.36.WIN.MAL</t>
  </si>
  <si>
    <t>310.1630.36.OYS.MG</t>
  </si>
  <si>
    <t>310.1630.36.PWT.MG</t>
  </si>
  <si>
    <t>310.1630.36.WIN.MG</t>
  </si>
  <si>
    <t>310.1630.36.OYS.SG</t>
  </si>
  <si>
    <t>310.1630.36.PWT.SG</t>
  </si>
  <si>
    <t>310.1630.36.WIN.SG</t>
  </si>
  <si>
    <t>310.1700.18.OYS.MAL</t>
  </si>
  <si>
    <t>310.1700.18.PWT.MAL</t>
  </si>
  <si>
    <t>310.1700.18.WIN.MAL</t>
  </si>
  <si>
    <t>310.1700.18.OYS.MG</t>
  </si>
  <si>
    <t>310.1700.18.PWT.MG</t>
  </si>
  <si>
    <t>310.1700.18.WIN.MG</t>
  </si>
  <si>
    <t>310.1700.18.OYS.SG</t>
  </si>
  <si>
    <t>310.1700.18.PWT.SG</t>
  </si>
  <si>
    <t>310.1700.18.WIN.SG</t>
  </si>
  <si>
    <t>310.1700.24.OYS.MAL</t>
  </si>
  <si>
    <t>310.1700.24.PWT.MAL</t>
  </si>
  <si>
    <t>310.1700.24.WIN.MAL</t>
  </si>
  <si>
    <t>310.1700.24.OYS.MG</t>
  </si>
  <si>
    <t>310.1700.24.PWT.MG</t>
  </si>
  <si>
    <t>310.1700.24.WIN.MG</t>
  </si>
  <si>
    <t>310.1700.24.OYS.SG</t>
  </si>
  <si>
    <t>310.1700.24.PWT.SG</t>
  </si>
  <si>
    <t>310.1700.24.WIN.SG</t>
  </si>
  <si>
    <t>310.1700.30.OYS.MAL</t>
  </si>
  <si>
    <t>310.1700.30.PWT.MAL</t>
  </si>
  <si>
    <t>310.1700.30.WIN.MAL</t>
  </si>
  <si>
    <t>310.1700.30.OYS.MG</t>
  </si>
  <si>
    <t>310.1700.30.PWT.MG</t>
  </si>
  <si>
    <t>310.1700.30.WIN.MG</t>
  </si>
  <si>
    <t>310.1700.30.OYS.SG</t>
  </si>
  <si>
    <t>310.1700.30.PWT.SG</t>
  </si>
  <si>
    <t>310.1700.30.WIN.SG</t>
  </si>
  <si>
    <t>310.1700.36.OYS.MAL</t>
  </si>
  <si>
    <t>310.1700.36.PWT.MAL</t>
  </si>
  <si>
    <t>310.1700.36.WIN.MAL</t>
  </si>
  <si>
    <t>310.1700.36.OYS.MG</t>
  </si>
  <si>
    <t>310.1700.36.PWT.MG</t>
  </si>
  <si>
    <t>310.1700.36.WIN.MG</t>
  </si>
  <si>
    <t>310.1700.36.OYS.SG</t>
  </si>
  <si>
    <t>310.1700.36.PWT.SG</t>
  </si>
  <si>
    <t>310.1700.36.WIN.SG</t>
  </si>
  <si>
    <t>310.1800.18.OYS.MAL</t>
  </si>
  <si>
    <t>310.1800.18.PWT.MAL</t>
  </si>
  <si>
    <t>310.1800.18.WIN.MAL</t>
  </si>
  <si>
    <t>310.1800.18.OYS.MG</t>
  </si>
  <si>
    <t>310.1800.18.PWT.MG</t>
  </si>
  <si>
    <t>310.1800.18.WIN.MG</t>
  </si>
  <si>
    <t>310.1800.18.OYS.SG</t>
  </si>
  <si>
    <t>310.1800.18.PWT.SG</t>
  </si>
  <si>
    <t>310.1800.18.WIN.SG</t>
  </si>
  <si>
    <t>310.1800.24.OYS.MAL</t>
  </si>
  <si>
    <t>310.1800.24.PWT.MAL</t>
  </si>
  <si>
    <t>310.1800.24.WIN.MAL</t>
  </si>
  <si>
    <t>310.1800.24.OYS.MG</t>
  </si>
  <si>
    <t>310.1800.24.PWT.MG</t>
  </si>
  <si>
    <t>310.1800.24.WIN.MG</t>
  </si>
  <si>
    <t>310.1800.24.OYS.SG</t>
  </si>
  <si>
    <t>310.1800.24.PWT.SG</t>
  </si>
  <si>
    <t>310.1800.24.WIN.SG</t>
  </si>
  <si>
    <t>310.1800.30.OYS.MAL</t>
  </si>
  <si>
    <t>310.1800.30.PWT.MAL</t>
  </si>
  <si>
    <t>310.1800.30.WIN.MAL</t>
  </si>
  <si>
    <t>310.1800.30.OYS.MG</t>
  </si>
  <si>
    <t>310.1800.30.PWT.MG</t>
  </si>
  <si>
    <t>310.1800.30.WIN.MG</t>
  </si>
  <si>
    <t>310.1800.30.OYS.SG</t>
  </si>
  <si>
    <t>310.1800.30.PWT.SG</t>
  </si>
  <si>
    <t>310.1800.30.WIN.SG</t>
  </si>
  <si>
    <t>310.1800.36.OYS.MAL</t>
  </si>
  <si>
    <t>310.1800.36.PWT.MAL</t>
  </si>
  <si>
    <t>310.1800.36.WIN.MAL</t>
  </si>
  <si>
    <t>310.1800.36.OYS.MG</t>
  </si>
  <si>
    <t>310.1800.36.PWT.MG</t>
  </si>
  <si>
    <t>310.1800.36.WIN.MG</t>
  </si>
  <si>
    <t>310.1800.36.OYS.SG</t>
  </si>
  <si>
    <t>310.1800.36.PWT.SG</t>
  </si>
  <si>
    <t>310.1800.36.WIN.SG</t>
  </si>
  <si>
    <t>310.1810.18.OYS.MAL</t>
  </si>
  <si>
    <t>310.1810.18.PWT.MAL</t>
  </si>
  <si>
    <t>310.1810.18.WIN.MAL</t>
  </si>
  <si>
    <t>310.1810.18.OYS.MG</t>
  </si>
  <si>
    <t>310.1810.18.PWT.MG</t>
  </si>
  <si>
    <t>310.1810.18.WIN.MG</t>
  </si>
  <si>
    <t>310.1810.18.OYS.SG</t>
  </si>
  <si>
    <t>310.1810.18.PWT.SG</t>
  </si>
  <si>
    <t>310.1810.18.WIN.SG</t>
  </si>
  <si>
    <t>310.1810.24.OYS.MAL</t>
  </si>
  <si>
    <t>310.1810.24.PWT.MAL</t>
  </si>
  <si>
    <t>310.1810.24.WIN.MAL</t>
  </si>
  <si>
    <t>310.1810.24.OYS.MG</t>
  </si>
  <si>
    <t>310.1810.24.PWT.MG</t>
  </si>
  <si>
    <t>310.1810.24.WIN.MG</t>
  </si>
  <si>
    <t>310.1810.24.OYS.SG</t>
  </si>
  <si>
    <t>310.1810.24.PWT.SG</t>
  </si>
  <si>
    <t>310.1810.24.WIN.SG</t>
  </si>
  <si>
    <t>310.1810.30.OYS.MAL</t>
  </si>
  <si>
    <t>310.1810.30.PWT.MAL</t>
  </si>
  <si>
    <t>310.1810.30.WIN.MAL</t>
  </si>
  <si>
    <t>310.1810.30.OYS.MG</t>
  </si>
  <si>
    <t>310.1810.30.PWT.MG</t>
  </si>
  <si>
    <t>310.1810.30.WIN.MG</t>
  </si>
  <si>
    <t>310.1810.30.OYS.SG</t>
  </si>
  <si>
    <t>310.1810.30.PWT.SG</t>
  </si>
  <si>
    <t>310.1810.30.WIN.SG</t>
  </si>
  <si>
    <t>310.1810.36.OYS.MAL</t>
  </si>
  <si>
    <t>310.1810.36.PWT.MAL</t>
  </si>
  <si>
    <t>310.1810.36.WIN.MAL</t>
  </si>
  <si>
    <t>310.1810.36.OYS.MG</t>
  </si>
  <si>
    <t>310.1810.36.PWT.MG</t>
  </si>
  <si>
    <t>310.1810.36.WIN.MG</t>
  </si>
  <si>
    <t>310.1810.36.OYS.SG</t>
  </si>
  <si>
    <t>310.1810.36.PWT.SG</t>
  </si>
  <si>
    <t>310.1810.36.WIN.SG</t>
  </si>
  <si>
    <t>310.1860.18.MAL</t>
  </si>
  <si>
    <t>310.1860.18.MG</t>
  </si>
  <si>
    <t>310.1860.18.SG</t>
  </si>
  <si>
    <t>310.1860.24.MAL</t>
  </si>
  <si>
    <t>310.1860.24.MG</t>
  </si>
  <si>
    <t>310.1860.24.SG</t>
  </si>
  <si>
    <t>310.1860.30.MAL</t>
  </si>
  <si>
    <t>310.1860.30.MG</t>
  </si>
  <si>
    <t>310.1860.30.SG</t>
  </si>
  <si>
    <t>310.1860.36.MAL</t>
  </si>
  <si>
    <t>310.1860.36.MG</t>
  </si>
  <si>
    <t>310.1860.36.SG</t>
  </si>
  <si>
    <t>310.2500.18.OYS.MAL</t>
  </si>
  <si>
    <t>310.2500.18.PWT.MAL</t>
  </si>
  <si>
    <t>310.2500.18.WIN.MAL</t>
  </si>
  <si>
    <t>310.2500.18.OYS.MG</t>
  </si>
  <si>
    <t>310.2500.18.PWT.MG</t>
  </si>
  <si>
    <t>310.2500.18.WIN.MG</t>
  </si>
  <si>
    <t>310.2500.18.OYS.SG</t>
  </si>
  <si>
    <t>310.2500.18.PWT.SG</t>
  </si>
  <si>
    <t>310.2500.18.WIN.SG</t>
  </si>
  <si>
    <t>310.2500.24.OYS.MAL</t>
  </si>
  <si>
    <t>310.2500.24.PWT.MAL</t>
  </si>
  <si>
    <t>310.2500.24.WIN.MAL</t>
  </si>
  <si>
    <t>310.2500.24.OYS.MG</t>
  </si>
  <si>
    <t>310.2500.24.PWT.MG</t>
  </si>
  <si>
    <t>310.2500.24.WIN.MG</t>
  </si>
  <si>
    <t>310.2500.24.OYS.SG</t>
  </si>
  <si>
    <t>310.2500.24.PWT.SG</t>
  </si>
  <si>
    <t>310.2500.24.WIN.SG</t>
  </si>
  <si>
    <t>310.2500.30.OYS.MAL</t>
  </si>
  <si>
    <t>310.2500.30.PWT.MAL</t>
  </si>
  <si>
    <t>310.2500.30.WIN.MAL</t>
  </si>
  <si>
    <t>310.2500.30.OYS.MG</t>
  </si>
  <si>
    <t>310.2500.30.PWT.MG</t>
  </si>
  <si>
    <t>310.2500.30.WIN.MG</t>
  </si>
  <si>
    <t>310.2500.30.OYS.SG</t>
  </si>
  <si>
    <t>310.2500.30.PWT.SG</t>
  </si>
  <si>
    <t>310.2500.30.WIN.SG</t>
  </si>
  <si>
    <t>310.2500.36.OYS.MAL</t>
  </si>
  <si>
    <t>310.2500.36.PWT.MAL</t>
  </si>
  <si>
    <t>310.2500.36.WIN.MAL</t>
  </si>
  <si>
    <t>310.2500.36.OYS.MG</t>
  </si>
  <si>
    <t>310.2500.36.PWT.MG</t>
  </si>
  <si>
    <t>310.2500.36.WIN.MG</t>
  </si>
  <si>
    <t>310.2500.36.OYS.SG</t>
  </si>
  <si>
    <t>310.2500.36.PWT.SG</t>
  </si>
  <si>
    <t>310.2500.36.WIN.SG</t>
  </si>
  <si>
    <t>310.2510.18.OYS.MAL</t>
  </si>
  <si>
    <t>310.2510.18.PWT.MAL</t>
  </si>
  <si>
    <t>310.2510.18.WIN.MAL</t>
  </si>
  <si>
    <t>310.2510.18.OYS.MG</t>
  </si>
  <si>
    <t>310.2510.18.PWT.MG</t>
  </si>
  <si>
    <t>310.2510.18.WIN.MG</t>
  </si>
  <si>
    <t>310.2510.18.OYS.SG</t>
  </si>
  <si>
    <t>310.2510.18.PWT.SG</t>
  </si>
  <si>
    <t>310.2510.18.WIN.SG</t>
  </si>
  <si>
    <t>310.2510.24.OYS.MAL</t>
  </si>
  <si>
    <t>310.2510.24.PWT.MAL</t>
  </si>
  <si>
    <t>310.2510.24.WIN.MAL</t>
  </si>
  <si>
    <t>310.2510.24.OYS.MG</t>
  </si>
  <si>
    <t>310.2510.24.PWT.MG</t>
  </si>
  <si>
    <t>310.2510.24.WIN.MG</t>
  </si>
  <si>
    <t>310.2510.24.OYS.SG</t>
  </si>
  <si>
    <t>310.2510.24.PWT.SG</t>
  </si>
  <si>
    <t>310.2510.24.WIN.SG</t>
  </si>
  <si>
    <t>310.2510.30.OYS.MAL</t>
  </si>
  <si>
    <t>310.2510.30.PWT.MAL</t>
  </si>
  <si>
    <t>310.2510.30.WIN.MAL</t>
  </si>
  <si>
    <t>310.2510.30.OYS.MG</t>
  </si>
  <si>
    <t>310.2510.30.PWT.MG</t>
  </si>
  <si>
    <t>310.2510.30.WIN.MG</t>
  </si>
  <si>
    <t>310.2510.30.OYS.SG</t>
  </si>
  <si>
    <t>310.2510.30.PWT.SG</t>
  </si>
  <si>
    <t>310.2510.30.WIN.SG</t>
  </si>
  <si>
    <t>310.2510.36.OYS.MAL</t>
  </si>
  <si>
    <t>310.2510.36.PWT.MAL</t>
  </si>
  <si>
    <t>310.2510.36.WIN.MAL</t>
  </si>
  <si>
    <t>310.2510.36.OYS.MG</t>
  </si>
  <si>
    <t>310.2510.36.PWT.MG</t>
  </si>
  <si>
    <t>310.2510.36.WIN.MG</t>
  </si>
  <si>
    <t>310.2510.36.OYS.SG</t>
  </si>
  <si>
    <t>310.2510.36.PWT.SG</t>
  </si>
  <si>
    <t>310.2510.36.WIN.SG</t>
  </si>
  <si>
    <t>310.2550.18.OYS.MAL</t>
  </si>
  <si>
    <t>310.2550.18.PWT.MAL</t>
  </si>
  <si>
    <t>310.2550.18.WIN.MAL</t>
  </si>
  <si>
    <t>310.2550.18.OYS.MG</t>
  </si>
  <si>
    <t>310.2550.18.PWT.MG</t>
  </si>
  <si>
    <t>310.2550.18.WIN.MG</t>
  </si>
  <si>
    <t>310.2550.18.OYS.SG</t>
  </si>
  <si>
    <t>310.2550.18.PWT.SG</t>
  </si>
  <si>
    <t>310.2550.18.WIN.SG</t>
  </si>
  <si>
    <t>310.2550.24.OYS.MAL</t>
  </si>
  <si>
    <t>310.2550.24.PWT.MAL</t>
  </si>
  <si>
    <t>310.2550.24.WIN.MAL</t>
  </si>
  <si>
    <t>310.2550.24.OYS.MG</t>
  </si>
  <si>
    <t>310.2550.24.PWT.MG</t>
  </si>
  <si>
    <t>310.2550.24.WIN.MG</t>
  </si>
  <si>
    <t>310.2550.24.OYS.SG</t>
  </si>
  <si>
    <t>310.2550.24.PWT.SG</t>
  </si>
  <si>
    <t>310.2550.24.WIN.SG</t>
  </si>
  <si>
    <t>310.2550.30.OYS.MAL</t>
  </si>
  <si>
    <t>310.2550.30.PWT.MAL</t>
  </si>
  <si>
    <t>310.2550.30.WIN.MAL</t>
  </si>
  <si>
    <t>310.2550.30.OYS.MG</t>
  </si>
  <si>
    <t>310.2550.30.PWT.MG</t>
  </si>
  <si>
    <t>310.2550.30.WIN.MG</t>
  </si>
  <si>
    <t>310.2550.30.OYS.SG</t>
  </si>
  <si>
    <t>310.2550.30.PWT.SG</t>
  </si>
  <si>
    <t>310.2550.30.WIN.SG</t>
  </si>
  <si>
    <t>310.2550.36.OYS.MAL</t>
  </si>
  <si>
    <t>310.2550.36.PWT.MAL</t>
  </si>
  <si>
    <t>310.2550.36.WIN.MAL</t>
  </si>
  <si>
    <t>310.2550.36.OYS.MG</t>
  </si>
  <si>
    <t>310.2550.36.PWT.MG</t>
  </si>
  <si>
    <t>310.2550.36.WIN.MG</t>
  </si>
  <si>
    <t>310.2550.36.OYS.SG</t>
  </si>
  <si>
    <t>310.2550.36.PWT.SG</t>
  </si>
  <si>
    <t>310.2550.36.WIN.SG</t>
  </si>
  <si>
    <t>310.2560.18.OYS.MAL</t>
  </si>
  <si>
    <t>310.2560.18.PWT.MAL</t>
  </si>
  <si>
    <t>310.2560.18.WIN.MAL</t>
  </si>
  <si>
    <t>310.2560.18.OYS.MG</t>
  </si>
  <si>
    <t>310.2560.18.PWT.MG</t>
  </si>
  <si>
    <t>310.2560.18.WIN.MG</t>
  </si>
  <si>
    <t>310.2560.18.OYS.SG</t>
  </si>
  <si>
    <t>310.2560.18.PWT.SG</t>
  </si>
  <si>
    <t>310.2560.18.WIN.SG</t>
  </si>
  <si>
    <t>310.2560.24.OYS.MAL</t>
  </si>
  <si>
    <t>310.2560.24.PWT.MAL</t>
  </si>
  <si>
    <t>310.2560.24.WIN.MAL</t>
  </si>
  <si>
    <t>310.2560.24.OYS.MG</t>
  </si>
  <si>
    <t>310.2560.24.PWT.MG</t>
  </si>
  <si>
    <t>310.2560.24.WIN.MG</t>
  </si>
  <si>
    <t>310.2560.24.OYS.SG</t>
  </si>
  <si>
    <t>310.2560.24.PWT.SG</t>
  </si>
  <si>
    <t>310.2560.24.WIN.SG</t>
  </si>
  <si>
    <t>310.2560.30.OYS.MAL</t>
  </si>
  <si>
    <t>310.2560.30.PWT.MAL</t>
  </si>
  <si>
    <t>310.2560.30.WIN.MAL</t>
  </si>
  <si>
    <t>310.2560.30.OYS.MG</t>
  </si>
  <si>
    <t>310.2560.30.PWT.MG</t>
  </si>
  <si>
    <t>310.2560.30.WIN.MG</t>
  </si>
  <si>
    <t>310.2560.30.OYS.SG</t>
  </si>
  <si>
    <t>310.2560.30.PWT.SG</t>
  </si>
  <si>
    <t>310.2560.30.WIN.SG</t>
  </si>
  <si>
    <t>310.2560.36.OYS.MAL</t>
  </si>
  <si>
    <t>310.2560.36.PWT.MAL</t>
  </si>
  <si>
    <t>310.2560.36.WIN.MAL</t>
  </si>
  <si>
    <t>310.2560.36.OYS.MG</t>
  </si>
  <si>
    <t>310.2560.36.PWT.MG</t>
  </si>
  <si>
    <t>310.2560.36.WIN.MG</t>
  </si>
  <si>
    <t>310.2560.36.OYS.SG</t>
  </si>
  <si>
    <t>310.2560.36.PWT.SG</t>
  </si>
  <si>
    <t>310.2560.36.WIN.SG</t>
  </si>
  <si>
    <t>310.2590.18.OYS.MAL</t>
  </si>
  <si>
    <t>310.2590.18.PWT.MAL</t>
  </si>
  <si>
    <t>310.2590.18.WIN.MAL</t>
  </si>
  <si>
    <t>310.2590.18.OYS.MG</t>
  </si>
  <si>
    <t>310.2590.18.PWT.MG</t>
  </si>
  <si>
    <t>310.2590.18.WIN.MG</t>
  </si>
  <si>
    <t>310.2590.18.OYS.SG</t>
  </si>
  <si>
    <t>310.2590.18.PWT.SG</t>
  </si>
  <si>
    <t>310.2590.18.WIN.SG</t>
  </si>
  <si>
    <t>310.2590.24.OYS.MAL</t>
  </si>
  <si>
    <t>310.2590.24.PWT.MAL</t>
  </si>
  <si>
    <t>310.2590.24.WIN.MAL</t>
  </si>
  <si>
    <t>310.2590.24.OYS.MG</t>
  </si>
  <si>
    <t>310.2590.24.PWT.MG</t>
  </si>
  <si>
    <t>310.2590.24.WIN.MG</t>
  </si>
  <si>
    <t>310.2590.24.OYS.SG</t>
  </si>
  <si>
    <t>310.2590.24.PWT.SG</t>
  </si>
  <si>
    <t>310.2590.24.WIN.SG</t>
  </si>
  <si>
    <t>310.2590.30.OYS.MAL</t>
  </si>
  <si>
    <t>310.2590.30.PWT.MAL</t>
  </si>
  <si>
    <t>310.2590.30.WIN.MAL</t>
  </si>
  <si>
    <t>310.2590.30.OYS.MG</t>
  </si>
  <si>
    <t>310.2590.30.PWT.MG</t>
  </si>
  <si>
    <t>310.2590.30.WIN.MG</t>
  </si>
  <si>
    <t>310.2590.30.OYS.SG</t>
  </si>
  <si>
    <t>310.2590.30.PWT.SG</t>
  </si>
  <si>
    <t>310.2590.30.WIN.SG</t>
  </si>
  <si>
    <t>310.2590.36.OYS.MAL</t>
  </si>
  <si>
    <t>310.2590.36.PWT.MAL</t>
  </si>
  <si>
    <t>310.2590.36.WIN.MAL</t>
  </si>
  <si>
    <t>310.2590.36.OYS.MG</t>
  </si>
  <si>
    <t>310.2590.36.PWT.MG</t>
  </si>
  <si>
    <t>310.2590.36.WIN.MG</t>
  </si>
  <si>
    <t>310.2590.36.OYS.SG</t>
  </si>
  <si>
    <t>310.2590.36.PWT.SG</t>
  </si>
  <si>
    <t>310.2590.36.WIN.SG</t>
  </si>
  <si>
    <t>310.2600.18.OYS.MAL</t>
  </si>
  <si>
    <t>310.2600.18.PWT.MAL</t>
  </si>
  <si>
    <t>310.2600.18.WIN.MAL</t>
  </si>
  <si>
    <t>310.2600.18.OYS.MG</t>
  </si>
  <si>
    <t>310.2600.18.PWT.MG</t>
  </si>
  <si>
    <t>310.2600.18.WIN.MG</t>
  </si>
  <si>
    <t>310.2600.18.OYS.SG</t>
  </si>
  <si>
    <t>310.2600.18.PWT.SG</t>
  </si>
  <si>
    <t>310.2600.18.WIN.SG</t>
  </si>
  <si>
    <t>310.2600.24.OYS.MAL</t>
  </si>
  <si>
    <t>310.2600.24.PWT.MAL</t>
  </si>
  <si>
    <t>310.2600.24.WIN.MAL</t>
  </si>
  <si>
    <t>310.2600.24.OYS.MG</t>
  </si>
  <si>
    <t>310.2600.24.PWT.MG</t>
  </si>
  <si>
    <t>310.2600.24.WIN.MG</t>
  </si>
  <si>
    <t>310.2600.24.OYS.SG</t>
  </si>
  <si>
    <t>310.2600.24.PWT.SG</t>
  </si>
  <si>
    <t>310.2600.24.WIN.SG</t>
  </si>
  <si>
    <t>310.2600.30.OYS.MAL</t>
  </si>
  <si>
    <t>310.2600.30.PWT.MAL</t>
  </si>
  <si>
    <t>310.2600.30.WIN.MAL</t>
  </si>
  <si>
    <t>310.2600.30.OYS.MG</t>
  </si>
  <si>
    <t>310.2600.30.PWT.MG</t>
  </si>
  <si>
    <t>310.2600.30.WIN.MG</t>
  </si>
  <si>
    <t>310.2600.30.OYS.SG</t>
  </si>
  <si>
    <t>310.2600.30.PWT.SG</t>
  </si>
  <si>
    <t>310.2600.30.WIN.SG</t>
  </si>
  <si>
    <t>310.2600.36.OYS.MAL</t>
  </si>
  <si>
    <t>310.2600.36.PWT.MAL</t>
  </si>
  <si>
    <t>310.2600.36.WIN.MAL</t>
  </si>
  <si>
    <t>310.2600.36.OYS.MG</t>
  </si>
  <si>
    <t>310.2600.36.PWT.MG</t>
  </si>
  <si>
    <t>310.2600.36.WIN.MG</t>
  </si>
  <si>
    <t>310.2600.36.OYS.SG</t>
  </si>
  <si>
    <t>310.2600.36.PWT.SG</t>
  </si>
  <si>
    <t>310.2600.36.WIN.SG</t>
  </si>
  <si>
    <t>310.2610.18.OYS.MAL</t>
  </si>
  <si>
    <t>310.2610.18.PWT.MAL</t>
  </si>
  <si>
    <t>310.2610.18.WIN.MAL</t>
  </si>
  <si>
    <t>310.2610.18.OYS.MG</t>
  </si>
  <si>
    <t>310.2610.18.PWT.MG</t>
  </si>
  <si>
    <t>310.2610.18.WIN.MG</t>
  </si>
  <si>
    <t>310.2610.18.OYS.SG</t>
  </si>
  <si>
    <t>310.2610.18.PWT.SG</t>
  </si>
  <si>
    <t>310.2610.18.WIN.SG</t>
  </si>
  <si>
    <t>310.2610.24.OYS.MAL</t>
  </si>
  <si>
    <t>310.2610.24.PWT.MAL</t>
  </si>
  <si>
    <t>310.2610.24.WIN.MAL</t>
  </si>
  <si>
    <t>310.2610.24.OYS.MG</t>
  </si>
  <si>
    <t>310.2610.24.PWT.MG</t>
  </si>
  <si>
    <t>310.2610.24.WIN.MG</t>
  </si>
  <si>
    <t>310.2610.24.OYS.SG</t>
  </si>
  <si>
    <t>310.2610.24.PWT.SG</t>
  </si>
  <si>
    <t>310.2610.24.WIN.SG</t>
  </si>
  <si>
    <t>310.2610.30.OYS.MAL</t>
  </si>
  <si>
    <t>310.2610.30.PWT.MAL</t>
  </si>
  <si>
    <t>310.2610.30.WIN.MAL</t>
  </si>
  <si>
    <t>310.2610.30.OYS.MG</t>
  </si>
  <si>
    <t>310.2610.30.PWT.MG</t>
  </si>
  <si>
    <t>310.2610.30.WIN.MG</t>
  </si>
  <si>
    <t>310.2610.30.OYS.SG</t>
  </si>
  <si>
    <t>310.2610.30.PWT.SG</t>
  </si>
  <si>
    <t>310.2610.30.WIN.SG</t>
  </si>
  <si>
    <t>310.2610.36.OYS.MAL</t>
  </si>
  <si>
    <t>310.2610.36.PWT.MAL</t>
  </si>
  <si>
    <t>310.2610.36.WIN.MAL</t>
  </si>
  <si>
    <t>310.2610.36.OYS.MG</t>
  </si>
  <si>
    <t>310.2610.36.PWT.MG</t>
  </si>
  <si>
    <t>310.2610.36.WIN.MG</t>
  </si>
  <si>
    <t>310.2610.36.OYS.SG</t>
  </si>
  <si>
    <t>310.2610.36.PWT.SG</t>
  </si>
  <si>
    <t>310.2610.36.WIN.SG</t>
  </si>
  <si>
    <t>310.2620.18.OYS.MAL</t>
  </si>
  <si>
    <t>310.2620.18.PWT.MAL</t>
  </si>
  <si>
    <t>310.2620.18.WIN.MAL</t>
  </si>
  <si>
    <t>310.2620.18.OYS.MG</t>
  </si>
  <si>
    <t>310.2620.18.PWT.MG</t>
  </si>
  <si>
    <t>310.2620.18.WIN.MG</t>
  </si>
  <si>
    <t>310.2620.18.OYS.SG</t>
  </si>
  <si>
    <t>310.2620.18.PWT.SG</t>
  </si>
  <si>
    <t>310.2620.18.WIN.SG</t>
  </si>
  <si>
    <t>310.2620.24.OYS.MAL</t>
  </si>
  <si>
    <t>310.2620.24.PWT.MAL</t>
  </si>
  <si>
    <t>310.2620.24.WIN.MAL</t>
  </si>
  <si>
    <t>310.2620.24.OYS.MG</t>
  </si>
  <si>
    <t>310.2620.24.PWT.MG</t>
  </si>
  <si>
    <t>310.2620.24.WIN.MG</t>
  </si>
  <si>
    <t>310.2620.24.OYS.SG</t>
  </si>
  <si>
    <t>310.2620.24.PWT.SG</t>
  </si>
  <si>
    <t>310.2620.24.WIN.SG</t>
  </si>
  <si>
    <t>310.2620.30.OYS.MAL</t>
  </si>
  <si>
    <t>310.2620.30.PWT.MAL</t>
  </si>
  <si>
    <t>310.2620.30.WIN.MAL</t>
  </si>
  <si>
    <t>310.2620.30.OYS.MG</t>
  </si>
  <si>
    <t>310.2620.30.PWT.MG</t>
  </si>
  <si>
    <t>310.2620.30.WIN.MG</t>
  </si>
  <si>
    <t>310.2620.30.OYS.SG</t>
  </si>
  <si>
    <t>310.2620.30.PWT.SG</t>
  </si>
  <si>
    <t>310.2620.30.WIN.SG</t>
  </si>
  <si>
    <t>310.2620.36.OYS.MAL</t>
  </si>
  <si>
    <t>310.2620.36.PWT.MAL</t>
  </si>
  <si>
    <t>310.2620.36.WIN.MAL</t>
  </si>
  <si>
    <t>310.2620.36.OYS.MG</t>
  </si>
  <si>
    <t>310.2620.36.PWT.MG</t>
  </si>
  <si>
    <t>310.2620.36.WIN.MG</t>
  </si>
  <si>
    <t>310.2620.36.OYS.SG</t>
  </si>
  <si>
    <t>310.2620.36.PWT.SG</t>
  </si>
  <si>
    <t>310.2620.36.WIN.SG</t>
  </si>
  <si>
    <t>310.2700.18.OYS.MAL</t>
  </si>
  <si>
    <t>310.2700.18.PWT.MAL</t>
  </si>
  <si>
    <t>310.2700.18.WIN.MAL</t>
  </si>
  <si>
    <t>310.2700.18.OYS.MG</t>
  </si>
  <si>
    <t>310.2700.18.PWT.MG</t>
  </si>
  <si>
    <t>310.2700.18.WIN.MG</t>
  </si>
  <si>
    <t>310.2700.18.OYS.SG</t>
  </si>
  <si>
    <t>310.2700.18.PWT.SG</t>
  </si>
  <si>
    <t>310.2700.18.WIN.SG</t>
  </si>
  <si>
    <t>310.2700.24.OYS.MAL</t>
  </si>
  <si>
    <t>310.2700.24.PWT.MAL</t>
  </si>
  <si>
    <t>310.2700.24.WIN.MAL</t>
  </si>
  <si>
    <t>310.2700.24.OYS.MG</t>
  </si>
  <si>
    <t>310.2700.24.PWT.MG</t>
  </si>
  <si>
    <t>310.2700.24.WIN.MG</t>
  </si>
  <si>
    <t>310.2700.24.OYS.SG</t>
  </si>
  <si>
    <t>310.2700.24.PWT.SG</t>
  </si>
  <si>
    <t>310.2700.24.WIN.SG</t>
  </si>
  <si>
    <t>310.2700.30.OYS.MAL</t>
  </si>
  <si>
    <t>310.2700.30.PWT.MAL</t>
  </si>
  <si>
    <t>310.2700.30.WIN.MAL</t>
  </si>
  <si>
    <t>310.2700.30.OYS.MG</t>
  </si>
  <si>
    <t>310.2700.30.PWT.MG</t>
  </si>
  <si>
    <t>310.2700.30.WIN.MG</t>
  </si>
  <si>
    <t>310.2700.30.OYS.SG</t>
  </si>
  <si>
    <t>310.2700.30.PWT.SG</t>
  </si>
  <si>
    <t>310.2700.30.WIN.SG</t>
  </si>
  <si>
    <t>310.2700.36.OYS.MAL</t>
  </si>
  <si>
    <t>310.2700.36.PWT.MAL</t>
  </si>
  <si>
    <t>310.2700.36.WIN.MAL</t>
  </si>
  <si>
    <t>310.2700.36.OYS.MG</t>
  </si>
  <si>
    <t>310.2700.36.PWT.MG</t>
  </si>
  <si>
    <t>310.2700.36.WIN.MG</t>
  </si>
  <si>
    <t>310.2700.36.OYS.SG</t>
  </si>
  <si>
    <t>310.2700.36.PWT.SG</t>
  </si>
  <si>
    <t>310.2700.36.WIN.SG</t>
  </si>
  <si>
    <t>310.2800.18.OYS.MAL</t>
  </si>
  <si>
    <t>310.2800.18.PWT.MAL</t>
  </si>
  <si>
    <t>310.2800.18.WIN.MAL</t>
  </si>
  <si>
    <t>310.2800.18.OYS.MG</t>
  </si>
  <si>
    <t>310.2800.18.PWT.MG</t>
  </si>
  <si>
    <t>310.2800.18.WIN.MG</t>
  </si>
  <si>
    <t>310.2800.18.OYS.SG</t>
  </si>
  <si>
    <t>310.2800.18.PWT.SG</t>
  </si>
  <si>
    <t>310.2800.18.WIN.SG</t>
  </si>
  <si>
    <t>310.2800.24.OYS.MAL</t>
  </si>
  <si>
    <t>310.2800.24.PWT.MAL</t>
  </si>
  <si>
    <t>310.2800.24.WIN.MAL</t>
  </si>
  <si>
    <t>310.2800.24.OYS.MG</t>
  </si>
  <si>
    <t>310.2800.24.PWT.MG</t>
  </si>
  <si>
    <t>310.2800.24.WIN.MG</t>
  </si>
  <si>
    <t>310.2800.24.OYS.SG</t>
  </si>
  <si>
    <t>310.2800.24.PWT.SG</t>
  </si>
  <si>
    <t>310.2800.24.WIN.SG</t>
  </si>
  <si>
    <t>310.2800.30.OYS.MAL</t>
  </si>
  <si>
    <t>310.2800.30.PWT.MAL</t>
  </si>
  <si>
    <t>310.2800.30.WIN.MAL</t>
  </si>
  <si>
    <t>310.2800.30.OYS.MG</t>
  </si>
  <si>
    <t>310.2800.30.PWT.MG</t>
  </si>
  <si>
    <t>310.2800.30.WIN.MG</t>
  </si>
  <si>
    <t>310.2800.30.OYS.SG</t>
  </si>
  <si>
    <t>310.2800.30.PWT.SG</t>
  </si>
  <si>
    <t>310.2800.30.WIN.SG</t>
  </si>
  <si>
    <t>310.2800.36.OYS.MAL</t>
  </si>
  <si>
    <t>310.2800.36.PWT.MAL</t>
  </si>
  <si>
    <t>310.2800.36.WIN.MAL</t>
  </si>
  <si>
    <t>310.2800.36.OYS.MG</t>
  </si>
  <si>
    <t>310.2800.36.PWT.MG</t>
  </si>
  <si>
    <t>310.2800.36.WIN.MG</t>
  </si>
  <si>
    <t>310.2800.36.OYS.SG</t>
  </si>
  <si>
    <t>310.2800.36.PWT.SG</t>
  </si>
  <si>
    <t>310.2800.36.WIN.SG</t>
  </si>
  <si>
    <t>310.2810.18.OYS.MAL</t>
  </si>
  <si>
    <t>310.2810.18.PWT.MAL</t>
  </si>
  <si>
    <t>310.2810.18.WIN.MAL</t>
  </si>
  <si>
    <t>310.2810.18.OYS.MG</t>
  </si>
  <si>
    <t>310.2810.18.PWT.MG</t>
  </si>
  <si>
    <t>310.2810.18.WIN.MG</t>
  </si>
  <si>
    <t>310.2810.18.OYS.SG</t>
  </si>
  <si>
    <t>310.2810.18.PWT.SG</t>
  </si>
  <si>
    <t>310.2810.18.WIN.SG</t>
  </si>
  <si>
    <t>310.2810.24.OYS.MAL</t>
  </si>
  <si>
    <t>310.2810.24.PWT.MAL</t>
  </si>
  <si>
    <t>310.2810.24.WIN.MAL</t>
  </si>
  <si>
    <t>310.2810.24.OYS.MG</t>
  </si>
  <si>
    <t>310.2810.24.PWT.MG</t>
  </si>
  <si>
    <t>310.2810.24.WIN.MG</t>
  </si>
  <si>
    <t>310.2810.24.OYS.SG</t>
  </si>
  <si>
    <t>310.2810.24.PWT.SG</t>
  </si>
  <si>
    <t>310.2810.24.WIN.SG</t>
  </si>
  <si>
    <t>310.2810.30.OYS.MAL</t>
  </si>
  <si>
    <t>310.2810.30.PWT.MAL</t>
  </si>
  <si>
    <t>310.2810.30.WIN.MAL</t>
  </si>
  <si>
    <t>310.2810.30.OYS.MG</t>
  </si>
  <si>
    <t>310.2810.30.PWT.MG</t>
  </si>
  <si>
    <t>310.2810.30.WIN.MG</t>
  </si>
  <si>
    <t>310.2810.30.OYS.SG</t>
  </si>
  <si>
    <t>310.2810.30.PWT.SG</t>
  </si>
  <si>
    <t>310.2810.30.WIN.SG</t>
  </si>
  <si>
    <t>310.2810.36.OYS.MAL</t>
  </si>
  <si>
    <t>310.2810.36.PWT.MAL</t>
  </si>
  <si>
    <t>310.2810.36.WIN.MAL</t>
  </si>
  <si>
    <t>310.2810.36.OYS.MG</t>
  </si>
  <si>
    <t>310.2810.36.PWT.MG</t>
  </si>
  <si>
    <t>310.2810.36.WIN.MG</t>
  </si>
  <si>
    <t>310.2810.36.OYS.SG</t>
  </si>
  <si>
    <t>310.2810.36.PWT.SG</t>
  </si>
  <si>
    <t>310.2810.36.WIN.SG</t>
  </si>
  <si>
    <t>310.2900.18.OYS.MAL</t>
  </si>
  <si>
    <t>310.2900.18.PWT.MAL</t>
  </si>
  <si>
    <t>310.2900.18.WIN.MAL</t>
  </si>
  <si>
    <t>310.2900.18.OYS.MG</t>
  </si>
  <si>
    <t>310.2900.18.PWT.MG</t>
  </si>
  <si>
    <t>310.2900.18.WIN.MG</t>
  </si>
  <si>
    <t>310.2900.18.OYS.SG</t>
  </si>
  <si>
    <t>310.2900.18.PWT.SG</t>
  </si>
  <si>
    <t>310.2900.18.WIN.SG</t>
  </si>
  <si>
    <t>310.2900.24.OYS.MAL</t>
  </si>
  <si>
    <t>310.2900.24.PWT.MAL</t>
  </si>
  <si>
    <t>310.2900.24.WIN.MAL</t>
  </si>
  <si>
    <t>310.2900.24.OYS.MG</t>
  </si>
  <si>
    <t>310.2900.24.PWT.MG</t>
  </si>
  <si>
    <t>310.2900.24.WIN.MG</t>
  </si>
  <si>
    <t>310.2900.24.OYS.SG</t>
  </si>
  <si>
    <t>310.2900.24.PWT.SG</t>
  </si>
  <si>
    <t>310.2900.24.WIN.SG</t>
  </si>
  <si>
    <t>310.2900.30.OYS.MAL</t>
  </si>
  <si>
    <t>310.2900.30.PWT.MAL</t>
  </si>
  <si>
    <t>310.2900.30.WIN.MAL</t>
  </si>
  <si>
    <t>310.2900.30.OYS.MG</t>
  </si>
  <si>
    <t>310.2900.30.PWT.MG</t>
  </si>
  <si>
    <t>310.2900.30.WIN.MG</t>
  </si>
  <si>
    <t>310.2900.30.OYS.SG</t>
  </si>
  <si>
    <t>310.2900.30.PWT.SG</t>
  </si>
  <si>
    <t>310.2900.30.WIN.SG</t>
  </si>
  <si>
    <t>310.2900.36.OYS.MAL</t>
  </si>
  <si>
    <t>310.2900.36.PWT.MAL</t>
  </si>
  <si>
    <t>310.2900.36.WIN.MAL</t>
  </si>
  <si>
    <t>310.2900.36.OYS.MG</t>
  </si>
  <si>
    <t>310.2900.36.PWT.MG</t>
  </si>
  <si>
    <t>310.2900.36.WIN.MG</t>
  </si>
  <si>
    <t>310.2900.36.OYS.SG</t>
  </si>
  <si>
    <t>310.2900.36.PWT.SG</t>
  </si>
  <si>
    <t>310.2900.36.WIN.SG</t>
  </si>
  <si>
    <t>310.2910.18.MAL</t>
  </si>
  <si>
    <t>310.2910.18.MG</t>
  </si>
  <si>
    <t>310.2910.18.SG</t>
  </si>
  <si>
    <t>310.2910.24.MAL</t>
  </si>
  <si>
    <t>310.2910.24.MG</t>
  </si>
  <si>
    <t>310.2910.24.SG</t>
  </si>
  <si>
    <t>310.2910.30.MAL</t>
  </si>
  <si>
    <t>310.2910.30.MG</t>
  </si>
  <si>
    <t>310.2910.30.SG</t>
  </si>
  <si>
    <t>310.2910.36.MAL</t>
  </si>
  <si>
    <t>310.2910.36.MG</t>
  </si>
  <si>
    <t>310.2910.36.SG</t>
  </si>
  <si>
    <t>310.2980.18.MAL</t>
  </si>
  <si>
    <t>310.2980.18.MG</t>
  </si>
  <si>
    <t>310.2980.18.SG</t>
  </si>
  <si>
    <t>310.2980.24.MAL</t>
  </si>
  <si>
    <t>310.2980.24.MG</t>
  </si>
  <si>
    <t>310.2980.24.SG</t>
  </si>
  <si>
    <t>310.2980.30.MAL</t>
  </si>
  <si>
    <t>310.2980.30.MG</t>
  </si>
  <si>
    <t>310.2980.30.SG</t>
  </si>
  <si>
    <t>310.2980.36.MAL</t>
  </si>
  <si>
    <t>310.2980.36.MG</t>
  </si>
  <si>
    <t>310.2980.36.SG</t>
  </si>
  <si>
    <t>310.2670.18</t>
  </si>
  <si>
    <t>310.2670.24</t>
  </si>
  <si>
    <t>310.2670.30</t>
  </si>
  <si>
    <t>310.2670.36</t>
  </si>
  <si>
    <t>310.2671.18</t>
  </si>
  <si>
    <t>310.2671.24</t>
  </si>
  <si>
    <t>310.2671.30</t>
  </si>
  <si>
    <t>310.2671.36</t>
  </si>
  <si>
    <t>300.3240.256.MAL</t>
  </si>
  <si>
    <t>T-Bar Handle, 256mm W, 192mm CTC, Matte Aluminum</t>
  </si>
  <si>
    <t>300.3240.256.MG</t>
  </si>
  <si>
    <t>T-Bar Handle, 256mm W, 192mm CTC, Gold</t>
  </si>
  <si>
    <t>300.3240.256.SG</t>
  </si>
  <si>
    <t>T-Bar Handle, 256mm W, 192mm CTC, Graphite</t>
  </si>
  <si>
    <t>300.3240.416.MAL</t>
  </si>
  <si>
    <t>T-Bar Handle, 416mm W, 352mm CTC, Matte Aluminum</t>
  </si>
  <si>
    <t>300.3240.416.MG</t>
  </si>
  <si>
    <t>T-Bar Handle, 416mm W, 352mm CTC, Gold</t>
  </si>
  <si>
    <t>300.3240.416.SG</t>
  </si>
  <si>
    <t>T-Bar Handle, 416mm W, 352mm CTC, Graphite</t>
  </si>
  <si>
    <t>300.3240.576.MAL</t>
  </si>
  <si>
    <t>T-Bar Handle, 576mm W, 512mm CTC, Matte Aluminum</t>
  </si>
  <si>
    <t>300.3240.576.MG</t>
  </si>
  <si>
    <t>T-Bar Handle, 576mm W, 512mm CTC, Gold</t>
  </si>
  <si>
    <t>300.3240.576.SG</t>
  </si>
  <si>
    <t>T-Bar Handle, 576mm W, 512mm CTC, Graphite</t>
  </si>
  <si>
    <t>310.2330.00.PWT</t>
  </si>
  <si>
    <t>LEATHER SWATCH/SAMPLE</t>
  </si>
  <si>
    <t>PWT</t>
  </si>
  <si>
    <t>310.2330.00.OYS</t>
  </si>
  <si>
    <t>OYS</t>
  </si>
  <si>
    <t>310.2330.00.WIN</t>
  </si>
  <si>
    <t>WIN</t>
  </si>
  <si>
    <t>310.1200.18.3K.MAL</t>
  </si>
  <si>
    <t>Everstyle 14 Glass Shelf, 18" W, Warm White w Matte Aluminum</t>
  </si>
  <si>
    <t>310.1200.24.3K.MAL</t>
  </si>
  <si>
    <t>Everstyle 14 Glass Shelf, 24" W, Warm White w Matte Aluminum</t>
  </si>
  <si>
    <t>310.1200.30.3K.MAL</t>
  </si>
  <si>
    <t>Everstyle 14 Glass Shelf, 30" W, Warm White w Matte Aluminum</t>
  </si>
  <si>
    <t>310.1200.36.3K.MAL</t>
  </si>
  <si>
    <t>Everstyle 14 Glass Shelf, 36" W, Warm White w Matte Aluminum</t>
  </si>
  <si>
    <t>310.2200.18.3K.MAL</t>
  </si>
  <si>
    <t>Everstyle 20 Glass Shelf, 18" W, Warm White w Matte Aluminum</t>
  </si>
  <si>
    <t>310.2200.24.3K.MAL</t>
  </si>
  <si>
    <t>Everstyle 20 Glass Shelf, 24" W, Warm White w Matte Aluminum</t>
  </si>
  <si>
    <t>310.2200.30.3K.MAL</t>
  </si>
  <si>
    <t>Everstyle 20 Glass Shelf, 30" W, Warm White w Matte Aluminum</t>
  </si>
  <si>
    <t>310.2200.36.3K.MAL</t>
  </si>
  <si>
    <t>Everstyle 20 Glass Shelf, 36" W, Warm White w Matte Aluminum</t>
  </si>
  <si>
    <t>310.1200.18.3K.MG</t>
  </si>
  <si>
    <t>Everstyle 14 Glass Shelf, 18" W, Warm White w Gold</t>
  </si>
  <si>
    <t>310.1200.24.3K.MG</t>
  </si>
  <si>
    <t>Everstyle 14 Glass Shelf, 24" W, Warm White w Gold</t>
  </si>
  <si>
    <t>310.1200.30.3K.MG</t>
  </si>
  <si>
    <t>Everstyle 14 Glass Shelf, 30" W, Warm White w Gold</t>
  </si>
  <si>
    <t>310.1200.36.3K.MG</t>
  </si>
  <si>
    <t>Everstyle 14 Glass Shelf, 36" W, Warm White w Gold</t>
  </si>
  <si>
    <t>310.2200.18.3K.MG</t>
  </si>
  <si>
    <t>Everstyle 20 Glass Shelf, 18" W, Warm White w Gold</t>
  </si>
  <si>
    <t>310.2200.24.3K.MG</t>
  </si>
  <si>
    <t>Everstyle 20 Glass Shelf, 24" W, Warm White w Gold</t>
  </si>
  <si>
    <t>310.2200.30.3K.MG</t>
  </si>
  <si>
    <t>Everstyle 20 Glass Shelf, 30" W, Warm White w Gold</t>
  </si>
  <si>
    <t>310.2200.36.3K.MG</t>
  </si>
  <si>
    <t>Everstyle 20 Glass Shelf, 36" W, Warm White w Gold</t>
  </si>
  <si>
    <t>310.1200.18.3K.SG</t>
  </si>
  <si>
    <t>Everstyle 14 Glass Shelf, 18" W, Warm White w Graphite</t>
  </si>
  <si>
    <t>310.1200.24.3K.SG</t>
  </si>
  <si>
    <t>Everstyle 14 Glass Shelf, 24" W, Warm White w Graphite</t>
  </si>
  <si>
    <t>310.1200.30.3K.SG</t>
  </si>
  <si>
    <t>Everstyle 14 Glass Shelf, 30" W, Warm White w Graphite</t>
  </si>
  <si>
    <t>310.1200.36.3K.SG</t>
  </si>
  <si>
    <t>Everstyle 14 Glass Shelf, 36" W, Warm White w Graphite</t>
  </si>
  <si>
    <t>310.2200.18.3K.SG</t>
  </si>
  <si>
    <t>Everstyle 20 Glass Shelf, 18" W, Warm White w Graphite</t>
  </si>
  <si>
    <t>310.2200.24.3K.SG</t>
  </si>
  <si>
    <t>Everstyle 20 Glass Shelf, 24" W, Warm White w Graphite</t>
  </si>
  <si>
    <t>310.2200.30.3K.SG</t>
  </si>
  <si>
    <t>Everstyle 20 Glass Shelf, 30" W, Warm White w Graphite</t>
  </si>
  <si>
    <t>310.2200.36.3K.SG</t>
  </si>
  <si>
    <t>Everstyle 20 Glass Shelf, 36" W, Warm White w Graphite</t>
  </si>
  <si>
    <t>310.1200.18.4K.MAL</t>
  </si>
  <si>
    <t>Everstyle 14 Glass Shelf, 18" W, Cool White w Matte Aluminum</t>
  </si>
  <si>
    <t>310.1200.24.4K.MAL</t>
  </si>
  <si>
    <t>Everstyle 14 Glass Shelf, 24" W, Cool White w Matte Aluminum</t>
  </si>
  <si>
    <t>310.1200.30.4K.MAL</t>
  </si>
  <si>
    <t>Everstyle 14 Glass Shelf, 30" W, Cool White w Matte Aluminum</t>
  </si>
  <si>
    <t>310.1200.36.4K.MAL</t>
  </si>
  <si>
    <t>Everstyle 14 Glass Shelf, 36" W, Cool White w Matte Aluminum</t>
  </si>
  <si>
    <t>310.2200.18.4K.MAL</t>
  </si>
  <si>
    <t>Everstyle 20 Glass Shelf, 18" W, Cool White w Matte Aluminum</t>
  </si>
  <si>
    <t>310.2200.24.4K.MAL</t>
  </si>
  <si>
    <t>Everstyle 20 Glass Shelf, 24" W, Cool White w Matte Aluminum</t>
  </si>
  <si>
    <t>310.2200.30.4K.MAL</t>
  </si>
  <si>
    <t>Everstyle 20 Glass Shelf, 30" W, Cool White w Matte Aluminum</t>
  </si>
  <si>
    <t>310.2200.36.4K.MAL</t>
  </si>
  <si>
    <t>Everstyle 20 Glass Shelf, 36" W, Cool White w Matte Aluminum</t>
  </si>
  <si>
    <t>310.1200.18.4K.MG</t>
  </si>
  <si>
    <t>Everstyle 14 Glass Shelf, 18" W, Cool White w Gold</t>
  </si>
  <si>
    <t>310.1200.24.4K.MG</t>
  </si>
  <si>
    <t>Everstyle 14 Glass Shelf, 24" W, Cool White w Gold</t>
  </si>
  <si>
    <t>310.1200.30.4K.MG</t>
  </si>
  <si>
    <t>Everstyle 14 Glass Shelf, 30" W, Cool White w Gold</t>
  </si>
  <si>
    <t>310.1200.36.4K.MG</t>
  </si>
  <si>
    <t>Everstyle 14 Glass Shelf, 36" W, Cool White w Gold</t>
  </si>
  <si>
    <t>310.2200.18.4K.MG</t>
  </si>
  <si>
    <t>Everstyle 20 Glass Shelf, 18" W, Cool White w Gold</t>
  </si>
  <si>
    <t>310.2200.24.4K.MG</t>
  </si>
  <si>
    <t>Everstyle 20 Glass Shelf, 24" W, Cool White w Gold</t>
  </si>
  <si>
    <t>310.2200.30.4K.MG</t>
  </si>
  <si>
    <t>Everstyle 20 Glass Shelf, 30" W, Cool White w Gold</t>
  </si>
  <si>
    <t>310.2200.36.4K.MG</t>
  </si>
  <si>
    <t>Everstyle 20 Glass Shelf, 36" W, Cool White w Gold</t>
  </si>
  <si>
    <t>310.1200.18.4K.SG</t>
  </si>
  <si>
    <t>Everstyle 14 Glass Shelf, 18" W, Cool White w Graphite</t>
  </si>
  <si>
    <t>310.1200.24.4K.SG</t>
  </si>
  <si>
    <t>Everstyle 14 Glass Shelf, 24" W, Cool White w Graphite</t>
  </si>
  <si>
    <t>310.1200.30.4K.SG</t>
  </si>
  <si>
    <t>Everstyle 14 Glass Shelf, 30" W, Cool White w Graphite</t>
  </si>
  <si>
    <t>310.1200.36.4K.SG</t>
  </si>
  <si>
    <t>Everstyle 14 Glass Shelf, 36" W, Cool White w Graphite</t>
  </si>
  <si>
    <t>310.2200.18.4K.SG</t>
  </si>
  <si>
    <t>Everstyle 20 Glass Shelf, 18" W, Cool White w Graphite</t>
  </si>
  <si>
    <t>310.2200.24.4K.SG</t>
  </si>
  <si>
    <t>Everstyle 20 Glass Shelf, 24" W, Cool White w Graphite</t>
  </si>
  <si>
    <t>310.2200.30.4K.SG</t>
  </si>
  <si>
    <t>Everstyle 20 Glass Shelf, 30" W, Cool White w Graphite</t>
  </si>
  <si>
    <t>310.2200.36.4K.SG</t>
  </si>
  <si>
    <t>Everstyle 20 Glass Shelf, 36" W, Cool White w Graphite</t>
  </si>
  <si>
    <t>310.2123.18.MAL</t>
  </si>
  <si>
    <t>Glass Shelf Filler, 18" W, Matte Aluminum</t>
  </si>
  <si>
    <t>310.2123.18.MG</t>
  </si>
  <si>
    <t>Glass Shelf Filler, 18" W, Gold</t>
  </si>
  <si>
    <t>310.2123.18.SG</t>
  </si>
  <si>
    <t>Glass Shelf Filler, 18" W, Graphite</t>
  </si>
  <si>
    <t>310.2123.24.MAL</t>
  </si>
  <si>
    <t>Glass Shelf Filler, 24" W, Matte Aluminum</t>
  </si>
  <si>
    <t>310.2123.24.MG</t>
  </si>
  <si>
    <t>Glass Shelf Filler, 24" W, Gold</t>
  </si>
  <si>
    <t>310.2123.24.SG</t>
  </si>
  <si>
    <t>Glass Shelf Filler, 24" W, Graphite</t>
  </si>
  <si>
    <t>310.2123.30.MAL</t>
  </si>
  <si>
    <t>Glass Shelf Filler, 30" W, Matte Aluminum</t>
  </si>
  <si>
    <t>310.2123.30.MG</t>
  </si>
  <si>
    <t>Glass Shelf Filler, 30" W, Gold</t>
  </si>
  <si>
    <t>310.2123.30.SG</t>
  </si>
  <si>
    <t>Glass Shelf Filler, 30" W, Graphite</t>
  </si>
  <si>
    <t>310.2123.36.MAL</t>
  </si>
  <si>
    <t>Glass Shelf Filler, 36" W, Matte Aluminum</t>
  </si>
  <si>
    <t>310.2123.36.MG</t>
  </si>
  <si>
    <t>Glass Shelf Filler, 36" W, Gold</t>
  </si>
  <si>
    <t>310.2123.36.SG</t>
  </si>
  <si>
    <t>Glass Shelf Filler, 36" W, Graphite</t>
  </si>
  <si>
    <t>310.8319.MAL</t>
  </si>
  <si>
    <t>Wall Mount Organizer, 19" H Vertical, Matte Aluminum (pair)</t>
  </si>
  <si>
    <t>310.8319.MG</t>
  </si>
  <si>
    <t>Wall Mount Organizer, 19" H Vertical, Gold (pair)</t>
  </si>
  <si>
    <t>310.8319.SG</t>
  </si>
  <si>
    <t>Wall Mount Organizer, 19" H Vertical, Graphite (pair)</t>
  </si>
  <si>
    <t>310.8342.MAL</t>
  </si>
  <si>
    <t>Wall Mount Organizer, 42" H Vertical, Matte Aluminum (pair)</t>
  </si>
  <si>
    <t>310.8342.MG</t>
  </si>
  <si>
    <t>Wall Mount Organizer, 42" H Vertical, Gold (pair)</t>
  </si>
  <si>
    <t>310.8342.SG</t>
  </si>
  <si>
    <t>Wall Mount Organizer, 42" H Vertical, Graphite (pair)</t>
  </si>
  <si>
    <t>310.8366.MAL</t>
  </si>
  <si>
    <t>Wall Mount Organizer, 66" H Vertical, Matte Aluminum (pair)</t>
  </si>
  <si>
    <t>310.8366.MG</t>
  </si>
  <si>
    <t>Wall Mount Organizer, 66" H Vertical, Gold (pair)</t>
  </si>
  <si>
    <t>310.8366.SG</t>
  </si>
  <si>
    <t>Wall Mount Organizer, 66" H Vertical, Graphite (pair)</t>
  </si>
  <si>
    <t>310.8613.04.WIN</t>
  </si>
  <si>
    <t>Wall Mount Organizer, 13" Horizontal, Winter (4 pack)</t>
  </si>
  <si>
    <t>310.8613.04.PWT</t>
  </si>
  <si>
    <t>Wall Mount Organizer, 13" Horizontal, Pewter (4 pack)</t>
  </si>
  <si>
    <t>310.8613.04.OYS</t>
  </si>
  <si>
    <t>Wall Mount Organizer, 13" Horizontal, Oyster (4 pack)</t>
  </si>
  <si>
    <t>310.8623.04.WIN</t>
  </si>
  <si>
    <t>Wall Mount Organizer, 23" Horizontal, Winter (4 pack)</t>
  </si>
  <si>
    <t>310.8623.04.PWT</t>
  </si>
  <si>
    <t>Wall Mount Organizer, 23" Horizontal, Pewter (4 pack)</t>
  </si>
  <si>
    <t>310.8623.04.OYS</t>
  </si>
  <si>
    <t>Wall Mount Organizer, 23" Horizontal, Oyster (4 pack)</t>
  </si>
  <si>
    <t>310.8635.04.WIN</t>
  </si>
  <si>
    <t>Wall Mount Organizer, 35" Horizontal, Winter (4 pack)</t>
  </si>
  <si>
    <t>310.8635.04.PWT</t>
  </si>
  <si>
    <t>Wall Mount Organizer, 35" Horizontal, Pewter (4 pack)</t>
  </si>
  <si>
    <t>310.8635.04.OYS</t>
  </si>
  <si>
    <t>Wall Mount Organizer, 35" Horizontal, Oyster (4 pack)</t>
  </si>
  <si>
    <t>310.8647.04.WIN</t>
  </si>
  <si>
    <t>Wall Mount Organizer, 47" Horizontal, Winter (4 pack)</t>
  </si>
  <si>
    <t>310.8647.04.PWT</t>
  </si>
  <si>
    <t>Wall Mount Organizer, 47" Horizontal, Pewter (4 pack)</t>
  </si>
  <si>
    <t>310.8647.04.OYS</t>
  </si>
  <si>
    <t>Wall Mount Organizer, 47" Horizontal, Oyster (4 pack)</t>
  </si>
  <si>
    <t>310.8613.08.WIN</t>
  </si>
  <si>
    <t>Wall Mount Organizer, 13" Horizontal, Winter (8 pack)</t>
  </si>
  <si>
    <t>310.8613.08.PWT</t>
  </si>
  <si>
    <t>Wall Mount Organizer, 13" Horizontal, Pewter (8 pack)</t>
  </si>
  <si>
    <t>310.8613.08.OYS</t>
  </si>
  <si>
    <t>Wall Mount Organizer, 13" Horizontal, Oyster (8 pack)</t>
  </si>
  <si>
    <t>310.8623.08.WIN</t>
  </si>
  <si>
    <t>Wall Mount Organizer, 23" Horizontal, Winter (8 pack)</t>
  </si>
  <si>
    <t>310.8623.08.PWT</t>
  </si>
  <si>
    <t>Wall Mount Organizer, 23" Horizontal, Pewter (8 pack)</t>
  </si>
  <si>
    <t>310.8623.08.OYS</t>
  </si>
  <si>
    <t>Wall Mount Organizer, 23" Horizontal, Oyster (8 pack)</t>
  </si>
  <si>
    <t>310.8635.08.WIN</t>
  </si>
  <si>
    <t>Wall Mount Organizer, 35" Horizontal, Winter (8 pack)</t>
  </si>
  <si>
    <t>310.8635.08.PWT</t>
  </si>
  <si>
    <t>Wall Mount Organizer, 35" Horizontal, Pewter (8 pack)</t>
  </si>
  <si>
    <t>310.8635.08.OYS</t>
  </si>
  <si>
    <t>Wall Mount Organizer, 35" Horizontal, Oyster (8 pack)</t>
  </si>
  <si>
    <t>310.8647.08.WIN</t>
  </si>
  <si>
    <t>Wall Mount Organizer, 47" Horizontal, Winter (8 pack)</t>
  </si>
  <si>
    <t>310.8647.08.PWT</t>
  </si>
  <si>
    <t>Wall Mount Organizer, 47" Horizontal, Pewter (8 pack)</t>
  </si>
  <si>
    <t>310.8647.08.OYS</t>
  </si>
  <si>
    <t>Wall Mount Organizer, 47" Horizontal, Oyster (8 pack)</t>
  </si>
  <si>
    <t>310.8613.12.WIN</t>
  </si>
  <si>
    <t>Wall Mount Organizer, 13" Horizontal, Winter (12 pack)</t>
  </si>
  <si>
    <t>310.8613.12.PWT</t>
  </si>
  <si>
    <t>Wall Mount Organizer, 13" Horizontal, Pewter (12 pack)</t>
  </si>
  <si>
    <t>310.8613.12.OYS</t>
  </si>
  <si>
    <t>Wall Mount Organizer, 13" Horizontal, Oyster (12 pack)</t>
  </si>
  <si>
    <t>310.8623.12.WIN</t>
  </si>
  <si>
    <t>Wall Mount Organizer, 23" Horizontal, Winter (12 pack)</t>
  </si>
  <si>
    <t>310.8623.12.PWT</t>
  </si>
  <si>
    <t>Wall Mount Organizer, 23" Horizontal, Pewter (12 pack)</t>
  </si>
  <si>
    <t>310.8623.12.OYS</t>
  </si>
  <si>
    <t>Wall Mount Organizer, 23" Horizontal, Oyster (12 pack)</t>
  </si>
  <si>
    <t>310.8635.12.WIN</t>
  </si>
  <si>
    <t>Wall Mount Organizer, 35" Horizontal, Winter (12 pack)</t>
  </si>
  <si>
    <t>310.8635.12.PWT</t>
  </si>
  <si>
    <t>Wall Mount Organizer, 35" Horizontal, Pewter (12 pack)</t>
  </si>
  <si>
    <t>310.8635.12.OYS</t>
  </si>
  <si>
    <t>Wall Mount Organizer, 35" Horizontal, Oyster (12 pack)</t>
  </si>
  <si>
    <t>310.8647.12.WIN</t>
  </si>
  <si>
    <t>Wall Mount Organizer, 47" Horizontal, Winter (12 pack)</t>
  </si>
  <si>
    <t>310.8647.12.PWT</t>
  </si>
  <si>
    <t>Wall Mount Organizer, 47" Horizontal, Pewter (12 pack)</t>
  </si>
  <si>
    <t>310.8647.12.OYS</t>
  </si>
  <si>
    <t>Wall Mount Organizer, 47" Horizontal, Oyster (12 pack)</t>
  </si>
  <si>
    <t>Wall Mount Organizer, Triple Hook, Matte Aluminum</t>
  </si>
  <si>
    <t>Wall Mount Organizer, Triple Hook, Gold</t>
  </si>
  <si>
    <t>Wall Mount Organizer, Triple Hook, Graphite</t>
  </si>
  <si>
    <t>310.8215.MAL</t>
  </si>
  <si>
    <t>Wall Mount Organizer, Coat Hook, Matte Aluminum</t>
  </si>
  <si>
    <t>310.8215.MG</t>
  </si>
  <si>
    <t>Wall Mount Organizer, Coat Hook, Gold</t>
  </si>
  <si>
    <t>310.8215.SG</t>
  </si>
  <si>
    <t>Wall Mount Organizer, Coat Hook, Graphite</t>
  </si>
  <si>
    <t>310.15A00.18.OYS.MAL</t>
  </si>
  <si>
    <t>310.15A00.18.PWT.MAL</t>
  </si>
  <si>
    <t>310.15A00.18.WIN.MAL</t>
  </si>
  <si>
    <t>310.15A00.18.OYS.MG</t>
  </si>
  <si>
    <t>310.15A00.18.PWT.MG</t>
  </si>
  <si>
    <t>310.15A00.18.WIN.MG</t>
  </si>
  <si>
    <t>310.15A00.18.OYS.SG</t>
  </si>
  <si>
    <t>310.15A00.18.PWT.SG</t>
  </si>
  <si>
    <t>310.15A00.18.WIN.SG</t>
  </si>
  <si>
    <t>310.15A00.24.OYS.MAL</t>
  </si>
  <si>
    <t>310.15A00.24.PWT.MAL</t>
  </si>
  <si>
    <t>310.15A00.24.WIN.MAL</t>
  </si>
  <si>
    <t>310.15A00.24.OYS.MG</t>
  </si>
  <si>
    <t>310.15A00.24.PWT.MG</t>
  </si>
  <si>
    <t>310.15A00.24.WIN.MG</t>
  </si>
  <si>
    <t>310.15A00.24.OYS.SG</t>
  </si>
  <si>
    <t>310.15A00.24.PWT.SG</t>
  </si>
  <si>
    <t>310.15A00.24.WIN.SG</t>
  </si>
  <si>
    <t>310.15A00.30.OYS.MAL</t>
  </si>
  <si>
    <t>310.15A00.30.PWT.MAL</t>
  </si>
  <si>
    <t>310.15A00.30.WIN.MAL</t>
  </si>
  <si>
    <t>310.15A00.30.OYS.MG</t>
  </si>
  <si>
    <t>310.15A00.30.PWT.MG</t>
  </si>
  <si>
    <t>310.15A00.30.WIN.MG</t>
  </si>
  <si>
    <t>310.15A00.30.OYS.SG</t>
  </si>
  <si>
    <t>310.15A00.30.PWT.SG</t>
  </si>
  <si>
    <t>310.15A00.30.WIN.SG</t>
  </si>
  <si>
    <t>310.15A00.36.OYS.MAL</t>
  </si>
  <si>
    <t>310.15A00.36.PWT.MAL</t>
  </si>
  <si>
    <t>310.15A00.36.WIN.MAL</t>
  </si>
  <si>
    <t>310.15A00.36.OYS.MG</t>
  </si>
  <si>
    <t>310.15A00.36.PWT.MG</t>
  </si>
  <si>
    <t>310.15A00.36.WIN.MG</t>
  </si>
  <si>
    <t>310.15A00.36.OYS.SG</t>
  </si>
  <si>
    <t>310.15A00.36.PWT.SG</t>
  </si>
  <si>
    <t>310.15A00.36.WIN.SG</t>
  </si>
  <si>
    <t>310.15A10.18.OYS.MAL</t>
  </si>
  <si>
    <t>310.15A10.18.PWT.MAL</t>
  </si>
  <si>
    <t>310.15A10.18.WIN.MAL</t>
  </si>
  <si>
    <t>310.15A10.18.OYS.MG</t>
  </si>
  <si>
    <t>310.15A10.18.PWT.MG</t>
  </si>
  <si>
    <t>310.15A10.18.WIN.MG</t>
  </si>
  <si>
    <t>310.15A10.18.OYS.SG</t>
  </si>
  <si>
    <t>310.15A10.18.PWT.SG</t>
  </si>
  <si>
    <t>310.15A10.18.WIN.SG</t>
  </si>
  <si>
    <t>310.15A10.24.OYS.MAL</t>
  </si>
  <si>
    <t>310.15A10.24.PWT.MAL</t>
  </si>
  <si>
    <t>310.15A10.24.WIN.MAL</t>
  </si>
  <si>
    <t>310.15A10.24.OYS.MG</t>
  </si>
  <si>
    <t>310.15A10.24.PWT.MG</t>
  </si>
  <si>
    <t>310.15A10.24.WIN.MG</t>
  </si>
  <si>
    <t>310.15A10.24.OYS.SG</t>
  </si>
  <si>
    <t>310.15A10.24.PWT.SG</t>
  </si>
  <si>
    <t>310.15A10.24.WIN.SG</t>
  </si>
  <si>
    <t>310.15A10.30.OYS.MAL</t>
  </si>
  <si>
    <t>310.15A10.30.PWT.MAL</t>
  </si>
  <si>
    <t>310.15A10.30.WIN.MAL</t>
  </si>
  <si>
    <t>310.15A10.30.OYS.MG</t>
  </si>
  <si>
    <t>310.15A10.30.PWT.MG</t>
  </si>
  <si>
    <t>310.15A10.30.WIN.MG</t>
  </si>
  <si>
    <t>310.15A10.30.OYS.SG</t>
  </si>
  <si>
    <t>310.15A10.30.PWT.SG</t>
  </si>
  <si>
    <t>310.15A10.30.WIN.SG</t>
  </si>
  <si>
    <t>310.15A10.36.OYS.MAL</t>
  </si>
  <si>
    <t>310.15A10.36.PWT.MAL</t>
  </si>
  <si>
    <t>310.15A10.36.WIN.MAL</t>
  </si>
  <si>
    <t>310.15A10.36.OYS.MG</t>
  </si>
  <si>
    <t>310.15A10.36.PWT.MG</t>
  </si>
  <si>
    <t>310.15A10.36.WIN.MG</t>
  </si>
  <si>
    <t>310.15A10.36.OYS.SG</t>
  </si>
  <si>
    <t>310.15A10.36.PWT.SG</t>
  </si>
  <si>
    <t>310.15A10.36.WIN.SG</t>
  </si>
  <si>
    <t>310.15A50.18.OYS.MAL</t>
  </si>
  <si>
    <t>310.15A50.18.PWT.MAL</t>
  </si>
  <si>
    <t>310.15A50.18.WIN.MAL</t>
  </si>
  <si>
    <t>310.15A50.18.OYS.MG</t>
  </si>
  <si>
    <t>310.15A50.18.PWT.MG</t>
  </si>
  <si>
    <t>310.15A50.18.WIN.MG</t>
  </si>
  <si>
    <t>310.15A50.18.OYS.SG</t>
  </si>
  <si>
    <t>310.15A50.18.PWT.SG</t>
  </si>
  <si>
    <t>310.15A50.18.WIN.SG</t>
  </si>
  <si>
    <t>310.15A50.24.OYS.MAL</t>
  </si>
  <si>
    <t>310.15A50.24.PWT.MAL</t>
  </si>
  <si>
    <t>310.15A50.24.WIN.MAL</t>
  </si>
  <si>
    <t>310.15A50.24.OYS.MG</t>
  </si>
  <si>
    <t>310.15A50.24.PWT.MG</t>
  </si>
  <si>
    <t>310.15A50.24.WIN.MG</t>
  </si>
  <si>
    <t>310.15A50.24.OYS.SG</t>
  </si>
  <si>
    <t>310.15A50.24.PWT.SG</t>
  </si>
  <si>
    <t>310.15A50.24.WIN.SG</t>
  </si>
  <si>
    <t>310.15A50.30.OYS.MAL</t>
  </si>
  <si>
    <t>310.15A50.30.PWT.MAL</t>
  </si>
  <si>
    <t>310.15A50.30.WIN.MAL</t>
  </si>
  <si>
    <t>310.15A50.30.OYS.MG</t>
  </si>
  <si>
    <t>310.15A50.30.PWT.MG</t>
  </si>
  <si>
    <t>310.15A50.30.WIN.MG</t>
  </si>
  <si>
    <t>310.15A50.30.OYS.SG</t>
  </si>
  <si>
    <t>310.15A50.30.PWT.SG</t>
  </si>
  <si>
    <t>310.15A50.30.WIN.SG</t>
  </si>
  <si>
    <t>310.15A50.36.OYS.MAL</t>
  </si>
  <si>
    <t>310.15A50.36.PWT.MAL</t>
  </si>
  <si>
    <t>310.15A50.36.WIN.MAL</t>
  </si>
  <si>
    <t>310.15A50.36.OYS.MG</t>
  </si>
  <si>
    <t>310.15A50.36.PWT.MG</t>
  </si>
  <si>
    <t>310.15A50.36.WIN.MG</t>
  </si>
  <si>
    <t>310.15A50.36.OYS.SG</t>
  </si>
  <si>
    <t>310.15A50.36.PWT.SG</t>
  </si>
  <si>
    <t>310.15A50.36.WIN.SG</t>
  </si>
  <si>
    <t>310.15A60.18.OYS.MAL</t>
  </si>
  <si>
    <t>310.15A60.18.PWT.MAL</t>
  </si>
  <si>
    <t>310.15A60.18.WIN.MAL</t>
  </si>
  <si>
    <t>310.15A60.18.OYS.MG</t>
  </si>
  <si>
    <t>310.15A60.18.PWT.MG</t>
  </si>
  <si>
    <t>310.15A60.18.WIN.MG</t>
  </si>
  <si>
    <t>310.15A60.18.OYS.SG</t>
  </si>
  <si>
    <t>310.15A60.18.PWT.SG</t>
  </si>
  <si>
    <t>310.15A60.18.WIN.SG</t>
  </si>
  <si>
    <t>310.15A60.24.OYS.MAL</t>
  </si>
  <si>
    <t>310.15A60.24.PWT.MAL</t>
  </si>
  <si>
    <t>310.15A60.24.WIN.MAL</t>
  </si>
  <si>
    <t>310.15A60.24.OYS.MG</t>
  </si>
  <si>
    <t>310.15A60.24.PWT.MG</t>
  </si>
  <si>
    <t>310.15A60.24.WIN.MG</t>
  </si>
  <si>
    <t>310.15A60.24.OYS.SG</t>
  </si>
  <si>
    <t>310.15A60.24.PWT.SG</t>
  </si>
  <si>
    <t>310.15A60.24.WIN.SG</t>
  </si>
  <si>
    <t>310.15A60.30.OYS.MAL</t>
  </si>
  <si>
    <t>310.15A60.30.PWT.MAL</t>
  </si>
  <si>
    <t>310.15A60.30.WIN.MAL</t>
  </si>
  <si>
    <t>310.15A60.30.OYS.MG</t>
  </si>
  <si>
    <t>310.15A60.30.PWT.MG</t>
  </si>
  <si>
    <t>310.15A60.30.WIN.MG</t>
  </si>
  <si>
    <t>310.15A60.30.OYS.SG</t>
  </si>
  <si>
    <t>310.15A60.30.PWT.SG</t>
  </si>
  <si>
    <t>310.15A60.30.WIN.SG</t>
  </si>
  <si>
    <t>310.15A60.36.OYS.MAL</t>
  </si>
  <si>
    <t>310.15A60.36.PWT.MAL</t>
  </si>
  <si>
    <t>310.15A60.36.WIN.MAL</t>
  </si>
  <si>
    <t>310.15A60.36.OYS.MG</t>
  </si>
  <si>
    <t>310.15A60.36.PWT.MG</t>
  </si>
  <si>
    <t>310.15A60.36.WIN.MG</t>
  </si>
  <si>
    <t>310.15A60.36.OYS.SG</t>
  </si>
  <si>
    <t>310.15A60.36.PWT.SG</t>
  </si>
  <si>
    <t>310.15A60.36.WIN.SG</t>
  </si>
  <si>
    <t>310.16A00.18.OYS.MAL</t>
  </si>
  <si>
    <t>310.16A00.18.PWT.MAL</t>
  </si>
  <si>
    <t>310.16A00.18.WIN.MAL</t>
  </si>
  <si>
    <t>310.16A00.18.OYS.MG</t>
  </si>
  <si>
    <t>310.16A00.18.PWT.MG</t>
  </si>
  <si>
    <t>310.16A00.18.WIN.MG</t>
  </si>
  <si>
    <t>310.16A00.18.OYS.SG</t>
  </si>
  <si>
    <t>310.16A00.18.PWT.SG</t>
  </si>
  <si>
    <t>310.16A00.18.WIN.SG</t>
  </si>
  <si>
    <t>310.16A00.24.OYS.MAL</t>
  </si>
  <si>
    <t>310.16A00.24.PWT.MAL</t>
  </si>
  <si>
    <t>310.16A00.24.WIN.MAL</t>
  </si>
  <si>
    <t>310.16A00.24.OYS.MG</t>
  </si>
  <si>
    <t>310.16A00.24.PWT.MG</t>
  </si>
  <si>
    <t>310.16A00.24.WIN.MG</t>
  </si>
  <si>
    <t>310.16A00.24.OYS.SG</t>
  </si>
  <si>
    <t>310.16A00.24.PWT.SG</t>
  </si>
  <si>
    <t>310.16A00.24.WIN.SG</t>
  </si>
  <si>
    <t>310.16A00.30.OYS.MAL</t>
  </si>
  <si>
    <t>310.16A00.30.PWT.MAL</t>
  </si>
  <si>
    <t>310.16A00.30.WIN.MAL</t>
  </si>
  <si>
    <t>310.16A00.30.OYS.MG</t>
  </si>
  <si>
    <t>310.16A00.30.PWT.MG</t>
  </si>
  <si>
    <t>310.16A00.30.WIN.MG</t>
  </si>
  <si>
    <t>310.16A00.30.OYS.SG</t>
  </si>
  <si>
    <t>310.16A00.30.PWT.SG</t>
  </si>
  <si>
    <t>310.16A00.30.WIN.SG</t>
  </si>
  <si>
    <t>310.16A00.36.OYS.MAL</t>
  </si>
  <si>
    <t>310.16A00.36.PWT.MAL</t>
  </si>
  <si>
    <t>310.16A00.36.WIN.MAL</t>
  </si>
  <si>
    <t>310.16A00.36.OYS.MG</t>
  </si>
  <si>
    <t>310.16A00.36.PWT.MG</t>
  </si>
  <si>
    <t>310.16A00.36.WIN.MG</t>
  </si>
  <si>
    <t>310.16A00.36.OYS.SG</t>
  </si>
  <si>
    <t>310.16A00.36.PWT.SG</t>
  </si>
  <si>
    <t>310.16A00.36.WIN.SG</t>
  </si>
  <si>
    <t>310.16A10.18.OYS.MAL</t>
  </si>
  <si>
    <t>310.16A10.18.PWT.MAL</t>
  </si>
  <si>
    <t>310.16A10.18.WIN.MAL</t>
  </si>
  <si>
    <t>310.16A10.18.OYS.MG</t>
  </si>
  <si>
    <t>310.16A10.18.PWT.MG</t>
  </si>
  <si>
    <t>310.16A10.18.WIN.MG</t>
  </si>
  <si>
    <t>310.16A10.18.OYS.SG</t>
  </si>
  <si>
    <t>310.16A10.18.PWT.SG</t>
  </si>
  <si>
    <t>310.16A10.18.WIN.SG</t>
  </si>
  <si>
    <t>310.16A10.24.OYS.MAL</t>
  </si>
  <si>
    <t>310.16A10.24.PWT.MAL</t>
  </si>
  <si>
    <t>310.16A10.24.WIN.MAL</t>
  </si>
  <si>
    <t>310.16A10.24.OYS.MG</t>
  </si>
  <si>
    <t>310.16A10.24.PWT.MG</t>
  </si>
  <si>
    <t>310.16A10.24.WIN.MG</t>
  </si>
  <si>
    <t>310.16A10.24.OYS.SG</t>
  </si>
  <si>
    <t>310.16A10.24.PWT.SG</t>
  </si>
  <si>
    <t>310.16A10.24.WIN.SG</t>
  </si>
  <si>
    <t>310.16A10.30.OYS.MAL</t>
  </si>
  <si>
    <t>310.16A10.30.PWT.MAL</t>
  </si>
  <si>
    <t>310.16A10.30.WIN.MAL</t>
  </si>
  <si>
    <t>310.16A10.30.OYS.MG</t>
  </si>
  <si>
    <t>310.16A10.30.PWT.MG</t>
  </si>
  <si>
    <t>310.16A10.30.WIN.MG</t>
  </si>
  <si>
    <t>310.16A10.30.OYS.SG</t>
  </si>
  <si>
    <t>310.16A10.30.PWT.SG</t>
  </si>
  <si>
    <t>310.16A10.30.WIN.SG</t>
  </si>
  <si>
    <t>310.16A10.36.OYS.MAL</t>
  </si>
  <si>
    <t>310.16A10.36.PWT.MAL</t>
  </si>
  <si>
    <t>310.16A10.36.WIN.MAL</t>
  </si>
  <si>
    <t>310.16A10.36.OYS.MG</t>
  </si>
  <si>
    <t>310.16A10.36.PWT.MG</t>
  </si>
  <si>
    <t>310.16A10.36.WIN.MG</t>
  </si>
  <si>
    <t>310.16A10.36.OYS.SG</t>
  </si>
  <si>
    <t>310.16A10.36.PWT.SG</t>
  </si>
  <si>
    <t>310.16A10.36.WIN.SG</t>
  </si>
  <si>
    <t>310.16A20.18.OYS.MAL</t>
  </si>
  <si>
    <t>310.16A20.18.PWT.MAL</t>
  </si>
  <si>
    <t>310.16A20.18.WIN.MAL</t>
  </si>
  <si>
    <t>310.16A20.18.OYS.MG</t>
  </si>
  <si>
    <t>310.16A20.18.PWT.MG</t>
  </si>
  <si>
    <t>310.16A20.18.WIN.MG</t>
  </si>
  <si>
    <t>310.16A20.18.OYS.SG</t>
  </si>
  <si>
    <t>310.16A20.18.PWT.SG</t>
  </si>
  <si>
    <t>310.16A20.18.WIN.SG</t>
  </si>
  <si>
    <t>310.16A20.24.OYS.MAL</t>
  </si>
  <si>
    <t>310.16A20.24.PWT.MAL</t>
  </si>
  <si>
    <t>310.16A20.24.WIN.MAL</t>
  </si>
  <si>
    <t>310.16A20.24.OYS.MG</t>
  </si>
  <si>
    <t>310.16A20.24.PWT.MG</t>
  </si>
  <si>
    <t>310.16A20.24.WIN.MG</t>
  </si>
  <si>
    <t>310.16A20.24.OYS.SG</t>
  </si>
  <si>
    <t>310.16A20.24.PWT.SG</t>
  </si>
  <si>
    <t>310.16A20.24.WIN.SG</t>
  </si>
  <si>
    <t>310.16A20.30.OYS.MAL</t>
  </si>
  <si>
    <t>310.16A20.30.PWT.MAL</t>
  </si>
  <si>
    <t>310.16A20.30.WIN.MAL</t>
  </si>
  <si>
    <t>310.16A20.30.OYS.MG</t>
  </si>
  <si>
    <t>310.16A20.30.PWT.MG</t>
  </si>
  <si>
    <t>310.16A20.30.WIN.MG</t>
  </si>
  <si>
    <t>310.16A20.30.OYS.SG</t>
  </si>
  <si>
    <t>310.16A20.30.PWT.SG</t>
  </si>
  <si>
    <t>310.16A20.30.WIN.SG</t>
  </si>
  <si>
    <t>310.16A20.36.OYS.MAL</t>
  </si>
  <si>
    <t>310.16A20.36.PWT.MAL</t>
  </si>
  <si>
    <t>310.16A20.36.WIN.MAL</t>
  </si>
  <si>
    <t>310.16A20.36.OYS.MG</t>
  </si>
  <si>
    <t>310.16A20.36.PWT.MG</t>
  </si>
  <si>
    <t>310.16A20.36.WIN.MG</t>
  </si>
  <si>
    <t>310.16A20.36.OYS.SG</t>
  </si>
  <si>
    <t>310.16A20.36.PWT.SG</t>
  </si>
  <si>
    <t>310.16A20.36.WIN.SG</t>
  </si>
  <si>
    <t>310.16A30.30.OYS.MAL</t>
  </si>
  <si>
    <t>310.16A30.30.PWT.MAL</t>
  </si>
  <si>
    <t>310.16A30.30.WIN.MAL</t>
  </si>
  <si>
    <t>310.16A30.30.OYS.MG</t>
  </si>
  <si>
    <t>310.16A30.30.PWT.MG</t>
  </si>
  <si>
    <t>310.16A30.30.WIN.MG</t>
  </si>
  <si>
    <t>310.16A30.30.OYS.SG</t>
  </si>
  <si>
    <t>310.16A30.30.PWT.SG</t>
  </si>
  <si>
    <t>310.16A30.30.WIN.SG</t>
  </si>
  <si>
    <t>310.16A30.36.OYS.MAL</t>
  </si>
  <si>
    <t>310.16A30.36.PWT.MAL</t>
  </si>
  <si>
    <t>310.16A30.36.WIN.MAL</t>
  </si>
  <si>
    <t>310.16A30.36.OYS.MG</t>
  </si>
  <si>
    <t>310.16A30.36.PWT.MG</t>
  </si>
  <si>
    <t>310.16A30.36.WIN.MG</t>
  </si>
  <si>
    <t>310.16A30.36.OYS.SG</t>
  </si>
  <si>
    <t>310.16A30.36.PWT.SG</t>
  </si>
  <si>
    <t>310.16A30.36.WIN.SG</t>
  </si>
  <si>
    <t>310.17A00.18.OYS.MAL</t>
  </si>
  <si>
    <t>310.17A00.18.PWT.MAL</t>
  </si>
  <si>
    <t>310.17A00.18.WIN.MAL</t>
  </si>
  <si>
    <t>310.17A00.18.OYS.MG</t>
  </si>
  <si>
    <t>310.17A00.18.PWT.MG</t>
  </si>
  <si>
    <t>310.17A00.18.WIN.MG</t>
  </si>
  <si>
    <t>310.17A00.18.OYS.SG</t>
  </si>
  <si>
    <t>310.17A00.18.PWT.SG</t>
  </si>
  <si>
    <t>310.17A00.18.WIN.SG</t>
  </si>
  <si>
    <t>310.17A00.24.OYS.MAL</t>
  </si>
  <si>
    <t>310.17A00.24.PWT.MAL</t>
  </si>
  <si>
    <t>310.17A00.24.WIN.MAL</t>
  </si>
  <si>
    <t>310.17A00.24.OYS.MG</t>
  </si>
  <si>
    <t>310.17A00.24.PWT.MG</t>
  </si>
  <si>
    <t>310.17A00.24.WIN.MG</t>
  </si>
  <si>
    <t>310.17A00.24.OYS.SG</t>
  </si>
  <si>
    <t>310.17A00.24.PWT.SG</t>
  </si>
  <si>
    <t>310.17A00.24.WIN.SG</t>
  </si>
  <si>
    <t>310.17A00.30.OYS.MAL</t>
  </si>
  <si>
    <t>310.17A00.30.PWT.MAL</t>
  </si>
  <si>
    <t>310.17A00.30.WIN.MAL</t>
  </si>
  <si>
    <t>310.17A00.30.OYS.MG</t>
  </si>
  <si>
    <t>310.17A00.30.PWT.MG</t>
  </si>
  <si>
    <t>310.17A00.30.WIN.MG</t>
  </si>
  <si>
    <t>310.17A00.30.OYS.SG</t>
  </si>
  <si>
    <t>310.17A00.30.PWT.SG</t>
  </si>
  <si>
    <t>310.17A00.30.WIN.SG</t>
  </si>
  <si>
    <t>310.17A00.36.OYS.MAL</t>
  </si>
  <si>
    <t>310.17A00.36.PWT.MAL</t>
  </si>
  <si>
    <t>310.17A00.36.WIN.MAL</t>
  </si>
  <si>
    <t>310.17A00.36.OYS.MG</t>
  </si>
  <si>
    <t>310.17A00.36.PWT.MG</t>
  </si>
  <si>
    <t>310.17A00.36.WIN.MG</t>
  </si>
  <si>
    <t>310.17A00.36.OYS.SG</t>
  </si>
  <si>
    <t>310.17A00.36.PWT.SG</t>
  </si>
  <si>
    <t>310.17A00.36.WIN.SG</t>
  </si>
  <si>
    <t>310.18A00.18.OYS.MAL</t>
  </si>
  <si>
    <t>310.18A00.18.PWT.MAL</t>
  </si>
  <si>
    <t>310.18A00.18.WIN.MAL</t>
  </si>
  <si>
    <t>310.18A00.18.OYS.MG</t>
  </si>
  <si>
    <t>310.18A00.18.PWT.MG</t>
  </si>
  <si>
    <t>310.18A00.18.WIN.MG</t>
  </si>
  <si>
    <t>310.18A00.18.OYS.SG</t>
  </si>
  <si>
    <t>310.18A00.18.PWT.SG</t>
  </si>
  <si>
    <t>310.18A00.18.WIN.SG</t>
  </si>
  <si>
    <t>310.18A00.24.OYS.MAL</t>
  </si>
  <si>
    <t>310.18A00.24.PWT.MAL</t>
  </si>
  <si>
    <t>310.18A00.24.WIN.MAL</t>
  </si>
  <si>
    <t>310.18A00.24.OYS.MG</t>
  </si>
  <si>
    <t>310.18A00.24.PWT.MG</t>
  </si>
  <si>
    <t>310.18A00.24.WIN.MG</t>
  </si>
  <si>
    <t>310.18A00.24.OYS.SG</t>
  </si>
  <si>
    <t>310.18A00.24.PWT.SG</t>
  </si>
  <si>
    <t>310.18A00.24.WIN.SG</t>
  </si>
  <si>
    <t>310.18A00.30.OYS.MAL</t>
  </si>
  <si>
    <t>310.18A00.30.PWT.MAL</t>
  </si>
  <si>
    <t>310.18A00.30.WIN.MAL</t>
  </si>
  <si>
    <t>310.18A00.30.OYS.MG</t>
  </si>
  <si>
    <t>310.18A00.30.PWT.MG</t>
  </si>
  <si>
    <t>310.18A00.30.WIN.MG</t>
  </si>
  <si>
    <t>310.18A00.30.OYS.SG</t>
  </si>
  <si>
    <t>310.18A00.30.PWT.SG</t>
  </si>
  <si>
    <t>310.18A00.30.WIN.SG</t>
  </si>
  <si>
    <t>310.18A00.36.OYS.MAL</t>
  </si>
  <si>
    <t>310.18A00.36.PWT.MAL</t>
  </si>
  <si>
    <t>310.18A00.36.WIN.MAL</t>
  </si>
  <si>
    <t>310.18A00.36.OYS.MG</t>
  </si>
  <si>
    <t>310.18A00.36.PWT.MG</t>
  </si>
  <si>
    <t>310.18A00.36.WIN.MG</t>
  </si>
  <si>
    <t>310.18A00.36.OYS.SG</t>
  </si>
  <si>
    <t>310.18A00.36.PWT.SG</t>
  </si>
  <si>
    <t>310.18A00.36.WIN.SG</t>
  </si>
  <si>
    <t>310.18A10.18.OYS.MAL</t>
  </si>
  <si>
    <t>310.18A10.18.PWT.MAL</t>
  </si>
  <si>
    <t>310.18A10.18.WIN.MAL</t>
  </si>
  <si>
    <t>310.18A10.18.OYS.MG</t>
  </si>
  <si>
    <t>310.18A10.18.PWT.MG</t>
  </si>
  <si>
    <t>310.18A10.18.WIN.MG</t>
  </si>
  <si>
    <t>310.18A10.18.OYS.SG</t>
  </si>
  <si>
    <t>310.18A10.18.PWT.SG</t>
  </si>
  <si>
    <t>310.18A10.18.WIN.SG</t>
  </si>
  <si>
    <t>310.18A10.24.OYS.MAL</t>
  </si>
  <si>
    <t>310.18A10.24.PWT.MAL</t>
  </si>
  <si>
    <t>310.18A10.24.WIN.MAL</t>
  </si>
  <si>
    <t>310.18A10.24.OYS.MG</t>
  </si>
  <si>
    <t>310.18A10.24.PWT.MG</t>
  </si>
  <si>
    <t>310.18A10.24.WIN.MG</t>
  </si>
  <si>
    <t>310.18A10.24.OYS.SG</t>
  </si>
  <si>
    <t>310.18A10.24.PWT.SG</t>
  </si>
  <si>
    <t>310.18A10.24.WIN.SG</t>
  </si>
  <si>
    <t>310.18A10.30.OYS.MAL</t>
  </si>
  <si>
    <t>310.18A10.30.PWT.MAL</t>
  </si>
  <si>
    <t>310.18A10.30.WIN.MAL</t>
  </si>
  <si>
    <t>310.18A10.30.OYS.MG</t>
  </si>
  <si>
    <t>310.18A10.30.PWT.MG</t>
  </si>
  <si>
    <t>310.18A10.30.WIN.MG</t>
  </si>
  <si>
    <t>310.18A10.30.OYS.SG</t>
  </si>
  <si>
    <t>310.18A10.30.PWT.SG</t>
  </si>
  <si>
    <t>310.18A10.30.WIN.SG</t>
  </si>
  <si>
    <t>310.18A10.36.OYS.MAL</t>
  </si>
  <si>
    <t>310.18A10.36.PWT.MAL</t>
  </si>
  <si>
    <t>310.18A10.36.WIN.MAL</t>
  </si>
  <si>
    <t>310.18A10.36.OYS.MG</t>
  </si>
  <si>
    <t>310.18A10.36.PWT.MG</t>
  </si>
  <si>
    <t>310.18A10.36.WIN.MG</t>
  </si>
  <si>
    <t>310.18A10.36.OYS.SG</t>
  </si>
  <si>
    <t>310.18A10.36.PWT.SG</t>
  </si>
  <si>
    <t>310.18A10.36.WIN.SG</t>
  </si>
  <si>
    <t>310.18A60.18.MAL</t>
  </si>
  <si>
    <t>310.18A60.18.MG</t>
  </si>
  <si>
    <t>310.18A60.18.SG</t>
  </si>
  <si>
    <t>310.18A60.24.MAL</t>
  </si>
  <si>
    <t>310.18A60.24.MG</t>
  </si>
  <si>
    <t>310.18A60.24.SG</t>
  </si>
  <si>
    <t>310.18A60.30.MAL</t>
  </si>
  <si>
    <t>310.18A60.30.MG</t>
  </si>
  <si>
    <t>310.18A60.30.SG</t>
  </si>
  <si>
    <t>310.18A60.36.MAL</t>
  </si>
  <si>
    <t>310.18A60.36.MG</t>
  </si>
  <si>
    <t>310.18A60.36.SG</t>
  </si>
  <si>
    <t>310.25A00.18.OYS.MAL</t>
  </si>
  <si>
    <t>310.25A00.18.PWT.MAL</t>
  </si>
  <si>
    <t>310.25A00.18.WIN.MAL</t>
  </si>
  <si>
    <t>310.25A00.18.OYS.MG</t>
  </si>
  <si>
    <t>310.25A00.18.PWT.MG</t>
  </si>
  <si>
    <t>310.25A00.18.WIN.MG</t>
  </si>
  <si>
    <t>310.25A00.18.OYS.SG</t>
  </si>
  <si>
    <t>310.25A00.18.PWT.SG</t>
  </si>
  <si>
    <t>310.25A00.18.WIN.SG</t>
  </si>
  <si>
    <t>310.25A00.24.OYS.MAL</t>
  </si>
  <si>
    <t>310.25A00.24.PWT.MAL</t>
  </si>
  <si>
    <t>310.25A00.24.WIN.MAL</t>
  </si>
  <si>
    <t>310.25A00.24.OYS.MG</t>
  </si>
  <si>
    <t>310.25A00.24.PWT.MG</t>
  </si>
  <si>
    <t>310.25A00.24.WIN.MG</t>
  </si>
  <si>
    <t>310.25A00.24.OYS.SG</t>
  </si>
  <si>
    <t>310.25A00.24.PWT.SG</t>
  </si>
  <si>
    <t>310.25A00.24.WIN.SG</t>
  </si>
  <si>
    <t>310.25A00.30.OYS.MAL</t>
  </si>
  <si>
    <t>310.25A00.30.PWT.MAL</t>
  </si>
  <si>
    <t>310.25A00.30.WIN.MAL</t>
  </si>
  <si>
    <t>310.25A00.30.OYS.MG</t>
  </si>
  <si>
    <t>310.25A00.30.PWT.MG</t>
  </si>
  <si>
    <t>310.25A00.30.WIN.MG</t>
  </si>
  <si>
    <t>310.25A00.30.OYS.SG</t>
  </si>
  <si>
    <t>310.25A00.30.PWT.SG</t>
  </si>
  <si>
    <t>310.25A00.30.WIN.SG</t>
  </si>
  <si>
    <t>310.25A00.36.OYS.MAL</t>
  </si>
  <si>
    <t>310.25A00.36.PWT.MAL</t>
  </si>
  <si>
    <t>310.25A00.36.WIN.MAL</t>
  </si>
  <si>
    <t>310.25A00.36.OYS.MG</t>
  </si>
  <si>
    <t>310.25A00.36.PWT.MG</t>
  </si>
  <si>
    <t>310.25A00.36.WIN.MG</t>
  </si>
  <si>
    <t>310.25A00.36.OYS.SG</t>
  </si>
  <si>
    <t>310.25A00.36.PWT.SG</t>
  </si>
  <si>
    <t>310.25A00.36.WIN.SG</t>
  </si>
  <si>
    <t>310.25A10.18.OYS.MAL</t>
  </si>
  <si>
    <t>310.25A10.18.PWT.MAL</t>
  </si>
  <si>
    <t>310.25A10.18.WIN.MAL</t>
  </si>
  <si>
    <t>310.25A10.18.OYS.MG</t>
  </si>
  <si>
    <t>310.25A10.18.PWT.MG</t>
  </si>
  <si>
    <t>310.25A10.18.WIN.MG</t>
  </si>
  <si>
    <t>310.25A10.18.OYS.SG</t>
  </si>
  <si>
    <t>310.25A10.18.PWT.SG</t>
  </si>
  <si>
    <t>310.25A10.18.WIN.SG</t>
  </si>
  <si>
    <t>310.25A10.24.OYS.MAL</t>
  </si>
  <si>
    <t>310.25A10.24.PWT.MAL</t>
  </si>
  <si>
    <t>310.25A10.24.WIN.MAL</t>
  </si>
  <si>
    <t>310.25A10.24.OYS.MG</t>
  </si>
  <si>
    <t>310.25A10.24.PWT.MG</t>
  </si>
  <si>
    <t>310.25A10.24.WIN.MG</t>
  </si>
  <si>
    <t>310.25A10.24.OYS.SG</t>
  </si>
  <si>
    <t>310.25A10.24.PWT.SG</t>
  </si>
  <si>
    <t>310.25A10.24.WIN.SG</t>
  </si>
  <si>
    <t>310.25A10.30.OYS.MAL</t>
  </si>
  <si>
    <t>310.25A10.30.PWT.MAL</t>
  </si>
  <si>
    <t>310.25A10.30.WIN.MAL</t>
  </si>
  <si>
    <t>310.25A10.30.OYS.MG</t>
  </si>
  <si>
    <t>310.25A10.30.PWT.MG</t>
  </si>
  <si>
    <t>310.25A10.30.WIN.MG</t>
  </si>
  <si>
    <t>310.25A10.30.OYS.SG</t>
  </si>
  <si>
    <t>310.25A10.30.PWT.SG</t>
  </si>
  <si>
    <t>310.25A10.30.WIN.SG</t>
  </si>
  <si>
    <t>310.25A10.36.OYS.MAL</t>
  </si>
  <si>
    <t>310.25A10.36.PWT.MAL</t>
  </si>
  <si>
    <t>310.25A10.36.WIN.MAL</t>
  </si>
  <si>
    <t>310.25A10.36.OYS.MG</t>
  </si>
  <si>
    <t>310.25A10.36.PWT.MG</t>
  </si>
  <si>
    <t>310.25A10.36.WIN.MG</t>
  </si>
  <si>
    <t>310.25A10.36.OYS.SG</t>
  </si>
  <si>
    <t>310.25A10.36.PWT.SG</t>
  </si>
  <si>
    <t>310.25A10.36.WIN.SG</t>
  </si>
  <si>
    <t>310.25A50.18.OYS.MAL</t>
  </si>
  <si>
    <t>310.25A50.18.PWT.MAL</t>
  </si>
  <si>
    <t>310.25A50.18.WIN.MAL</t>
  </si>
  <si>
    <t>310.25A50.18.OYS.MG</t>
  </si>
  <si>
    <t>310.25A50.18.PWT.MG</t>
  </si>
  <si>
    <t>310.25A50.18.WIN.MG</t>
  </si>
  <si>
    <t>310.25A50.18.OYS.SG</t>
  </si>
  <si>
    <t>310.25A50.18.PWT.SG</t>
  </si>
  <si>
    <t>310.25A50.18.WIN.SG</t>
  </si>
  <si>
    <t>310.25A50.24.OYS.MAL</t>
  </si>
  <si>
    <t>310.25A50.24.PWT.MAL</t>
  </si>
  <si>
    <t>310.25A50.24.WIN.MAL</t>
  </si>
  <si>
    <t>310.25A50.24.OYS.MG</t>
  </si>
  <si>
    <t>310.25A50.24.PWT.MG</t>
  </si>
  <si>
    <t>310.25A50.24.WIN.MG</t>
  </si>
  <si>
    <t>310.25A50.24.OYS.SG</t>
  </si>
  <si>
    <t>310.25A50.24.PWT.SG</t>
  </si>
  <si>
    <t>310.25A50.24.WIN.SG</t>
  </si>
  <si>
    <t>310.25A50.30.OYS.MAL</t>
  </si>
  <si>
    <t>310.25A50.30.PWT.MAL</t>
  </si>
  <si>
    <t>310.25A50.30.WIN.MAL</t>
  </si>
  <si>
    <t>310.25A50.30.OYS.MG</t>
  </si>
  <si>
    <t>310.25A50.30.PWT.MG</t>
  </si>
  <si>
    <t>310.25A50.30.WIN.MG</t>
  </si>
  <si>
    <t>310.25A50.30.OYS.SG</t>
  </si>
  <si>
    <t>310.25A50.30.PWT.SG</t>
  </si>
  <si>
    <t>310.25A50.30.WIN.SG</t>
  </si>
  <si>
    <t>310.25A50.36.OYS.MAL</t>
  </si>
  <si>
    <t>310.25A50.36.PWT.MAL</t>
  </si>
  <si>
    <t>310.25A50.36.WIN.MAL</t>
  </si>
  <si>
    <t>310.25A50.36.OYS.MG</t>
  </si>
  <si>
    <t>310.25A50.36.PWT.MG</t>
  </si>
  <si>
    <t>310.25A50.36.WIN.MG</t>
  </si>
  <si>
    <t>310.25A50.36.OYS.SG</t>
  </si>
  <si>
    <t>310.25A50.36.PWT.SG</t>
  </si>
  <si>
    <t>310.25A50.36.WIN.SG</t>
  </si>
  <si>
    <t>310.25A60.18.OYS.MAL</t>
  </si>
  <si>
    <t>310.25A60.18.PWT.MAL</t>
  </si>
  <si>
    <t>310.25A60.18.WIN.MAL</t>
  </si>
  <si>
    <t>310.25A60.18.OYS.MG</t>
  </si>
  <si>
    <t>310.25A60.18.PWT.MG</t>
  </si>
  <si>
    <t>310.25A60.18.WIN.MG</t>
  </si>
  <si>
    <t>310.25A60.18.OYS.SG</t>
  </si>
  <si>
    <t>310.25A60.18.PWT.SG</t>
  </si>
  <si>
    <t>310.25A60.18.WIN.SG</t>
  </si>
  <si>
    <t>310.25A60.24.OYS.MAL</t>
  </si>
  <si>
    <t>310.25A60.24.PWT.MAL</t>
  </si>
  <si>
    <t>310.25A60.24.WIN.MAL</t>
  </si>
  <si>
    <t>310.25A60.24.OYS.MG</t>
  </si>
  <si>
    <t>310.25A60.24.PWT.MG</t>
  </si>
  <si>
    <t>310.25A60.24.WIN.MG</t>
  </si>
  <si>
    <t>310.25A60.24.OYS.SG</t>
  </si>
  <si>
    <t>310.25A60.24.PWT.SG</t>
  </si>
  <si>
    <t>310.25A60.24.WIN.SG</t>
  </si>
  <si>
    <t>310.25A60.30.OYS.MAL</t>
  </si>
  <si>
    <t>310.25A60.30.PWT.MAL</t>
  </si>
  <si>
    <t>310.25A60.30.WIN.MAL</t>
  </si>
  <si>
    <t>310.25A60.30.OYS.MG</t>
  </si>
  <si>
    <t>310.25A60.30.PWT.MG</t>
  </si>
  <si>
    <t>310.25A60.30.WIN.MG</t>
  </si>
  <si>
    <t>310.25A60.30.OYS.SG</t>
  </si>
  <si>
    <t>310.25A60.30.PWT.SG</t>
  </si>
  <si>
    <t>310.25A60.30.WIN.SG</t>
  </si>
  <si>
    <t>310.25A60.36.OYS.MAL</t>
  </si>
  <si>
    <t>310.25A60.36.PWT.MAL</t>
  </si>
  <si>
    <t>310.25A60.36.WIN.MAL</t>
  </si>
  <si>
    <t>310.25A60.36.OYS.MG</t>
  </si>
  <si>
    <t>310.25A60.36.PWT.MG</t>
  </si>
  <si>
    <t>310.25A60.36.WIN.MG</t>
  </si>
  <si>
    <t>310.25A60.36.OYS.SG</t>
  </si>
  <si>
    <t>310.25A60.36.PWT.SG</t>
  </si>
  <si>
    <t>310.25A60.36.WIN.SG</t>
  </si>
  <si>
    <t>310.25A90.18.OYS.MAL</t>
  </si>
  <si>
    <t>310.25A90.18.PWT.MAL</t>
  </si>
  <si>
    <t>310.25A90.18.WIN.MAL</t>
  </si>
  <si>
    <t>310.25A90.18.OYS.MG</t>
  </si>
  <si>
    <t>310.25A90.18.PWT.MG</t>
  </si>
  <si>
    <t>310.25A90.18.WIN.MG</t>
  </si>
  <si>
    <t>310.25A90.18.OYS.SG</t>
  </si>
  <si>
    <t>310.25A90.18.PWT.SG</t>
  </si>
  <si>
    <t>310.25A90.18.WIN.SG</t>
  </si>
  <si>
    <t>310.25A90.24.OYS.MAL</t>
  </si>
  <si>
    <t>310.25A90.24.PWT.MAL</t>
  </si>
  <si>
    <t>310.25A90.24.WIN.MAL</t>
  </si>
  <si>
    <t>310.25A90.24.OYS.MG</t>
  </si>
  <si>
    <t>310.25A90.24.PWT.MG</t>
  </si>
  <si>
    <t>310.25A90.24.WIN.MG</t>
  </si>
  <si>
    <t>310.25A90.24.OYS.SG</t>
  </si>
  <si>
    <t>310.25A90.24.PWT.SG</t>
  </si>
  <si>
    <t>310.25A90.24.WIN.SG</t>
  </si>
  <si>
    <t>310.25A90.30.OYS.MAL</t>
  </si>
  <si>
    <t>310.25A90.30.PWT.MAL</t>
  </si>
  <si>
    <t>310.25A90.30.WIN.MAL</t>
  </si>
  <si>
    <t>310.25A90.30.OYS.MG</t>
  </si>
  <si>
    <t>310.25A90.30.PWT.MG</t>
  </si>
  <si>
    <t>310.25A90.30.WIN.MG</t>
  </si>
  <si>
    <t>310.25A90.30.OYS.SG</t>
  </si>
  <si>
    <t>310.25A90.30.PWT.SG</t>
  </si>
  <si>
    <t>310.25A90.30.WIN.SG</t>
  </si>
  <si>
    <t>310.25A90.36.OYS.MAL</t>
  </si>
  <si>
    <t>310.25A90.36.PWT.MAL</t>
  </si>
  <si>
    <t>310.25A90.36.WIN.MAL</t>
  </si>
  <si>
    <t>310.25A90.36.OYS.MG</t>
  </si>
  <si>
    <t>310.25A90.36.PWT.MG</t>
  </si>
  <si>
    <t>310.25A90.36.WIN.MG</t>
  </si>
  <si>
    <t>310.25A90.36.OYS.SG</t>
  </si>
  <si>
    <t>310.25A90.36.PWT.SG</t>
  </si>
  <si>
    <t>310.25A90.36.WIN.SG</t>
  </si>
  <si>
    <t>310.26A00.18.OYS.MAL</t>
  </si>
  <si>
    <t>310.26A00.18.PWT.MAL</t>
  </si>
  <si>
    <t>310.26A00.18.WIN.MAL</t>
  </si>
  <si>
    <t>310.26A00.18.OYS.MG</t>
  </si>
  <si>
    <t>310.26A00.18.PWT.MG</t>
  </si>
  <si>
    <t>310.26A00.18.WIN.MG</t>
  </si>
  <si>
    <t>310.26A00.18.OYS.SG</t>
  </si>
  <si>
    <t>310.26A00.18.PWT.SG</t>
  </si>
  <si>
    <t>310.26A00.18.WIN.SG</t>
  </si>
  <si>
    <t>310.26A00.24.OYS.MAL</t>
  </si>
  <si>
    <t>310.26A00.24.PWT.MAL</t>
  </si>
  <si>
    <t>310.26A00.24.WIN.MAL</t>
  </si>
  <si>
    <t>310.26A00.24.OYS.MG</t>
  </si>
  <si>
    <t>310.26A00.24.PWT.MG</t>
  </si>
  <si>
    <t>310.26A00.24.WIN.MG</t>
  </si>
  <si>
    <t>310.26A00.24.OYS.SG</t>
  </si>
  <si>
    <t>310.26A00.24.PWT.SG</t>
  </si>
  <si>
    <t>310.26A00.24.WIN.SG</t>
  </si>
  <si>
    <t>310.26A00.30.OYS.MAL</t>
  </si>
  <si>
    <t>310.26A00.30.PWT.MAL</t>
  </si>
  <si>
    <t>310.26A00.30.WIN.MAL</t>
  </si>
  <si>
    <t>310.26A00.30.OYS.MG</t>
  </si>
  <si>
    <t>310.26A00.30.PWT.MG</t>
  </si>
  <si>
    <t>310.26A00.30.WIN.MG</t>
  </si>
  <si>
    <t>310.26A00.30.OYS.SG</t>
  </si>
  <si>
    <t>310.26A00.30.PWT.SG</t>
  </si>
  <si>
    <t>310.26A00.30.WIN.SG</t>
  </si>
  <si>
    <t>310.26A00.36.OYS.MAL</t>
  </si>
  <si>
    <t>310.26A00.36.PWT.MAL</t>
  </si>
  <si>
    <t>310.26A00.36.WIN.MAL</t>
  </si>
  <si>
    <t>310.26A00.36.OYS.MG</t>
  </si>
  <si>
    <t>310.26A00.36.PWT.MG</t>
  </si>
  <si>
    <t>310.26A00.36.WIN.MG</t>
  </si>
  <si>
    <t>310.26A00.36.OYS.SG</t>
  </si>
  <si>
    <t>310.26A00.36.PWT.SG</t>
  </si>
  <si>
    <t>310.26A00.36.WIN.SG</t>
  </si>
  <si>
    <t>310.26A10.18.OYS.MAL</t>
  </si>
  <si>
    <t>310.26A10.18.PWT.MAL</t>
  </si>
  <si>
    <t>310.26A10.18.WIN.MAL</t>
  </si>
  <si>
    <t>310.26A10.18.OYS.MG</t>
  </si>
  <si>
    <t>310.26A10.18.PWT.MG</t>
  </si>
  <si>
    <t>310.26A10.18.WIN.MG</t>
  </si>
  <si>
    <t>310.26A10.18.OYS.SG</t>
  </si>
  <si>
    <t>310.26A10.18.PWT.SG</t>
  </si>
  <si>
    <t>310.26A10.18.WIN.SG</t>
  </si>
  <si>
    <t>310.26A10.24.OYS.MAL</t>
  </si>
  <si>
    <t>310.26A10.24.PWT.MAL</t>
  </si>
  <si>
    <t>310.26A10.24.WIN.MAL</t>
  </si>
  <si>
    <t>310.26A10.24.OYS.MG</t>
  </si>
  <si>
    <t>310.26A10.24.PWT.MG</t>
  </si>
  <si>
    <t>310.26A10.24.WIN.MG</t>
  </si>
  <si>
    <t>310.26A10.24.OYS.SG</t>
  </si>
  <si>
    <t>310.26A10.24.PWT.SG</t>
  </si>
  <si>
    <t>310.26A10.24.WIN.SG</t>
  </si>
  <si>
    <t>310.26A10.30.OYS.MAL</t>
  </si>
  <si>
    <t>310.26A10.30.PWT.MAL</t>
  </si>
  <si>
    <t>310.26A10.30.WIN.MAL</t>
  </si>
  <si>
    <t>310.26A10.30.OYS.MG</t>
  </si>
  <si>
    <t>310.26A10.30.PWT.MG</t>
  </si>
  <si>
    <t>310.26A10.30.WIN.MG</t>
  </si>
  <si>
    <t>310.26A10.30.OYS.SG</t>
  </si>
  <si>
    <t>310.26A10.30.PWT.SG</t>
  </si>
  <si>
    <t>310.26A10.30.WIN.SG</t>
  </si>
  <si>
    <t>310.26A10.36.OYS.MAL</t>
  </si>
  <si>
    <t>310.26A10.36.PWT.MAL</t>
  </si>
  <si>
    <t>310.26A10.36.WIN.MAL</t>
  </si>
  <si>
    <t>310.26A10.36.OYS.MG</t>
  </si>
  <si>
    <t>310.26A10.36.PWT.MG</t>
  </si>
  <si>
    <t>310.26A10.36.WIN.MG</t>
  </si>
  <si>
    <t>310.26A10.36.OYS.SG</t>
  </si>
  <si>
    <t>310.26A10.36.PWT.SG</t>
  </si>
  <si>
    <t>310.26A10.36.WIN.SG</t>
  </si>
  <si>
    <t>310.26A20.18.OYS.MAL</t>
  </si>
  <si>
    <t>310.26A20.18.PWT.MAL</t>
  </si>
  <si>
    <t>310.26A20.18.WIN.MAL</t>
  </si>
  <si>
    <t>310.26A20.18.OYS.MG</t>
  </si>
  <si>
    <t>310.26A20.18.PWT.MG</t>
  </si>
  <si>
    <t>310.26A20.18.WIN.MG</t>
  </si>
  <si>
    <t>310.26A20.18.OYS.SG</t>
  </si>
  <si>
    <t>310.26A20.18.PWT.SG</t>
  </si>
  <si>
    <t>310.26A20.18.WIN.SG</t>
  </si>
  <si>
    <t>310.26A20.24.OYS.MAL</t>
  </si>
  <si>
    <t>310.26A20.24.PWT.MAL</t>
  </si>
  <si>
    <t>310.26A20.24.WIN.MAL</t>
  </si>
  <si>
    <t>310.26A20.24.OYS.MG</t>
  </si>
  <si>
    <t>310.26A20.24.PWT.MG</t>
  </si>
  <si>
    <t>310.26A20.24.WIN.MG</t>
  </si>
  <si>
    <t>310.26A20.24.OYS.SG</t>
  </si>
  <si>
    <t>310.26A20.24.PWT.SG</t>
  </si>
  <si>
    <t>310.26A20.24.WIN.SG</t>
  </si>
  <si>
    <t>310.26A20.30.OYS.MAL</t>
  </si>
  <si>
    <t>310.26A20.30.PWT.MAL</t>
  </si>
  <si>
    <t>310.26A20.30.WIN.MAL</t>
  </si>
  <si>
    <t>310.26A20.30.OYS.MG</t>
  </si>
  <si>
    <t>310.26A20.30.PWT.MG</t>
  </si>
  <si>
    <t>310.26A20.30.WIN.MG</t>
  </si>
  <si>
    <t>310.26A20.30.OYS.SG</t>
  </si>
  <si>
    <t>310.26A20.30.PWT.SG</t>
  </si>
  <si>
    <t>310.26A20.30.WIN.SG</t>
  </si>
  <si>
    <t>310.26A20.36.OYS.MAL</t>
  </si>
  <si>
    <t>310.26A20.36.PWT.MAL</t>
  </si>
  <si>
    <t>310.26A20.36.WIN.MAL</t>
  </si>
  <si>
    <t>310.26A20.36.OYS.MG</t>
  </si>
  <si>
    <t>310.26A20.36.PWT.MG</t>
  </si>
  <si>
    <t>310.26A20.36.WIN.MG</t>
  </si>
  <si>
    <t>310.26A20.36.OYS.SG</t>
  </si>
  <si>
    <t>310.26A20.36.PWT.SG</t>
  </si>
  <si>
    <t>310.26A20.36.WIN.SG</t>
  </si>
  <si>
    <t>310.27A00.18.OYS.MAL</t>
  </si>
  <si>
    <t>310.27A00.18.PWT.MAL</t>
  </si>
  <si>
    <t>310.27A00.18.WIN.MAL</t>
  </si>
  <si>
    <t>310.27A00.18.OYS.MG</t>
  </si>
  <si>
    <t>310.27A00.18.PWT.MG</t>
  </si>
  <si>
    <t>310.27A00.18.WIN.MG</t>
  </si>
  <si>
    <t>310.27A00.18.OYS.SG</t>
  </si>
  <si>
    <t>310.27A00.18.PWT.SG</t>
  </si>
  <si>
    <t>310.27A00.18.WIN.SG</t>
  </si>
  <si>
    <t>310.27A00.24.OYS.MAL</t>
  </si>
  <si>
    <t>310.27A00.24.PWT.MAL</t>
  </si>
  <si>
    <t>310.27A00.24.WIN.MAL</t>
  </si>
  <si>
    <t>310.27A00.24.OYS.MG</t>
  </si>
  <si>
    <t>310.27A00.24.PWT.MG</t>
  </si>
  <si>
    <t>310.27A00.24.WIN.MG</t>
  </si>
  <si>
    <t>310.27A00.24.OYS.SG</t>
  </si>
  <si>
    <t>310.27A00.24.PWT.SG</t>
  </si>
  <si>
    <t>310.27A00.24.WIN.SG</t>
  </si>
  <si>
    <t>310.27A00.30.OYS.MAL</t>
  </si>
  <si>
    <t>310.27A00.30.PWT.MAL</t>
  </si>
  <si>
    <t>310.27A00.30.WIN.MAL</t>
  </si>
  <si>
    <t>310.27A00.30.OYS.MG</t>
  </si>
  <si>
    <t>310.27A00.30.PWT.MG</t>
  </si>
  <si>
    <t>310.27A00.30.WIN.MG</t>
  </si>
  <si>
    <t>310.27A00.30.OYS.SG</t>
  </si>
  <si>
    <t>310.27A00.30.PWT.SG</t>
  </si>
  <si>
    <t>310.27A00.30.WIN.SG</t>
  </si>
  <si>
    <t>310.27A00.36.OYS.MAL</t>
  </si>
  <si>
    <t>310.27A00.36.PWT.MAL</t>
  </si>
  <si>
    <t>310.27A00.36.WIN.MAL</t>
  </si>
  <si>
    <t>310.27A00.36.OYS.MG</t>
  </si>
  <si>
    <t>310.27A00.36.PWT.MG</t>
  </si>
  <si>
    <t>310.27A00.36.WIN.MG</t>
  </si>
  <si>
    <t>310.27A00.36.OYS.SG</t>
  </si>
  <si>
    <t>310.27A00.36.PWT.SG</t>
  </si>
  <si>
    <t>310.27A00.36.WIN.SG</t>
  </si>
  <si>
    <t>310.28A00.18.OYS.MAL</t>
  </si>
  <si>
    <t>310.28A00.18.PWT.MAL</t>
  </si>
  <si>
    <t>310.28A00.18.WIN.MAL</t>
  </si>
  <si>
    <t>310.28A00.18.OYS.MG</t>
  </si>
  <si>
    <t>310.28A00.18.PWT.MG</t>
  </si>
  <si>
    <t>310.28A00.18.WIN.MG</t>
  </si>
  <si>
    <t>310.28A00.18.OYS.SG</t>
  </si>
  <si>
    <t>310.28A00.18.PWT.SG</t>
  </si>
  <si>
    <t>310.28A00.18.WIN.SG</t>
  </si>
  <si>
    <t>310.28A00.24.OYS.MAL</t>
  </si>
  <si>
    <t>310.28A00.24.PWT.MAL</t>
  </si>
  <si>
    <t>310.28A00.24.WIN.MAL</t>
  </si>
  <si>
    <t>310.28A00.24.OYS.MG</t>
  </si>
  <si>
    <t>310.28A00.24.PWT.MG</t>
  </si>
  <si>
    <t>310.28A00.24.WIN.MG</t>
  </si>
  <si>
    <t>310.28A00.24.OYS.SG</t>
  </si>
  <si>
    <t>310.28A00.24.PWT.SG</t>
  </si>
  <si>
    <t>310.28A00.24.WIN.SG</t>
  </si>
  <si>
    <t>310.28A00.30.OYS.MAL</t>
  </si>
  <si>
    <t>310.28A00.30.PWT.MAL</t>
  </si>
  <si>
    <t>310.28A00.30.WIN.MAL</t>
  </si>
  <si>
    <t>310.28A00.30.OYS.MG</t>
  </si>
  <si>
    <t>310.28A00.30.PWT.MG</t>
  </si>
  <si>
    <t>310.28A00.30.WIN.MG</t>
  </si>
  <si>
    <t>310.28A00.30.OYS.SG</t>
  </si>
  <si>
    <t>310.28A00.30.PWT.SG</t>
  </si>
  <si>
    <t>310.28A00.30.WIN.SG</t>
  </si>
  <si>
    <t>310.28A00.36.OYS.MAL</t>
  </si>
  <si>
    <t>310.28A00.36.PWT.MAL</t>
  </si>
  <si>
    <t>310.28A00.36.WIN.MAL</t>
  </si>
  <si>
    <t>310.28A00.36.OYS.MG</t>
  </si>
  <si>
    <t>310.28A00.36.PWT.MG</t>
  </si>
  <si>
    <t>310.28A00.36.WIN.MG</t>
  </si>
  <si>
    <t>310.28A00.36.OYS.SG</t>
  </si>
  <si>
    <t>310.28A00.36.PWT.SG</t>
  </si>
  <si>
    <t>310.28A00.36.WIN.SG</t>
  </si>
  <si>
    <t>310.28A10.18.OYS.MAL</t>
  </si>
  <si>
    <t>310.28A10.18.PWT.MAL</t>
  </si>
  <si>
    <t>310.28A10.18.WIN.MAL</t>
  </si>
  <si>
    <t>310.28A10.18.OYS.MG</t>
  </si>
  <si>
    <t>310.28A10.18.PWT.MG</t>
  </si>
  <si>
    <t>310.28A10.18.WIN.MG</t>
  </si>
  <si>
    <t>310.28A10.18.OYS.SG</t>
  </si>
  <si>
    <t>310.28A10.18.PWT.SG</t>
  </si>
  <si>
    <t>310.28A10.18.WIN.SG</t>
  </si>
  <si>
    <t>310.28A10.24.OYS.MAL</t>
  </si>
  <si>
    <t>310.28A10.24.PWT.MAL</t>
  </si>
  <si>
    <t>310.28A10.24.WIN.MAL</t>
  </si>
  <si>
    <t>310.28A10.24.OYS.MG</t>
  </si>
  <si>
    <t>310.28A10.24.PWT.MG</t>
  </si>
  <si>
    <t>310.28A10.24.WIN.MG</t>
  </si>
  <si>
    <t>310.28A10.24.OYS.SG</t>
  </si>
  <si>
    <t>310.28A10.24.PWT.SG</t>
  </si>
  <si>
    <t>310.28A10.24.WIN.SG</t>
  </si>
  <si>
    <t>310.28A10.30.OYS.MAL</t>
  </si>
  <si>
    <t>310.28A10.30.PWT.MAL</t>
  </si>
  <si>
    <t>310.28A10.30.WIN.MAL</t>
  </si>
  <si>
    <t>310.28A10.30.OYS.MG</t>
  </si>
  <si>
    <t>310.28A10.30.PWT.MG</t>
  </si>
  <si>
    <t>310.28A10.30.WIN.MG</t>
  </si>
  <si>
    <t>310.28A10.30.OYS.SG</t>
  </si>
  <si>
    <t>310.28A10.30.PWT.SG</t>
  </si>
  <si>
    <t>310.28A10.30.WIN.SG</t>
  </si>
  <si>
    <t>310.28A10.36.OYS.MAL</t>
  </si>
  <si>
    <t>310.28A10.36.PWT.MAL</t>
  </si>
  <si>
    <t>310.28A10.36.WIN.MAL</t>
  </si>
  <si>
    <t>310.28A10.36.OYS.MG</t>
  </si>
  <si>
    <t>310.28A10.36.PWT.MG</t>
  </si>
  <si>
    <t>310.28A10.36.WIN.MG</t>
  </si>
  <si>
    <t>310.28A10.36.OYS.SG</t>
  </si>
  <si>
    <t>310.28A10.36.PWT.SG</t>
  </si>
  <si>
    <t>310.28A10.36.WIN.SG</t>
  </si>
  <si>
    <t>310.29A00.18.OYS.MAL</t>
  </si>
  <si>
    <t>310.29A00.18.PWT.MAL</t>
  </si>
  <si>
    <t>310.29A00.18.WIN.MAL</t>
  </si>
  <si>
    <t>310.29A00.18.OYS.MG</t>
  </si>
  <si>
    <t>310.29A00.18.PWT.MG</t>
  </si>
  <si>
    <t>310.29A00.18.WIN.MG</t>
  </si>
  <si>
    <t>310.29A00.18.OYS.SG</t>
  </si>
  <si>
    <t>310.29A00.18.PWT.SG</t>
  </si>
  <si>
    <t>310.29A00.18.WIN.SG</t>
  </si>
  <si>
    <t>310.29A00.24.OYS.MAL</t>
  </si>
  <si>
    <t>310.29A00.24.PWT.MAL</t>
  </si>
  <si>
    <t>310.29A00.24.WIN.MAL</t>
  </si>
  <si>
    <t>310.29A00.24.OYS.MG</t>
  </si>
  <si>
    <t>310.29A00.24.PWT.MG</t>
  </si>
  <si>
    <t>310.29A00.24.WIN.MG</t>
  </si>
  <si>
    <t>310.29A00.24.OYS.SG</t>
  </si>
  <si>
    <t>310.29A00.24.PWT.SG</t>
  </si>
  <si>
    <t>310.29A00.24.WIN.SG</t>
  </si>
  <si>
    <t>310.29A00.30.OYS.MAL</t>
  </si>
  <si>
    <t>310.29A00.30.PWT.MAL</t>
  </si>
  <si>
    <t>310.29A00.30.WIN.MAL</t>
  </si>
  <si>
    <t>310.29A00.30.OYS.MG</t>
  </si>
  <si>
    <t>310.29A00.30.PWT.MG</t>
  </si>
  <si>
    <t>310.29A00.30.WIN.MG</t>
  </si>
  <si>
    <t>310.29A00.30.OYS.SG</t>
  </si>
  <si>
    <t>310.29A00.30.PWT.SG</t>
  </si>
  <si>
    <t>310.29A00.30.WIN.SG</t>
  </si>
  <si>
    <t>310.29A00.36.OYS.MAL</t>
  </si>
  <si>
    <t>310.29A00.36.PWT.MAL</t>
  </si>
  <si>
    <t>310.29A00.36.WIN.MAL</t>
  </si>
  <si>
    <t>310.29A00.36.OYS.MG</t>
  </si>
  <si>
    <t>310.29A00.36.PWT.MG</t>
  </si>
  <si>
    <t>310.29A00.36.WIN.MG</t>
  </si>
  <si>
    <t>310.29A00.36.OYS.SG</t>
  </si>
  <si>
    <t>310.29A00.36.PWT.SG</t>
  </si>
  <si>
    <t>310.29A00.36.WIN.SG</t>
  </si>
  <si>
    <t>310.29A10.18.MAL</t>
  </si>
  <si>
    <t>310.29A10.18.MG</t>
  </si>
  <si>
    <t>310.29A10.18.SG</t>
  </si>
  <si>
    <t>310.29A10.24.MAL</t>
  </si>
  <si>
    <t>310.29A10.24.MG</t>
  </si>
  <si>
    <t>310.29A10.24.SG</t>
  </si>
  <si>
    <t>310.29A10.30.MAL</t>
  </si>
  <si>
    <t>310.29A10.30.MG</t>
  </si>
  <si>
    <t>310.29A10.30.SG</t>
  </si>
  <si>
    <t>310.29A10.36.MAL</t>
  </si>
  <si>
    <t>310.29A10.36.MG</t>
  </si>
  <si>
    <t>310.29A10.36.SG</t>
  </si>
  <si>
    <t>310.29A80.18.MAL</t>
  </si>
  <si>
    <t>310.29A80.18.MG</t>
  </si>
  <si>
    <t>310.29A80.18.SG</t>
  </si>
  <si>
    <t>310.29A80.24.MAL</t>
  </si>
  <si>
    <t>310.29A80.24.MG</t>
  </si>
  <si>
    <t>310.29A80.24.SG</t>
  </si>
  <si>
    <t>310.29A80.30.MAL</t>
  </si>
  <si>
    <t>310.29A80.30.MG</t>
  </si>
  <si>
    <t>310.29A80.30.SG</t>
  </si>
  <si>
    <t>310.29A80.36.MAL</t>
  </si>
  <si>
    <t>310.29A80.36.MG</t>
  </si>
  <si>
    <t>310.29A80.36.SG</t>
  </si>
  <si>
    <t>TAG SHIPPING P.O. # :</t>
  </si>
  <si>
    <t>SHIPPING SERVICE</t>
  </si>
  <si>
    <t>Pcs Rqd.</t>
  </si>
  <si>
    <t>Stock or Job #</t>
  </si>
  <si>
    <t>Order Qty</t>
  </si>
  <si>
    <t>Stock Code</t>
  </si>
  <si>
    <t>Order Uom</t>
  </si>
  <si>
    <t>Customer job</t>
  </si>
  <si>
    <t>310.3000.14.Malcr</t>
  </si>
  <si>
    <t>Elite Dished Knob with 1 pc 8/32x1" screw</t>
  </si>
  <si>
    <t>Elite Dropped Pull with 2 pc 8/32x1" screw</t>
  </si>
  <si>
    <t>Modern Knob with 2 pc 8/32x1" screw</t>
  </si>
  <si>
    <t>Elite Arched Handle with 2 pc 8/32x1" screw</t>
  </si>
  <si>
    <t>Elite Dropped Handle with 2 pc 8/32x1" screw</t>
  </si>
  <si>
    <t>Elite Bow Handle with 2 pc 8/32x1" screw</t>
  </si>
  <si>
    <t>Modern Handle with 2 pc 8/32x1" screw</t>
  </si>
  <si>
    <t>Modern Dropped Handle with 2 pc 8/32x1" screw</t>
  </si>
  <si>
    <t>Elite Aluminum Pull 3" with 2pcs #4x1/2" screw</t>
  </si>
  <si>
    <t>Elite Aluminum Pull 9" with 3pcs #4x1/2" screw</t>
  </si>
  <si>
    <t>Elite Aluminum Pull 18 1/2" + 5pcs #4x1/2" screw</t>
  </si>
  <si>
    <t>Elite Aluminum Pull 24 1/2" + 7pcs #4x1/2" screw</t>
  </si>
  <si>
    <t>Elite Aluminum Pull 30 1/2" + 8pcs #4x1/2" screw</t>
  </si>
  <si>
    <t>Elite Aluminum Pull 36 1/2" + 10pcs #4x1/2" screw</t>
  </si>
  <si>
    <t>Pan Head Phillips Drive 1/4 -20 x 2.5"</t>
  </si>
  <si>
    <t>Finish</t>
  </si>
  <si>
    <t>Fabric</t>
  </si>
  <si>
    <t>Width</t>
  </si>
  <si>
    <t>Depth</t>
  </si>
  <si>
    <t>Category</t>
  </si>
  <si>
    <t>Tie/Belt/Valet/Scarf Rack</t>
  </si>
  <si>
    <t>Pull-Out Laundry</t>
  </si>
  <si>
    <t>Shoe Fence</t>
  </si>
  <si>
    <t>Poles</t>
  </si>
  <si>
    <t>Deco Hardware</t>
  </si>
  <si>
    <t>Cleat Mount</t>
  </si>
  <si>
    <t>Plastics</t>
  </si>
  <si>
    <t>Mirrors</t>
  </si>
  <si>
    <t>Virtuoso</t>
  </si>
  <si>
    <t>Rail</t>
  </si>
  <si>
    <t>Suspension Brackets</t>
  </si>
  <si>
    <t>Everstyle</t>
  </si>
  <si>
    <t>Engage</t>
  </si>
  <si>
    <t>Storage</t>
  </si>
  <si>
    <t>Maddox</t>
  </si>
  <si>
    <t>Deco CTC (mm)</t>
  </si>
  <si>
    <t>Length/Height</t>
  </si>
  <si>
    <t>Miscellaneous</t>
  </si>
  <si>
    <t>PART CODE</t>
  </si>
  <si>
    <t>310.3000</t>
  </si>
  <si>
    <t>310.3010</t>
  </si>
  <si>
    <t>310.3020</t>
  </si>
  <si>
    <t>310.3080</t>
  </si>
  <si>
    <t>300.3162</t>
  </si>
  <si>
    <t>300.3164</t>
  </si>
  <si>
    <t>300.3168</t>
  </si>
  <si>
    <t>300.3171</t>
  </si>
  <si>
    <t>Basecode</t>
  </si>
  <si>
    <t>Check</t>
  </si>
  <si>
    <t>Item Description</t>
  </si>
  <si>
    <t>Box Qty</t>
  </si>
  <si>
    <t>Total Order</t>
  </si>
  <si>
    <t>300.3214.000</t>
  </si>
  <si>
    <t>300.3215.000</t>
  </si>
  <si>
    <t>300.3217.016</t>
  </si>
  <si>
    <t>300.3216.128</t>
  </si>
  <si>
    <t>300.3217.128</t>
  </si>
  <si>
    <t>300.3212.000</t>
  </si>
  <si>
    <t>300.3213.016</t>
  </si>
  <si>
    <t>300.3212.160</t>
  </si>
  <si>
    <t>300.3213.160</t>
  </si>
  <si>
    <t>300.3214.128</t>
  </si>
  <si>
    <t>Elite Round Knob with 1 pc 8/32x1" screw</t>
  </si>
  <si>
    <t>Elite Square Knob with 1 pc 8/32x1" screw</t>
  </si>
  <si>
    <t/>
  </si>
  <si>
    <t>Description</t>
  </si>
  <si>
    <t>Copy/Paste into Order Entry</t>
  </si>
  <si>
    <t>Min</t>
  </si>
  <si>
    <t>Max</t>
  </si>
  <si>
    <t>On-Hand</t>
  </si>
  <si>
    <t>Warehouse Values</t>
  </si>
  <si>
    <t>Color</t>
  </si>
  <si>
    <t>Item Details</t>
  </si>
  <si>
    <t>(BOX/EA/PL)</t>
  </si>
  <si>
    <t>SUBTOTALS:</t>
  </si>
  <si>
    <t xml:space="preserve"> </t>
  </si>
  <si>
    <t>PURCHASE FROM:</t>
  </si>
  <si>
    <t>BILL TO:</t>
  </si>
  <si>
    <t>SHIP TO:</t>
  </si>
  <si>
    <t>-</t>
  </si>
  <si>
    <t>TOTAL ORDER - $             :</t>
  </si>
  <si>
    <t>GROUND</t>
  </si>
  <si>
    <t>PO Number:</t>
  </si>
  <si>
    <t>PO Date:</t>
  </si>
  <si>
    <t>100 - 19072 26 Avenue</t>
  </si>
  <si>
    <t>Surrey, BC, V3Z 3V7</t>
  </si>
  <si>
    <t>Canada</t>
  </si>
  <si>
    <t>Phone: 604-542-4888</t>
  </si>
  <si>
    <t>Legal name:</t>
  </si>
  <si>
    <t>dba California Closets:</t>
  </si>
  <si>
    <t>Store Number:</t>
  </si>
  <si>
    <t>Company Address:</t>
  </si>
  <si>
    <t>City,State,Zip:</t>
  </si>
  <si>
    <t>Contact:</t>
  </si>
  <si>
    <t>Contact Info:</t>
  </si>
  <si>
    <t>Email: order@taghardware.com</t>
  </si>
  <si>
    <t>Standard Shipping Method:</t>
  </si>
  <si>
    <t xml:space="preserve">Air Shipping Options </t>
  </si>
  <si>
    <t>Payment Terms:</t>
  </si>
  <si>
    <t>FOB Terms:</t>
  </si>
  <si>
    <t>Net 30</t>
  </si>
  <si>
    <t>2 -3 Days Expedited:</t>
  </si>
  <si>
    <t>Stock Or Job #</t>
  </si>
  <si>
    <t>Price / Ea</t>
  </si>
  <si>
    <t>Case Qty</t>
  </si>
  <si>
    <t>Line Price</t>
  </si>
  <si>
    <t>Notes:</t>
  </si>
  <si>
    <t>UoM Qty</t>
  </si>
  <si>
    <t>UoM</t>
  </si>
  <si>
    <t>Approx # OF CASES                   :</t>
  </si>
  <si>
    <t>300.3166</t>
  </si>
  <si>
    <t>BoxCount</t>
  </si>
  <si>
    <t>?</t>
  </si>
  <si>
    <t>Next Day - 10:30am:</t>
  </si>
  <si>
    <t>TrackWall</t>
  </si>
  <si>
    <t>Glass Shelf</t>
  </si>
  <si>
    <r>
      <t xml:space="preserve">Elite Dished Knob </t>
    </r>
    <r>
      <rPr>
        <b/>
        <sz val="14"/>
        <rFont val="Arial"/>
        <family val="2"/>
      </rPr>
      <t>with 1 pc 8/32x1" screw</t>
    </r>
  </si>
  <si>
    <r>
      <t>Elite Dropped Pull</t>
    </r>
    <r>
      <rPr>
        <b/>
        <sz val="14"/>
        <rFont val="Arial"/>
        <family val="2"/>
      </rPr>
      <t xml:space="preserve"> with 2 pc 8/32x1" screw</t>
    </r>
  </si>
  <si>
    <r>
      <t>Modern Knob</t>
    </r>
    <r>
      <rPr>
        <b/>
        <sz val="14"/>
        <rFont val="Arial"/>
        <family val="2"/>
      </rPr>
      <t xml:space="preserve"> with 2 pc 8/32x1" screw</t>
    </r>
  </si>
  <si>
    <r>
      <t>Elite Arched Handle</t>
    </r>
    <r>
      <rPr>
        <b/>
        <sz val="14"/>
        <rFont val="Arial"/>
        <family val="2"/>
      </rPr>
      <t xml:space="preserve"> with 2 pc 8/32x1" screw</t>
    </r>
  </si>
  <si>
    <r>
      <t>Elite Dropped Handle</t>
    </r>
    <r>
      <rPr>
        <b/>
        <sz val="14"/>
        <rFont val="Arial"/>
        <family val="2"/>
      </rPr>
      <t xml:space="preserve"> with 2 pc 8/32x1" screw</t>
    </r>
  </si>
  <si>
    <r>
      <t>Elite Bow Handle</t>
    </r>
    <r>
      <rPr>
        <b/>
        <sz val="14"/>
        <rFont val="Arial"/>
        <family val="2"/>
      </rPr>
      <t xml:space="preserve"> with 2 pc 8/32x1" screw</t>
    </r>
  </si>
  <si>
    <r>
      <t>Modern Dropped Handle</t>
    </r>
    <r>
      <rPr>
        <b/>
        <sz val="14"/>
        <rFont val="Arial"/>
        <family val="2"/>
      </rPr>
      <t xml:space="preserve"> with 2 pc 8/32x1" screw</t>
    </r>
  </si>
  <si>
    <r>
      <t xml:space="preserve">Elite Aluminum Pull 9" </t>
    </r>
    <r>
      <rPr>
        <b/>
        <sz val="14"/>
        <rFont val="Arial"/>
        <family val="2"/>
      </rPr>
      <t>with 3pcs #4x1/2" screw</t>
    </r>
  </si>
  <si>
    <r>
      <t>Elite Dished Knob</t>
    </r>
    <r>
      <rPr>
        <b/>
        <sz val="14"/>
        <rFont val="Arial"/>
        <family val="2"/>
      </rPr>
      <t xml:space="preserve"> with 1 pc 8/32x1" screw</t>
    </r>
  </si>
  <si>
    <r>
      <t>Elite Dished Knob with 1</t>
    </r>
    <r>
      <rPr>
        <b/>
        <sz val="14"/>
        <rFont val="Arial"/>
        <family val="2"/>
      </rPr>
      <t xml:space="preserve"> pc 8/32x1" screw</t>
    </r>
  </si>
  <si>
    <r>
      <t>Elite Dropped Pull with 2</t>
    </r>
    <r>
      <rPr>
        <b/>
        <sz val="14"/>
        <rFont val="Arial"/>
        <family val="2"/>
      </rPr>
      <t xml:space="preserve"> pc 8/32x1" screw</t>
    </r>
  </si>
  <si>
    <r>
      <t>Modern Knob with 2</t>
    </r>
    <r>
      <rPr>
        <b/>
        <sz val="14"/>
        <rFont val="Arial"/>
        <family val="2"/>
      </rPr>
      <t xml:space="preserve"> pc 8/32x1" screw</t>
    </r>
  </si>
  <si>
    <r>
      <t>Elite Arched Handle with 2</t>
    </r>
    <r>
      <rPr>
        <b/>
        <sz val="14"/>
        <rFont val="Arial"/>
        <family val="2"/>
      </rPr>
      <t xml:space="preserve"> pc 8/32x1" screw</t>
    </r>
  </si>
  <si>
    <r>
      <t>Elite Dropped Handle with 2</t>
    </r>
    <r>
      <rPr>
        <b/>
        <sz val="14"/>
        <rFont val="Arial"/>
        <family val="2"/>
      </rPr>
      <t xml:space="preserve"> pc 8/32x1" screw</t>
    </r>
  </si>
  <si>
    <r>
      <t>Elite Bow Handle with 2</t>
    </r>
    <r>
      <rPr>
        <b/>
        <sz val="14"/>
        <rFont val="Arial"/>
        <family val="2"/>
      </rPr>
      <t xml:space="preserve"> pc 8/32x1" screw</t>
    </r>
  </si>
  <si>
    <r>
      <t>Modern Dropped Handle with 2</t>
    </r>
    <r>
      <rPr>
        <b/>
        <sz val="14"/>
        <rFont val="Arial"/>
        <family val="2"/>
      </rPr>
      <t xml:space="preserve"> pc 8/32x1" screw</t>
    </r>
  </si>
  <si>
    <t>*Note: Combined finishes allowed for items on this list only</t>
  </si>
  <si>
    <t>TRACKWALL - HD ACCESSORIES - GARAGE - OFFICE - CLOSET</t>
  </si>
  <si>
    <t>TrackWall 97"</t>
  </si>
  <si>
    <t>TrackWall Edge Profile 96"</t>
  </si>
  <si>
    <t>TrackWall Handle 96"</t>
  </si>
  <si>
    <t>TrackWall Shelf Stiffener 96"</t>
  </si>
  <si>
    <t>TrackWall J-Channel</t>
  </si>
  <si>
    <t>TrackWall Screw Cover Strip 96"</t>
  </si>
  <si>
    <t>TRACKWALL OFFICE</t>
  </si>
  <si>
    <t>TRACKWALL CLOSET</t>
  </si>
  <si>
    <t>TrackWall Office Starter Kit (10 pcs)</t>
  </si>
  <si>
    <t>TrackWall Metal Paper Tray (Letter Size)</t>
  </si>
  <si>
    <t>TrackWall Metal Pencil Tray (7.5")</t>
  </si>
  <si>
    <t>TrackWall Metal Small Tray (2.5")</t>
  </si>
  <si>
    <t>TrackWall Metal Upright Tray</t>
  </si>
  <si>
    <t>TrackWall Metal File Hanger</t>
  </si>
  <si>
    <t>TrackWall Tie Holder</t>
  </si>
  <si>
    <t>TrackWall Belt Holder</t>
  </si>
  <si>
    <t>TrackWall Double Hook</t>
  </si>
  <si>
    <t>TrackWall Coat Hook</t>
  </si>
  <si>
    <t>TrackWall Bracelet Holder</t>
  </si>
  <si>
    <t>TrackWall Valet Hook</t>
  </si>
  <si>
    <t>TrackWall Designer Kit</t>
  </si>
  <si>
    <t>TAG Hardware Systems Ltd.</t>
  </si>
  <si>
    <t>TAG Hardware Systems</t>
  </si>
  <si>
    <t>*If using the simple form &amp; stock order form, please submit both in the same email - TAG will combine the order and apply free freight if applicable</t>
  </si>
  <si>
    <t>TAG HARDWARE JOB ORDER FORM</t>
  </si>
  <si>
    <t>EVERSTYLE DRAWERS AND BASKETS w/INTEGRATED PULL</t>
  </si>
  <si>
    <t>Everstyle w/Integrated Pull 14 Sock Drawer, 18" W, Matte Aluminum w Oyster</t>
  </si>
  <si>
    <t>Everstyle w/Integrated Pull 14 Sock Drawer, 18" W, Matte Aluminum w Pewter</t>
  </si>
  <si>
    <t>Everstyle w/Integrated Pull 14 Sock Drawer, 18" W, Matte Aluminum w Winter</t>
  </si>
  <si>
    <t>Everstyle w/Integrated Pull 14 Sock Drawer, 18" W, Gold w Oyster</t>
  </si>
  <si>
    <t>Everstyle w/Integrated Pull 14 Sock Drawer, 18" W, Gold w Pewter</t>
  </si>
  <si>
    <t>Everstyle w/Integrated Pull 14 Sock Drawer, 18" W, Gold w Winter</t>
  </si>
  <si>
    <t>Everstyle w/Integrated Pull 14 Sock Drawer, 18" W, Graphite w Oyster</t>
  </si>
  <si>
    <t>Everstyle w/Integrated Pull 14 Sock Drawer, 18" W, Graphite w Pewter</t>
  </si>
  <si>
    <t>Everstyle w/Integrated Pull 14 Sock Drawer, 18" W, Graphite w Winter</t>
  </si>
  <si>
    <t>Everstyle w/Integrated Pull 14 Sock Drawer, 24" W, Matte Aluminum w Oyster</t>
  </si>
  <si>
    <t>Everstyle w/Integrated Pull 14 Sock Drawer, 24" W, Matte Aluminum w Pewter</t>
  </si>
  <si>
    <t>Everstyle w/Integrated Pull 14 Sock Drawer, 24" W, Matte Aluminum w Winter</t>
  </si>
  <si>
    <t>Everstyle w/Integrated Pull 14 Sock Drawer, 24" W, Gold w Oyster</t>
  </si>
  <si>
    <t>Everstyle w/Integrated Pull 14 Sock Drawer, 24" W, Gold w Pewter</t>
  </si>
  <si>
    <t>Everstyle w/Integrated Pull 14 Sock Drawer, 24" W, Gold w Winter</t>
  </si>
  <si>
    <t>Everstyle w/Integrated Pull 14 Sock Drawer, 24" W, Graphite w Oyster</t>
  </si>
  <si>
    <t>Everstyle w/Integrated Pull 14 Sock Drawer, 24" W, Graphite w Pewter</t>
  </si>
  <si>
    <t>Everstyle w/Integrated Pull 14 Sock Drawer, 24" W, Graphite w Winter</t>
  </si>
  <si>
    <t>Everstyle w/Integrated Pull 14 Sock Drawer, 30" W, Matte Aluminum w Oyster</t>
  </si>
  <si>
    <t>Everstyle w/Integrated Pull 14 Sock Drawer, 30" W, Matte Aluminum w Pewter</t>
  </si>
  <si>
    <t>Everstyle w/Integrated Pull 14 Sock Drawer, 30" W, Matte Aluminum w Winter</t>
  </si>
  <si>
    <t>Everstyle w/Integrated Pull 14 Sock Drawer, 30" W, Gold w Oyster</t>
  </si>
  <si>
    <t>Everstyle w/Integrated Pull 14 Sock Drawer, 30" W, Gold w Pewter</t>
  </si>
  <si>
    <t>Everstyle w/Integrated Pull 14 Sock Drawer, 30" W, Gold w Winter</t>
  </si>
  <si>
    <t>Everstyle w/Integrated Pull 14 Sock Drawer, 30" W, Graphite w Oyster</t>
  </si>
  <si>
    <t>Everstyle w/Integrated Pull 14 Sock Drawer, 30" W, Graphite w Pewter</t>
  </si>
  <si>
    <t>Everstyle w/Integrated Pull 14 Sock Drawer, 30" W, Graphite w Winter</t>
  </si>
  <si>
    <t>Everstyle w/Integrated Pull 14 Sock Drawer, 36" W, Matte Aluminum w Oyster</t>
  </si>
  <si>
    <t>Everstyle w/Integrated Pull 14 Sock Drawer, 36" W, Matte Aluminum w Pewter</t>
  </si>
  <si>
    <t>Everstyle w/Integrated Pull 14 Sock Drawer, 36" W, Matte Aluminum w Winter</t>
  </si>
  <si>
    <t>Everstyle w/Integrated Pull 14 Sock Drawer, 36" W, Gold w Oyster</t>
  </si>
  <si>
    <t>Everstyle w/Integrated Pull 14 Sock Drawer, 36" W, Gold w Pewter</t>
  </si>
  <si>
    <t>Everstyle w/Integrated Pull 14 Sock Drawer, 36" W, Gold w Winter</t>
  </si>
  <si>
    <t>Everstyle w/Integrated Pull 14 Sock Drawer, 36" W, Graphite w Oyster</t>
  </si>
  <si>
    <t>Everstyle w/Integrated Pull 14 Sock Drawer, 36" W, Graphite w Pewter</t>
  </si>
  <si>
    <t>Everstyle w/Integrated Pull 14 Sock Drawer, 36" W, Graphite w Winter</t>
  </si>
  <si>
    <t>Everstyle w/Integrated Pull 14 Shirt Drawer, 18" W, Matte Aluminum w Oyster</t>
  </si>
  <si>
    <t>Everstyle w/Integrated Pull 14 Shirt Drawer, 18" W, Matte Aluminum w Pewter</t>
  </si>
  <si>
    <t>Everstyle w/Integrated Pull 14 Shirt Drawer, 18" W, Matte Aluminum w Winter</t>
  </si>
  <si>
    <t>Everstyle w/Integrated Pull 14 Shirt Drawer, 18" W, Gold w Oyster</t>
  </si>
  <si>
    <t>Everstyle w/Integrated Pull 14 Shirt Drawer, 18" W, Gold w Pewter</t>
  </si>
  <si>
    <t>Everstyle w/Integrated Pull 14 Shirt Drawer, 18" W, Gold w Winter</t>
  </si>
  <si>
    <t>Everstyle w/Integrated Pull 14 Shirt Drawer, 18" W, Graphite w Oyster</t>
  </si>
  <si>
    <t>Everstyle w/Integrated Pull 14 Shirt Drawer, 18" W, Graphite w Pewter</t>
  </si>
  <si>
    <t>Everstyle w/Integrated Pull 14 Shirt Drawer, 18" W, Graphite w Winter</t>
  </si>
  <si>
    <t>Everstyle w/Integrated Pull 14 Shirt Drawer, 24" W, Matte Aluminum w Oyster</t>
  </si>
  <si>
    <t>Everstyle w/Integrated Pull 14 Shirt Drawer, 24" W, Matte Aluminum w Pewter</t>
  </si>
  <si>
    <t>Everstyle w/Integrated Pull 14 Shirt Drawer, 24" W, Matte Aluminum w Winter</t>
  </si>
  <si>
    <t>Everstyle w/Integrated Pull 14 Shirt Drawer, 24" W, Gold w Oyster</t>
  </si>
  <si>
    <t>Everstyle w/Integrated Pull 14 Shirt Drawer, 24" W, Gold w Pewter</t>
  </si>
  <si>
    <t>Everstyle w/Integrated Pull 14 Shirt Drawer, 24" W, Gold w Winter</t>
  </si>
  <si>
    <t>Everstyle w/Integrated Pull 14 Shirt Drawer, 24" W, Graphite w Oyster</t>
  </si>
  <si>
    <t>Everstyle w/Integrated Pull 14 Shirt Drawer, 24" W, Graphite w Pewter</t>
  </si>
  <si>
    <t>Everstyle w/Integrated Pull 14 Shirt Drawer, 24" W, Graphite w Winter</t>
  </si>
  <si>
    <t>Everstyle w/Integrated Pull 14 Shirt Drawer, 30" W, Matte Aluminum w Oyster</t>
  </si>
  <si>
    <t>Everstyle w/Integrated Pull 14 Shirt Drawer, 30" W, Matte Aluminum w Pewter</t>
  </si>
  <si>
    <t>Everstyle w/Integrated Pull 14 Shirt Drawer, 30" W, Matte Aluminum w Winter</t>
  </si>
  <si>
    <t>Everstyle w/Integrated Pull 14 Shirt Drawer, 30" W, Gold w Oyster</t>
  </si>
  <si>
    <t>Everstyle w/Integrated Pull 14 Shirt Drawer, 30" W, Gold w Pewter</t>
  </si>
  <si>
    <t>Everstyle w/Integrated Pull 14 Shirt Drawer, 30" W, Gold w Winter</t>
  </si>
  <si>
    <t>Everstyle w/Integrated Pull 14 Shirt Drawer, 30" W, Graphite w Oyster</t>
  </si>
  <si>
    <t>Everstyle w/Integrated Pull 14 Shirt Drawer, 30" W, Graphite w Pewter</t>
  </si>
  <si>
    <t>Everstyle w/Integrated Pull 14 Shirt Drawer, 30" W, Graphite w Winter</t>
  </si>
  <si>
    <t>Everstyle w/Integrated Pull 14 Shirt Drawer, 36" W, Matte Aluminum w Oyster</t>
  </si>
  <si>
    <t>Everstyle w/Integrated Pull 14 Shirt Drawer, 36" W, Matte Aluminum w Pewter</t>
  </si>
  <si>
    <t>Everstyle w/Integrated Pull 14 Shirt Drawer, 36" W, Matte Aluminum w Winter</t>
  </si>
  <si>
    <t>Everstyle w/Integrated Pull 14 Shirt Drawer, 36" W, Gold w Oyster</t>
  </si>
  <si>
    <t>Everstyle w/Integrated Pull 14 Shirt Drawer, 36" W, Gold w Pewter</t>
  </si>
  <si>
    <t>Everstyle w/Integrated Pull 14 Shirt Drawer, 36" W, Gold w Winter</t>
  </si>
  <si>
    <t>Everstyle w/Integrated Pull 14 Shirt Drawer, 36" W, Graphite w Oyster</t>
  </si>
  <si>
    <t>Everstyle w/Integrated Pull 14 Shirt Drawer, 36" W, Graphite w Pewter</t>
  </si>
  <si>
    <t>Everstyle w/Integrated Pull 14 Shirt Drawer, 36" W, Graphite w Winter</t>
  </si>
  <si>
    <t>Everstyle w/Integrated Pull 14 Versatile Drawer, 18" W, Matte Aluminum w Oyster</t>
  </si>
  <si>
    <t>Everstyle w/Integrated Pull 14 Versatile Drawer, 18" W, Matte Aluminum w Pewter</t>
  </si>
  <si>
    <t>Everstyle w/Integrated Pull 14 Versatile Drawer, 18" W, Matte Aluminum w Winter</t>
  </si>
  <si>
    <t>Everstyle w/Integrated Pull 14 Versatile Drawer, 18" W, Gold w Oyster</t>
  </si>
  <si>
    <t>Everstyle w/Integrated Pull 14 Versatile Drawer, 18" W, Gold w Pewter</t>
  </si>
  <si>
    <t>Everstyle w/Integrated Pull 14 Versatile Drawer, 18" W, Gold w Winter</t>
  </si>
  <si>
    <t>Everstyle w/Integrated Pull 14 Versatile Drawer, 18" W, Graphite w Oyster</t>
  </si>
  <si>
    <t>Everstyle w/Integrated Pull 14 Versatile Drawer, 18" W, Graphite w Pewter</t>
  </si>
  <si>
    <t>Everstyle w/Integrated Pull 14 Versatile Drawer, 18" W, Graphite w Winter</t>
  </si>
  <si>
    <t>Everstyle w/Integrated Pull 14 Versatile Drawer, 24" W, Matte Aluminum w Oyster</t>
  </si>
  <si>
    <t>Everstyle w/Integrated Pull 14 Versatile Drawer, 24" W, Matte Aluminum w Pewter</t>
  </si>
  <si>
    <t>Everstyle w/Integrated Pull 14 Versatile Drawer, 24" W, Matte Aluminum w Winter</t>
  </si>
  <si>
    <t>Everstyle w/Integrated Pull 14 Versatile Drawer, 24" W, Gold w Oyster</t>
  </si>
  <si>
    <t>Everstyle w/Integrated Pull 14 Versatile Drawer, 24" W, Gold w Pewter</t>
  </si>
  <si>
    <t>Everstyle w/Integrated Pull 14 Versatile Drawer, 24" W, Gold w Winter</t>
  </si>
  <si>
    <t>Everstyle w/Integrated Pull 14 Versatile Drawer, 24" W, Graphite w Oyster</t>
  </si>
  <si>
    <t>Everstyle w/Integrated Pull 14 Versatile Drawer, 24" W, Graphite w Pewter</t>
  </si>
  <si>
    <t>Everstyle w/Integrated Pull 14 Versatile Drawer, 24" W, Graphite w Winter</t>
  </si>
  <si>
    <t>Everstyle w/Integrated Pull 14 Versatile Drawer, 30" W, Matte Aluminum w Oyster</t>
  </si>
  <si>
    <t>Everstyle w/Integrated Pull 14 Versatile Drawer, 30" W, Matte Aluminum w Pewter</t>
  </si>
  <si>
    <t>Everstyle w/Integrated Pull 14 Versatile Drawer, 30" W, Matte Aluminum w Winter</t>
  </si>
  <si>
    <t>Everstyle w/Integrated Pull 14 Versatile Drawer, 30" W, Gold w Oyster</t>
  </si>
  <si>
    <t>Everstyle w/Integrated Pull 14 Versatile Drawer, 30" W, Gold w Pewter</t>
  </si>
  <si>
    <t>Everstyle w/Integrated Pull 14 Versatile Drawer, 30" W, Gold w Winter</t>
  </si>
  <si>
    <t>Everstyle w/Integrated Pull 14 Versatile Drawer, 30" W, Graphite w Oyster</t>
  </si>
  <si>
    <t>Everstyle w/Integrated Pull 14 Versatile Drawer, 30" W, Graphite w Pewter</t>
  </si>
  <si>
    <t>Everstyle w/Integrated Pull 14 Versatile Drawer, 30" W, Graphite w Winter</t>
  </si>
  <si>
    <t>Everstyle w/Integrated Pull 14 Versatile Drawer, 36" W, Matte Aluminum w Oyster</t>
  </si>
  <si>
    <t>Everstyle w/Integrated Pull 14 Versatile Drawer, 36" W, Matte Aluminum w Pewter</t>
  </si>
  <si>
    <t>Everstyle w/Integrated Pull 14 Versatile Drawer, 36" W, Matte Aluminum w Winter</t>
  </si>
  <si>
    <t>Everstyle w/Integrated Pull 14 Versatile Drawer, 36" W, Gold w Oyster</t>
  </si>
  <si>
    <t>Everstyle w/Integrated Pull 14 Versatile Drawer, 36" W, Gold w Pewter</t>
  </si>
  <si>
    <t>Everstyle w/Integrated Pull 14 Versatile Drawer, 36" W, Gold w Winter</t>
  </si>
  <si>
    <t>Everstyle w/Integrated Pull 14 Versatile Drawer, 36" W, Graphite w Oyster</t>
  </si>
  <si>
    <t>Everstyle w/Integrated Pull 14 Versatile Drawer, 36" W, Graphite w Pewter</t>
  </si>
  <si>
    <t>Everstyle w/Integrated Pull 14 Versatile Drawer, 36" W, Graphite w Winter</t>
  </si>
  <si>
    <t>Everstyle w/Integrated Pull 14 Remote Drawer, 18" W, Matte Aluminum w Oyster</t>
  </si>
  <si>
    <t>Everstyle w/Integrated Pull 14 Remote Drawer, 18" W, Matte Aluminum w Pewter</t>
  </si>
  <si>
    <t>Everstyle w/Integrated Pull 14 Remote Drawer, 18" W, Matte Aluminum w Winter</t>
  </si>
  <si>
    <t>Everstyle w/Integrated Pull 14 Remote Drawer, 18" W, Gold w Oyster</t>
  </si>
  <si>
    <t>Everstyle w/Integrated Pull 14 Remote Drawer, 18" W, Gold w Pewter</t>
  </si>
  <si>
    <t>Everstyle w/Integrated Pull 14 Remote Drawer, 18" W, Gold w Winter</t>
  </si>
  <si>
    <t>Everstyle w/Integrated Pull 14 Remote Drawer, 18" W, Graphite w Oyster</t>
  </si>
  <si>
    <t>Everstyle w/Integrated Pull 14 Remote Drawer, 18" W, Graphite w Pewter</t>
  </si>
  <si>
    <t>Everstyle w/Integrated Pull 14 Remote Drawer, 18" W, Graphite w Winter</t>
  </si>
  <si>
    <t>Everstyle w/Integrated Pull 14 Remote Drawer, 24" W, Matte Aluminum w Oyster</t>
  </si>
  <si>
    <t>Everstyle w/Integrated Pull 14 Remote Drawer, 24" W, Matte Aluminum w Pewter</t>
  </si>
  <si>
    <t>Everstyle w/Integrated Pull 14 Remote Drawer, 24" W, Matte Aluminum w Winter</t>
  </si>
  <si>
    <t>Everstyle w/Integrated Pull 14 Remote Drawer, 24" W, Gold w Oyster</t>
  </si>
  <si>
    <t>Everstyle w/Integrated Pull 14 Remote Drawer, 24" W, Gold w Pewter</t>
  </si>
  <si>
    <t>Everstyle w/Integrated Pull 14 Remote Drawer, 24" W, Gold w Winter</t>
  </si>
  <si>
    <t>Everstyle w/Integrated Pull 14 Remote Drawer, 24" W, Graphite w Oyster</t>
  </si>
  <si>
    <t>Everstyle w/Integrated Pull 14 Remote Drawer, 24" W, Graphite w Pewter</t>
  </si>
  <si>
    <t>Everstyle w/Integrated Pull 14 Remote Drawer, 24" W, Graphite w Winter</t>
  </si>
  <si>
    <t>Everstyle w/Integrated Pull 14 Remote Drawer, 30" W, Matte Aluminum w Oyster</t>
  </si>
  <si>
    <t>Everstyle w/Integrated Pull 14 Remote Drawer, 30" W, Matte Aluminum w Pewter</t>
  </si>
  <si>
    <t>Everstyle w/Integrated Pull 14 Remote Drawer, 30" W, Matte Aluminum w Winter</t>
  </si>
  <si>
    <t>Everstyle w/Integrated Pull 14 Remote Drawer, 30" W, Gold w Oyster</t>
  </si>
  <si>
    <t>Everstyle w/Integrated Pull 14 Remote Drawer, 30" W, Gold w Pewter</t>
  </si>
  <si>
    <t>Everstyle w/Integrated Pull 14 Remote Drawer, 30" W, Gold w Winter</t>
  </si>
  <si>
    <t>Everstyle w/Integrated Pull 14 Remote Drawer, 30" W, Graphite w Oyster</t>
  </si>
  <si>
    <t>Everstyle w/Integrated Pull 14 Remote Drawer, 30" W, Graphite w Pewter</t>
  </si>
  <si>
    <t>Everstyle w/Integrated Pull 14 Remote Drawer, 30" W, Graphite w Winter</t>
  </si>
  <si>
    <t>Everstyle w/Integrated Pull 14 Remote Drawer, 36" W, Matte Aluminum w Oyster</t>
  </si>
  <si>
    <t>Everstyle w/Integrated Pull 14 Remote Drawer, 36" W, Matte Aluminum w Pewter</t>
  </si>
  <si>
    <t>Everstyle w/Integrated Pull 14 Remote Drawer, 36" W, Matte Aluminum w Winter</t>
  </si>
  <si>
    <t>Everstyle w/Integrated Pull 14 Remote Drawer, 36" W, Gold w Oyster</t>
  </si>
  <si>
    <t>Everstyle w/Integrated Pull 14 Remote Drawer, 36" W, Gold w Pewter</t>
  </si>
  <si>
    <t>Everstyle w/Integrated Pull 14 Remote Drawer, 36" W, Gold w Winter</t>
  </si>
  <si>
    <t>Everstyle w/Integrated Pull 14 Remote Drawer, 36" W, Graphite w Oyster</t>
  </si>
  <si>
    <t>Everstyle w/Integrated Pull 14 Remote Drawer, 36" W, Graphite w Pewter</t>
  </si>
  <si>
    <t>Everstyle w/Integrated Pull 14 Remote Drawer, 36" W, Graphite w Winter</t>
  </si>
  <si>
    <t>Everstyle w/Integrated Pull 14 Tie &amp; Belt Drawer, 18" W, Matte Aluminum w Oyster</t>
  </si>
  <si>
    <t>Everstyle w/Integrated Pull 14 Tie &amp; Belt Drawer, 18" W, Matte Aluminum w Pewter</t>
  </si>
  <si>
    <t>Everstyle w/Integrated Pull 14 Tie &amp; Belt Drawer, 18" W, Matte Aluminum w Winter</t>
  </si>
  <si>
    <t>Everstyle w/Integrated Pull 14 Tie &amp; Belt Drawer, 18" W, Gold w Oyster</t>
  </si>
  <si>
    <t>Everstyle w/Integrated Pull 14 Tie &amp; Belt Drawer, 18" W, Gold w Pewter</t>
  </si>
  <si>
    <t>Everstyle w/Integrated Pull 14 Tie &amp; Belt Drawer, 18" W, Gold w Winter</t>
  </si>
  <si>
    <t>Everstyle w/Integrated Pull 14 Tie &amp; Belt Drawer, 18" W, Graphite w Oyster</t>
  </si>
  <si>
    <t>Everstyle w/Integrated Pull 14 Tie &amp; Belt Drawer, 18" W, Graphite w Pewter</t>
  </si>
  <si>
    <t>Everstyle w/Integrated Pull 14 Tie &amp; Belt Drawer, 18" W, Graphite w Winter</t>
  </si>
  <si>
    <t>Everstyle w/Integrated Pull 14 Tie &amp; Belt Drawer, 24" W, Matte Aluminum w Oyster</t>
  </si>
  <si>
    <t>Everstyle w/Integrated Pull 14 Tie &amp; Belt Drawer, 24" W, Matte Aluminum w Pewter</t>
  </si>
  <si>
    <t>Everstyle w/Integrated Pull 14 Tie &amp; Belt Drawer, 24" W, Matte Aluminum w Winter</t>
  </si>
  <si>
    <t>Everstyle w/Integrated Pull 14 Tie &amp; Belt Drawer, 24" W, Gold w Oyster</t>
  </si>
  <si>
    <t>Everstyle w/Integrated Pull 14 Tie &amp; Belt Drawer, 24" W, Gold w Pewter</t>
  </si>
  <si>
    <t>Everstyle w/Integrated Pull 14 Tie &amp; Belt Drawer, 24" W, Gold w Winter</t>
  </si>
  <si>
    <t>Everstyle w/Integrated Pull 14 Tie &amp; Belt Drawer, 24" W, Graphite w Oyster</t>
  </si>
  <si>
    <t>Everstyle w/Integrated Pull 14 Tie &amp; Belt Drawer, 24" W, Graphite w Pewter</t>
  </si>
  <si>
    <t>Everstyle w/Integrated Pull 14 Tie &amp; Belt Drawer, 24" W, Graphite w Winter</t>
  </si>
  <si>
    <t>Everstyle w/Integrated Pull 14 Tie &amp; Belt Drawer, 30" W, Matte Aluminum w Oyster</t>
  </si>
  <si>
    <t>Everstyle w/Integrated Pull 14 Tie &amp; Belt Drawer, 30" W, Matte Aluminum w Pewter</t>
  </si>
  <si>
    <t>Everstyle w/Integrated Pull 14 Tie &amp; Belt Drawer, 30" W, Matte Aluminum w Winter</t>
  </si>
  <si>
    <t>Everstyle w/Integrated Pull 14 Tie &amp; Belt Drawer, 30" W, Gold w Oyster</t>
  </si>
  <si>
    <t>Everstyle w/Integrated Pull 14 Tie &amp; Belt Drawer, 30" W, Gold w Pewter</t>
  </si>
  <si>
    <t>Everstyle w/Integrated Pull 14 Tie &amp; Belt Drawer, 30" W, Gold w Winter</t>
  </si>
  <si>
    <t>Everstyle w/Integrated Pull 14 Tie &amp; Belt Drawer, 30" W, Graphite w Oyster</t>
  </si>
  <si>
    <t>Everstyle w/Integrated Pull 14 Tie &amp; Belt Drawer, 30" W, Graphite w Pewter</t>
  </si>
  <si>
    <t>Everstyle w/Integrated Pull 14 Tie &amp; Belt Drawer, 30" W, Graphite w Winter</t>
  </si>
  <si>
    <t>Everstyle w/Integrated Pull 14 Tie &amp; Belt Drawer, 36" W, Matte Aluminum w Oyster</t>
  </si>
  <si>
    <t>Everstyle w/Integrated Pull 14 Tie &amp; Belt Drawer, 36" W, Matte Aluminum w Pewter</t>
  </si>
  <si>
    <t>Everstyle w/Integrated Pull 14 Tie &amp; Belt Drawer, 36" W, Matte Aluminum w Winter</t>
  </si>
  <si>
    <t>Everstyle w/Integrated Pull 14 Tie &amp; Belt Drawer, 36" W, Gold w Oyster</t>
  </si>
  <si>
    <t>Everstyle w/Integrated Pull 14 Tie &amp; Belt Drawer, 36" W, Gold w Pewter</t>
  </si>
  <si>
    <t>Everstyle w/Integrated Pull 14 Tie &amp; Belt Drawer, 36" W, Gold w Winter</t>
  </si>
  <si>
    <t>Everstyle w/Integrated Pull 14 Tie &amp; Belt Drawer, 36" W, Graphite w Oyster</t>
  </si>
  <si>
    <t>Everstyle w/Integrated Pull 14 Tie &amp; Belt Drawer, 36" W, Graphite w Pewter</t>
  </si>
  <si>
    <t>Everstyle w/Integrated Pull 14 Tie &amp; Belt Drawer, 36" W, Graphite w Winter</t>
  </si>
  <si>
    <t>Everstyle w/Integrated Pull 14 Jewelry Drawer, 18" W, Matte Aluminum w Oyster</t>
  </si>
  <si>
    <t>Everstyle w/Integrated Pull 14 Jewelry Drawer, 18" W, Matte Aluminum w Pewter</t>
  </si>
  <si>
    <t>Everstyle w/Integrated Pull 14 Jewelry Drawer, 18" W, Matte Aluminum w Winter</t>
  </si>
  <si>
    <t>Everstyle w/Integrated Pull 14 Jewelry Drawer, 18" W, Gold w Oyster</t>
  </si>
  <si>
    <t>Everstyle w/Integrated Pull 14 Jewelry Drawer, 18" W, Gold w Pewter</t>
  </si>
  <si>
    <t>Everstyle w/Integrated Pull 14 Jewelry Drawer, 18" W, Gold w Winter</t>
  </si>
  <si>
    <t>Everstyle w/Integrated Pull 14 Jewelry Drawer, 18" W, Graphite w Oyster</t>
  </si>
  <si>
    <t>Everstyle w/Integrated Pull 14 Jewelry Drawer, 18" W, Graphite w Pewter</t>
  </si>
  <si>
    <t>Everstyle w/Integrated Pull 14 Jewelry Drawer, 18" W, Graphite w Winter</t>
  </si>
  <si>
    <t>Everstyle w/Integrated Pull 14 Jewelry Drawer, 24" W, Matte Aluminum w Oyster</t>
  </si>
  <si>
    <t>Everstyle w/Integrated Pull 14 Jewelry Drawer, 24" W, Matte Aluminum w Pewter</t>
  </si>
  <si>
    <t>Everstyle w/Integrated Pull 14 Jewelry Drawer, 24" W, Matte Aluminum w Winter</t>
  </si>
  <si>
    <t>Everstyle w/Integrated Pull 14 Jewelry Drawer, 24" W, Gold w Oyster</t>
  </si>
  <si>
    <t>Everstyle w/Integrated Pull 14 Jewelry Drawer, 24" W, Gold w Pewter</t>
  </si>
  <si>
    <t>Everstyle w/Integrated Pull 14 Jewelry Drawer, 24" W, Gold w Winter</t>
  </si>
  <si>
    <t>Everstyle w/Integrated Pull 14 Jewelry Drawer, 24" W, Graphite w Oyster</t>
  </si>
  <si>
    <t>Everstyle w/Integrated Pull 14 Jewelry Drawer, 24" W, Graphite w Pewter</t>
  </si>
  <si>
    <t>Everstyle w/Integrated Pull 14 Jewelry Drawer, 24" W, Graphite w Winter</t>
  </si>
  <si>
    <t>Everstyle w/Integrated Pull 14 Jewelry Drawer, 30" W, Matte Aluminum w Oyster</t>
  </si>
  <si>
    <t>Everstyle w/Integrated Pull 14 Jewelry Drawer, 30" W, Matte Aluminum w Pewter</t>
  </si>
  <si>
    <t>Everstyle w/Integrated Pull 14 Jewelry Drawer, 30" W, Matte Aluminum w Winter</t>
  </si>
  <si>
    <t>Everstyle w/Integrated Pull 14 Jewelry Drawer, 30" W, Gold w Oyster</t>
  </si>
  <si>
    <t>Everstyle w/Integrated Pull 14 Jewelry Drawer, 30" W, Gold w Pewter</t>
  </si>
  <si>
    <t>Everstyle w/Integrated Pull 14 Jewelry Drawer, 30" W, Gold w Winter</t>
  </si>
  <si>
    <t>Everstyle w/Integrated Pull 14 Jewelry Drawer, 30" W, Graphite w Oyster</t>
  </si>
  <si>
    <t>Everstyle w/Integrated Pull 14 Jewelry Drawer, 30" W, Graphite w Pewter</t>
  </si>
  <si>
    <t>Everstyle w/Integrated Pull 14 Jewelry Drawer, 30" W, Graphite w Winter</t>
  </si>
  <si>
    <t>Everstyle w/Integrated Pull 14 Jewelry Drawer, 36" W, Matte Aluminum w Oyster</t>
  </si>
  <si>
    <t>Everstyle w/Integrated Pull 14 Jewelry Drawer, 36" W, Matte Aluminum w Pewter</t>
  </si>
  <si>
    <t>Everstyle w/Integrated Pull 14 Jewelry Drawer, 36" W, Matte Aluminum w Winter</t>
  </si>
  <si>
    <t>Everstyle w/Integrated Pull 14 Jewelry Drawer, 36" W, Gold w Oyster</t>
  </si>
  <si>
    <t>Everstyle w/Integrated Pull 14 Jewelry Drawer, 36" W, Gold w Pewter</t>
  </si>
  <si>
    <t>Everstyle w/Integrated Pull 14 Jewelry Drawer, 36" W, Gold w Winter</t>
  </si>
  <si>
    <t>Everstyle w/Integrated Pull 14 Jewelry Drawer, 36" W, Graphite w Oyster</t>
  </si>
  <si>
    <t>Everstyle w/Integrated Pull 14 Jewelry Drawer, 36" W, Graphite w Pewter</t>
  </si>
  <si>
    <t>Everstyle w/Integrated Pull 14 Jewelry Drawer, 36" W, Graphite w Winter</t>
  </si>
  <si>
    <t>Everstyle w/Integrated Pull 14 Sunglasses Drawer, 18" W, Matte Aluminum w Oyster</t>
  </si>
  <si>
    <t>Everstyle w/Integrated Pull 14 Sunglasses Drawer, 18" W, Matte Aluminum w Pewter</t>
  </si>
  <si>
    <t>Everstyle w/Integrated Pull 14 Sunglasses Drawer, 18" W, Matte Aluminum w Winter</t>
  </si>
  <si>
    <t>Everstyle w/Integrated Pull 14 Sunglasses Drawer, 18" W, Gold w Oyster</t>
  </si>
  <si>
    <t>Everstyle w/Integrated Pull 14 Sunglasses Drawer, 18" W, Gold w Pewter</t>
  </si>
  <si>
    <t>Everstyle w/Integrated Pull 14 Sunglasses Drawer, 18" W, Gold w Winter</t>
  </si>
  <si>
    <t>Everstyle w/Integrated Pull 14 Sunglasses Drawer, 18" W, Graphite w Oyster</t>
  </si>
  <si>
    <t>Everstyle w/Integrated Pull 14 Sunglasses Drawer, 18" W, Graphite w Pewter</t>
  </si>
  <si>
    <t>Everstyle w/Integrated Pull 14 Sunglasses Drawer, 18" W, Graphite w Winter</t>
  </si>
  <si>
    <t>Everstyle w/Integrated Pull 14 Sunglasses Drawer, 24" W, Matte Aluminum w Oyster</t>
  </si>
  <si>
    <t>Everstyle w/Integrated Pull 14 Sunglasses Drawer, 24" W, Matte Aluminum w Pewter</t>
  </si>
  <si>
    <t>Everstyle w/Integrated Pull 14 Sunglasses Drawer, 24" W, Matte Aluminum w Winter</t>
  </si>
  <si>
    <t>Everstyle w/Integrated Pull 14 Sunglasses Drawer, 24" W, Gold w Oyster</t>
  </si>
  <si>
    <t>Everstyle w/Integrated Pull 14 Sunglasses Drawer, 24" W, Gold w Pewter</t>
  </si>
  <si>
    <t>Everstyle w/Integrated Pull 14 Sunglasses Drawer, 24" W, Gold w Winter</t>
  </si>
  <si>
    <t>Everstyle w/Integrated Pull 14 Sunglasses Drawer, 24" W, Graphite w Oyster</t>
  </si>
  <si>
    <t>Everstyle w/Integrated Pull 14 Sunglasses Drawer, 24" W, Graphite w Pewter</t>
  </si>
  <si>
    <t>Everstyle w/Integrated Pull 14 Sunglasses Drawer, 24" W, Graphite w Winter</t>
  </si>
  <si>
    <t>Everstyle w/Integrated Pull 14 Sunglasses Drawer, 30" W, Matte Aluminum w Oyster</t>
  </si>
  <si>
    <t>Everstyle w/Integrated Pull 14 Sunglasses Drawer, 30" W, Matte Aluminum w Pewter</t>
  </si>
  <si>
    <t>Everstyle w/Integrated Pull 14 Sunglasses Drawer, 30" W, Matte Aluminum w Winter</t>
  </si>
  <si>
    <t>Everstyle w/Integrated Pull 14 Sunglasses Drawer, 30" W, Gold w Oyster</t>
  </si>
  <si>
    <t>Everstyle w/Integrated Pull 14 Sunglasses Drawer, 30" W, Gold w Pewter</t>
  </si>
  <si>
    <t>Everstyle w/Integrated Pull 14 Sunglasses Drawer, 30" W, Gold w Winter</t>
  </si>
  <si>
    <t>Everstyle w/Integrated Pull 14 Sunglasses Drawer, 30" W, Graphite w Oyster</t>
  </si>
  <si>
    <t>Everstyle w/Integrated Pull 14 Sunglasses Drawer, 30" W, Graphite w Pewter</t>
  </si>
  <si>
    <t>Everstyle w/Integrated Pull 14 Sunglasses Drawer, 30" W, Graphite w Winter</t>
  </si>
  <si>
    <t>Everstyle w/Integrated Pull 14 Sunglasses Drawer, 36" W, Matte Aluminum w Oyster</t>
  </si>
  <si>
    <t>Everstyle w/Integrated Pull 14 Sunglasses Drawer, 36" W, Matte Aluminum w Pewter</t>
  </si>
  <si>
    <t>Everstyle w/Integrated Pull 14 Sunglasses Drawer, 36" W, Matte Aluminum w Winter</t>
  </si>
  <si>
    <t>Everstyle w/Integrated Pull 14 Sunglasses Drawer, 36" W, Gold w Oyster</t>
  </si>
  <si>
    <t>Everstyle w/Integrated Pull 14 Sunglasses Drawer, 36" W, Gold w Pewter</t>
  </si>
  <si>
    <t>Everstyle w/Integrated Pull 14 Sunglasses Drawer, 36" W, Gold w Winter</t>
  </si>
  <si>
    <t>Everstyle w/Integrated Pull 14 Sunglasses Drawer, 36" W, Graphite w Oyster</t>
  </si>
  <si>
    <t>Everstyle w/Integrated Pull 14 Sunglasses Drawer, 36" W, Graphite w Pewter</t>
  </si>
  <si>
    <t>Everstyle w/Integrated Pull 14 Sunglasses Drawer, 36" W, Graphite w Winter</t>
  </si>
  <si>
    <t>Everstyle w/Integrated Pull 14 Vanity Drawer, 30" W, Matte Aluminum w Oyster</t>
  </si>
  <si>
    <t>Everstyle w/Integrated Pull 14 Vanity Drawer, 30" W, Matte Aluminum w Pewter</t>
  </si>
  <si>
    <t>Everstyle w/Integrated Pull 14 Vanity Drawer, 30" W, Matte Aluminum w Winter</t>
  </si>
  <si>
    <t>Everstyle w/Integrated Pull 14 Vanity Drawer, 30" W, Gold w Oyster</t>
  </si>
  <si>
    <t>Everstyle w/Integrated Pull 14 Vanity Drawer, 30" W, Gold w Pewter</t>
  </si>
  <si>
    <t>Everstyle w/Integrated Pull 14 Vanity Drawer, 30" W, Gold w Winter</t>
  </si>
  <si>
    <t>Everstyle w/Integrated Pull 14 Vanity Drawer, 30" W, Graphite w Oyster</t>
  </si>
  <si>
    <t>Everstyle w/Integrated Pull 14 Vanity Drawer, 30" W, Graphite w Pewter</t>
  </si>
  <si>
    <t>Everstyle w/Integrated Pull 14 Vanity Drawer, 30" W, Graphite w Winter</t>
  </si>
  <si>
    <t>Everstyle w/Integrated Pull 14 Vanity Drawer, 36" W, Matte Aluminum w Oyster</t>
  </si>
  <si>
    <t>Everstyle w/Integrated Pull 14 Vanity Drawer, 36" W, Matte Aluminum w Pewter</t>
  </si>
  <si>
    <t>Everstyle w/Integrated Pull 14 Vanity Drawer, 36" W, Matte Aluminum w Winter</t>
  </si>
  <si>
    <t>Everstyle w/Integrated Pull 14 Vanity Drawer, 36" W, Gold w Oyster</t>
  </si>
  <si>
    <t>Everstyle w/Integrated Pull 14 Vanity Drawer, 36" W, Gold w Pewter</t>
  </si>
  <si>
    <t>Everstyle w/Integrated Pull 14 Vanity Drawer, 36" W, Gold w Winter</t>
  </si>
  <si>
    <t>Everstyle w/Integrated Pull 14 Vanity Drawer, 36" W, Graphite w Oyster</t>
  </si>
  <si>
    <t>Everstyle w/Integrated Pull 14 Vanity Drawer, 36" W, Graphite w Pewter</t>
  </si>
  <si>
    <t>Everstyle w/Integrated Pull 14 Vanity Drawer, 36" W, Graphite w Winter</t>
  </si>
  <si>
    <t>Everstyle w/Integrated Pull 14 Component Drawer, 18" W, Matte Aluminum w Oyster</t>
  </si>
  <si>
    <t>Everstyle w/Integrated Pull 14 Component Drawer, 18" W, Matte Aluminum w Pewter</t>
  </si>
  <si>
    <t>Everstyle w/Integrated Pull 14 Component Drawer, 18" W, Matte Aluminum w Winter</t>
  </si>
  <si>
    <t>Everstyle w/Integrated Pull 14 Component Drawer, 18" W, Gold w Oyster</t>
  </si>
  <si>
    <t>Everstyle w/Integrated Pull 14 Component Drawer, 18" W, Gold w Pewter</t>
  </si>
  <si>
    <t>Everstyle w/Integrated Pull 14 Component Drawer, 18" W, Gold w Winter</t>
  </si>
  <si>
    <t>Everstyle w/Integrated Pull 14 Component Drawer, 18" W, Graphite w Oyster</t>
  </si>
  <si>
    <t>Everstyle w/Integrated Pull 14 Component Drawer, 18" W, Graphite w Pewter</t>
  </si>
  <si>
    <t>Everstyle w/Integrated Pull 14 Component Drawer, 18" W, Graphite w Winter</t>
  </si>
  <si>
    <t>Everstyle w/Integrated Pull 14 Component Drawer, 24" W, Matte Aluminum w Oyster</t>
  </si>
  <si>
    <t>Everstyle w/Integrated Pull 14 Component Drawer, 24" W, Matte Aluminum w Pewter</t>
  </si>
  <si>
    <t>Everstyle w/Integrated Pull 14 Component Drawer, 24" W, Matte Aluminum w Winter</t>
  </si>
  <si>
    <t>Everstyle w/Integrated Pull 14 Component Drawer, 24" W, Gold w Oyster</t>
  </si>
  <si>
    <t>Everstyle w/Integrated Pull 14 Component Drawer, 24" W, Gold w Pewter</t>
  </si>
  <si>
    <t>Everstyle w/Integrated Pull 14 Component Drawer, 24" W, Gold w Winter</t>
  </si>
  <si>
    <t>Everstyle w/Integrated Pull 14 Component Drawer, 24" W, Graphite w Oyster</t>
  </si>
  <si>
    <t>Everstyle w/Integrated Pull 14 Component Drawer, 24" W, Graphite w Pewter</t>
  </si>
  <si>
    <t>Everstyle w/Integrated Pull 14 Component Drawer, 24" W, Graphite w Winter</t>
  </si>
  <si>
    <t>Everstyle w/Integrated Pull 14 Component Drawer, 30" W, Matte Aluminum w Oyster</t>
  </si>
  <si>
    <t>Everstyle w/Integrated Pull 14 Component Drawer, 30" W, Matte Aluminum w Pewter</t>
  </si>
  <si>
    <t>Everstyle w/Integrated Pull 14 Component Drawer, 30" W, Matte Aluminum w Winter</t>
  </si>
  <si>
    <t>Everstyle w/Integrated Pull 14 Component Drawer, 30" W, Gold w Oyster</t>
  </si>
  <si>
    <t>Everstyle w/Integrated Pull 14 Component Drawer, 30" W, Gold w Pewter</t>
  </si>
  <si>
    <t>Everstyle w/Integrated Pull 14 Component Drawer, 30" W, Gold w Winter</t>
  </si>
  <si>
    <t>Everstyle w/Integrated Pull 14 Component Drawer, 30" W, Graphite w Oyster</t>
  </si>
  <si>
    <t>Everstyle w/Integrated Pull 14 Component Drawer, 30" W, Graphite w Pewter</t>
  </si>
  <si>
    <t>Everstyle w/Integrated Pull 14 Component Drawer, 30" W, Graphite w Winter</t>
  </si>
  <si>
    <t>Everstyle w/Integrated Pull 14 Component Drawer, 36" W, Matte Aluminum w Oyster</t>
  </si>
  <si>
    <t>Everstyle w/Integrated Pull 14 Component Drawer, 36" W, Matte Aluminum w Pewter</t>
  </si>
  <si>
    <t>Everstyle w/Integrated Pull 14 Component Drawer, 36" W, Matte Aluminum w Winter</t>
  </si>
  <si>
    <t>Everstyle w/Integrated Pull 14 Component Drawer, 36" W, Gold w Oyster</t>
  </si>
  <si>
    <t>Everstyle w/Integrated Pull 14 Component Drawer, 36" W, Gold w Pewter</t>
  </si>
  <si>
    <t>Everstyle w/Integrated Pull 14 Component Drawer, 36" W, Gold w Winter</t>
  </si>
  <si>
    <t>Everstyle w/Integrated Pull 14 Component Drawer, 36" W, Graphite w Oyster</t>
  </si>
  <si>
    <t>Everstyle w/Integrated Pull 14 Component Drawer, 36" W, Graphite w Pewter</t>
  </si>
  <si>
    <t>Everstyle w/Integrated Pull 14 Component Drawer, 36" W, Graphite w Winter</t>
  </si>
  <si>
    <t>Everstyle w/Integrated Pull 14 Divided Basket, 18" W, Matte Aluminum w Oyster</t>
  </si>
  <si>
    <t>Everstyle w/Integrated Pull 14 Divided Basket, 18" W, Matte Aluminum w Pewter</t>
  </si>
  <si>
    <t>Everstyle w/Integrated Pull 14 Divided Basket, 18" W, Matte Aluminum w Winter</t>
  </si>
  <si>
    <t>Everstyle w/Integrated Pull 14 Divided Basket, 18" W, Gold w Oyster</t>
  </si>
  <si>
    <t>Everstyle w/Integrated Pull 14 Divided Basket, 18" W, Gold w Pewter</t>
  </si>
  <si>
    <t>Everstyle w/Integrated Pull 14 Divided Basket, 18" W, Gold w Winter</t>
  </si>
  <si>
    <t>Everstyle w/Integrated Pull 14 Divided Basket, 18" W, Graphite w Oyster</t>
  </si>
  <si>
    <t>Everstyle w/Integrated Pull 14 Divided Basket, 18" W, Graphite w Pewter</t>
  </si>
  <si>
    <t>Everstyle w/Integrated Pull 14 Divided Basket, 18" W, Graphite w Winter</t>
  </si>
  <si>
    <t>Everstyle w/Integrated Pull 14 Divided Basket, 24" W, Matte Aluminum w Oyster</t>
  </si>
  <si>
    <t>Everstyle w/Integrated Pull 14 Divided Basket, 24" W, Matte Aluminum w Pewter</t>
  </si>
  <si>
    <t>Everstyle w/Integrated Pull 14 Divided Basket, 24" W, Matte Aluminum w Winter</t>
  </si>
  <si>
    <t>Everstyle w/Integrated Pull 14 Divided Basket, 24" W, Gold w Oyster</t>
  </si>
  <si>
    <t>Everstyle w/Integrated Pull 14 Divided Basket, 24" W, Gold w Pewter</t>
  </si>
  <si>
    <t>Everstyle w/Integrated Pull 14 Divided Basket, 24" W, Gold w Winter</t>
  </si>
  <si>
    <t>Everstyle w/Integrated Pull 14 Divided Basket, 24" W, Graphite w Oyster</t>
  </si>
  <si>
    <t>Everstyle w/Integrated Pull 14 Divided Basket, 24" W, Graphite w Pewter</t>
  </si>
  <si>
    <t>Everstyle w/Integrated Pull 14 Divided Basket, 24" W, Graphite w Winter</t>
  </si>
  <si>
    <t>Everstyle w/Integrated Pull 14 Divided Basket, 30" W, Matte Aluminum w Oyster</t>
  </si>
  <si>
    <t>Everstyle w/Integrated Pull 14 Divided Basket, 30" W, Matte Aluminum w Pewter</t>
  </si>
  <si>
    <t>Everstyle w/Integrated Pull 14 Divided Basket, 30" W, Matte Aluminum w Winter</t>
  </si>
  <si>
    <t>Everstyle w/Integrated Pull 14 Divided Basket, 30" W, Gold w Oyster</t>
  </si>
  <si>
    <t>Everstyle w/Integrated Pull 14 Divided Basket, 30" W, Gold w Pewter</t>
  </si>
  <si>
    <t>Everstyle w/Integrated Pull 14 Divided Basket, 30" W, Gold w Winter</t>
  </si>
  <si>
    <t>Everstyle w/Integrated Pull 14 Divided Basket, 30" W, Graphite w Oyster</t>
  </si>
  <si>
    <t>Everstyle w/Integrated Pull 14 Divided Basket, 30" W, Graphite w Pewter</t>
  </si>
  <si>
    <t>Everstyle w/Integrated Pull 14 Divided Basket, 30" W, Graphite w Winter</t>
  </si>
  <si>
    <t>Everstyle w/Integrated Pull 14 Divided Basket, 36" W, Matte Aluminum w Oyster</t>
  </si>
  <si>
    <t>Everstyle w/Integrated Pull 14 Divided Basket, 36" W, Matte Aluminum w Pewter</t>
  </si>
  <si>
    <t>Everstyle w/Integrated Pull 14 Divided Basket, 36" W, Matte Aluminum w Winter</t>
  </si>
  <si>
    <t>Everstyle w/Integrated Pull 14 Divided Basket, 36" W, Gold w Oyster</t>
  </si>
  <si>
    <t>Everstyle w/Integrated Pull 14 Divided Basket, 36" W, Gold w Pewter</t>
  </si>
  <si>
    <t>Everstyle w/Integrated Pull 14 Divided Basket, 36" W, Gold w Winter</t>
  </si>
  <si>
    <t>Everstyle w/Integrated Pull 14 Divided Basket, 36" W, Graphite w Oyster</t>
  </si>
  <si>
    <t>Everstyle w/Integrated Pull 14 Divided Basket, 36" W, Graphite w Pewter</t>
  </si>
  <si>
    <t>Everstyle w/Integrated Pull 14 Divided Basket, 36" W, Graphite w Winter</t>
  </si>
  <si>
    <t>Everstyle w/Integrated Pull 14 Deep Divided Basket, 18" W, Matte Aluminum w Oyster</t>
  </si>
  <si>
    <t>Everstyle w/Integrated Pull 14 Deep Divided Basket, 18" W, Matte Aluminum w Pewter</t>
  </si>
  <si>
    <t>Everstyle w/Integrated Pull 14 Deep Divided Basket, 18" W, Matte Aluminum w Winter</t>
  </si>
  <si>
    <t>Everstyle w/Integrated Pull 14 Deep Divided Basket, 18" W, Gold w Oyster</t>
  </si>
  <si>
    <t>Everstyle w/Integrated Pull 14 Deep Divided Basket, 18" W, Gold w Pewter</t>
  </si>
  <si>
    <t>Everstyle w/Integrated Pull 14 Deep Divided Basket, 18" W, Gold w Winter</t>
  </si>
  <si>
    <t>Everstyle w/Integrated Pull 14 Deep Divided Basket, 18" W, Graphite w Oyster</t>
  </si>
  <si>
    <t>Everstyle w/Integrated Pull 14 Deep Divided Basket, 18" W, Graphite w Pewter</t>
  </si>
  <si>
    <t>Everstyle w/Integrated Pull 14 Deep Divided Basket, 18" W, Graphite w Winter</t>
  </si>
  <si>
    <t>Everstyle w/Integrated Pull 14 Deep Divided Basket, 24" W, Matte Aluminum w Oyster</t>
  </si>
  <si>
    <t>Everstyle w/Integrated Pull 14 Deep Divided Basket, 24" W, Matte Aluminum w Pewter</t>
  </si>
  <si>
    <t>Everstyle w/Integrated Pull 14 Deep Divided Basket, 24" W, Matte Aluminum w Winter</t>
  </si>
  <si>
    <t>Everstyle w/Integrated Pull 14 Deep Divided Basket, 24" W, Gold w Oyster</t>
  </si>
  <si>
    <t>Everstyle w/Integrated Pull 14 Deep Divided Basket, 24" W, Gold w Pewter</t>
  </si>
  <si>
    <t>Everstyle w/Integrated Pull 14 Deep Divided Basket, 24" W, Gold w Winter</t>
  </si>
  <si>
    <t>Everstyle w/Integrated Pull 14 Deep Divided Basket, 24" W, Graphite w Oyster</t>
  </si>
  <si>
    <t>Everstyle w/Integrated Pull 14 Deep Divided Basket, 24" W, Graphite w Pewter</t>
  </si>
  <si>
    <t>Everstyle w/Integrated Pull 14 Deep Divided Basket, 24" W, Graphite w Winter</t>
  </si>
  <si>
    <t>Everstyle w/Integrated Pull 14 Deep Divided Basket, 30" W, Matte Aluminum w Oyster</t>
  </si>
  <si>
    <t>Everstyle w/Integrated Pull 14 Deep Divided Basket, 30" W, Matte Aluminum w Pewter</t>
  </si>
  <si>
    <t>Everstyle w/Integrated Pull 14 Deep Divided Basket, 30" W, Matte Aluminum w Winter</t>
  </si>
  <si>
    <t>Everstyle w/Integrated Pull 14 Deep Divided Basket, 30" W, Gold w Oyster</t>
  </si>
  <si>
    <t>Everstyle w/Integrated Pull 14 Deep Divided Basket, 30" W, Gold w Pewter</t>
  </si>
  <si>
    <t>Everstyle w/Integrated Pull 14 Deep Divided Basket, 30" W, Gold w Winter</t>
  </si>
  <si>
    <t>Everstyle w/Integrated Pull 14 Deep Divided Basket, 30" W, Graphite w Oyster</t>
  </si>
  <si>
    <t>Everstyle w/Integrated Pull 14 Deep Divided Basket, 30" W, Graphite w Pewter</t>
  </si>
  <si>
    <t>Everstyle w/Integrated Pull 14 Deep Divided Basket, 30" W, Graphite w Winter</t>
  </si>
  <si>
    <t>Everstyle w/Integrated Pull 14 Deep Divided Basket, 36" W, Matte Aluminum w Oyster</t>
  </si>
  <si>
    <t>Everstyle w/Integrated Pull 14 Deep Divided Basket, 36" W, Matte Aluminum w Pewter</t>
  </si>
  <si>
    <t>Everstyle w/Integrated Pull 14 Deep Divided Basket, 36" W, Matte Aluminum w Winter</t>
  </si>
  <si>
    <t>Everstyle w/Integrated Pull 14 Deep Divided Basket, 36" W, Gold w Oyster</t>
  </si>
  <si>
    <t>Everstyle w/Integrated Pull 14 Deep Divided Basket, 36" W, Gold w Pewter</t>
  </si>
  <si>
    <t>Everstyle w/Integrated Pull 14 Deep Divided Basket, 36" W, Gold w Winter</t>
  </si>
  <si>
    <t>Everstyle w/Integrated Pull 14 Deep Divided Basket, 36" W, Graphite w Oyster</t>
  </si>
  <si>
    <t>Everstyle w/Integrated Pull 14 Deep Divided Basket, 36" W, Graphite w Pewter</t>
  </si>
  <si>
    <t>Everstyle w/Integrated Pull 14 Deep Divided Basket, 36" W, Graphite w Winter</t>
  </si>
  <si>
    <t>Everstyle w/Integrated Pull 14 Hanging Pant &amp; Linen Drawer, 18" W, Matte Aluminum</t>
  </si>
  <si>
    <t>Everstyle w/Integrated Pull 14 Hanging Pant &amp; Linen Drawer, 18" W, Gold</t>
  </si>
  <si>
    <t>Everstyle w/Integrated Pull 14 Hanging Pant &amp; Linen Drawer, 18" W, Graphite</t>
  </si>
  <si>
    <t>Everstyle w/Integrated Pull 14 Hanging Pant &amp; Linen Drawer, 24" W, Matte Aluminum</t>
  </si>
  <si>
    <t>Everstyle w/Integrated Pull 14 Hanging Pant &amp; Linen Drawer, 24" W, Gold</t>
  </si>
  <si>
    <t>Everstyle w/Integrated Pull 14 Hanging Pant &amp; Linen Drawer, 24" W, Graphite</t>
  </si>
  <si>
    <t>Everstyle w/Integrated Pull 14 Hanging Pant &amp; Linen Drawer, 30" W, Matte Aluminum</t>
  </si>
  <si>
    <t>Everstyle w/Integrated Pull 14 Hanging Pant &amp; Linen Drawer, 30" W, Gold</t>
  </si>
  <si>
    <t>Everstyle w/Integrated Pull 14 Hanging Pant &amp; Linen Drawer, 30" W, Graphite</t>
  </si>
  <si>
    <t>Everstyle w/Integrated Pull 14 Hanging Pant &amp; Linen Drawer, 36" W, Matte Aluminum</t>
  </si>
  <si>
    <t>Everstyle w/Integrated Pull 14 Hanging Pant &amp; Linen Drawer, 36" W, Gold</t>
  </si>
  <si>
    <t>Everstyle w/Integrated Pull 14 Hanging Pant &amp; Linen Drawer, 36" W, Graphite</t>
  </si>
  <si>
    <t>Everstyle w/Integrated Pull 20 Sock Drawer, 18" W, Matte Aluminum w Oyster</t>
  </si>
  <si>
    <t>Everstyle w/Integrated Pull 20 Sock Drawer, 18" W, Matte Aluminum w Pewter</t>
  </si>
  <si>
    <t>Everstyle w/Integrated Pull 20 Sock Drawer, 18" W, Matte Aluminum w Winter</t>
  </si>
  <si>
    <t>Everstyle w/Integrated Pull 20 Sock Drawer, 18" W, Gold w Oyster</t>
  </si>
  <si>
    <t>Everstyle w/Integrated Pull 20 Sock Drawer, 18" W, Gold w Pewter</t>
  </si>
  <si>
    <t>Everstyle w/Integrated Pull 20 Sock Drawer, 18" W, Gold w Winter</t>
  </si>
  <si>
    <t>Everstyle w/Integrated Pull 20 Sock Drawer, 18" W, Graphite w Oyster</t>
  </si>
  <si>
    <t>Everstyle w/Integrated Pull 20 Sock Drawer, 18" W, Graphite w Pewter</t>
  </si>
  <si>
    <t>Everstyle w/Integrated Pull 20 Sock Drawer, 18" W, Graphite w Winter</t>
  </si>
  <si>
    <t>Everstyle w/Integrated Pull 20 Sock Drawer, 24" W, Matte Aluminum w Oyster</t>
  </si>
  <si>
    <t>Everstyle w/Integrated Pull 20 Sock Drawer, 24" W, Matte Aluminum w Pewter</t>
  </si>
  <si>
    <t>Everstyle w/Integrated Pull 20 Sock Drawer, 24" W, Matte Aluminum w Winter</t>
  </si>
  <si>
    <t>Everstyle w/Integrated Pull 20 Sock Drawer, 24" W, Gold w Oyster</t>
  </si>
  <si>
    <t>Everstyle w/Integrated Pull 20 Sock Drawer, 24" W, Gold w Pewter</t>
  </si>
  <si>
    <t>Everstyle w/Integrated Pull 20 Sock Drawer, 24" W, Gold w Winter</t>
  </si>
  <si>
    <t>Everstyle w/Integrated Pull 20 Sock Drawer, 24" W, Graphite w Oyster</t>
  </si>
  <si>
    <t>Everstyle w/Integrated Pull 20 Sock Drawer, 24" W, Graphite w Pewter</t>
  </si>
  <si>
    <t>Everstyle w/Integrated Pull 20 Sock Drawer, 24" W, Graphite w Winter</t>
  </si>
  <si>
    <t>Everstyle w/Integrated Pull 20 Sock Drawer, 30" W, Matte Aluminum w Oyster</t>
  </si>
  <si>
    <t>Everstyle w/Integrated Pull 20 Sock Drawer, 30" W, Matte Aluminum w Pewter</t>
  </si>
  <si>
    <t>Everstyle w/Integrated Pull 20 Sock Drawer, 30" W, Matte Aluminum w Winter</t>
  </si>
  <si>
    <t>Everstyle w/Integrated Pull 20 Sock Drawer, 30" W, Gold w Oyster</t>
  </si>
  <si>
    <t>Everstyle w/Integrated Pull 20 Sock Drawer, 30" W, Gold w Pewter</t>
  </si>
  <si>
    <t>Everstyle w/Integrated Pull 20 Sock Drawer, 30" W, Gold w Winter</t>
  </si>
  <si>
    <t>Everstyle w/Integrated Pull 20 Sock Drawer, 30" W, Graphite w Oyster</t>
  </si>
  <si>
    <t>Everstyle w/Integrated Pull 20 Sock Drawer, 30" W, Graphite w Pewter</t>
  </si>
  <si>
    <t>Everstyle w/Integrated Pull 20 Sock Drawer, 30" W, Graphite w Winter</t>
  </si>
  <si>
    <t>Everstyle w/Integrated Pull 20 Sock Drawer, 36" W, Matte Aluminum w Oyster</t>
  </si>
  <si>
    <t>Everstyle w/Integrated Pull 20 Sock Drawer, 36" W, Matte Aluminum w Pewter</t>
  </si>
  <si>
    <t>Everstyle w/Integrated Pull 20 Sock Drawer, 36" W, Matte Aluminum w Winter</t>
  </si>
  <si>
    <t>Everstyle w/Integrated Pull 20 Sock Drawer, 36" W, Gold w Oyster</t>
  </si>
  <si>
    <t>Everstyle w/Integrated Pull 20 Sock Drawer, 36" W, Gold w Pewter</t>
  </si>
  <si>
    <t>Everstyle w/Integrated Pull 20 Sock Drawer, 36" W, Gold w Winter</t>
  </si>
  <si>
    <t>Everstyle w/Integrated Pull 20 Sock Drawer, 36" W, Graphite w Oyster</t>
  </si>
  <si>
    <t>Everstyle w/Integrated Pull 20 Sock Drawer, 36" W, Graphite w Pewter</t>
  </si>
  <si>
    <t>Everstyle w/Integrated Pull 20 Sock Drawer, 36" W, Graphite w Winter</t>
  </si>
  <si>
    <t>Everstyle w/Integrated Pull 20 Shirt Drawer, 18" W, Matte Aluminum w Oyster</t>
  </si>
  <si>
    <t>Everstyle w/Integrated Pull 20 Shirt Drawer, 18" W, Matte Aluminum w Pewter</t>
  </si>
  <si>
    <t>Everstyle w/Integrated Pull 20 Shirt Drawer, 18" W, Matte Aluminum w Winter</t>
  </si>
  <si>
    <t>Everstyle w/Integrated Pull 20 Shirt Drawer, 18" W, Gold w Oyster</t>
  </si>
  <si>
    <t>Everstyle w/Integrated Pull 20 Shirt Drawer, 18" W, Gold w Pewter</t>
  </si>
  <si>
    <t>Everstyle w/Integrated Pull 20 Shirt Drawer, 18" W, Gold w Winter</t>
  </si>
  <si>
    <t>Everstyle w/Integrated Pull 20 Shirt Drawer, 18" W, Graphite w Oyster</t>
  </si>
  <si>
    <t>Everstyle w/Integrated Pull 20 Shirt Drawer, 18" W, Graphite w Pewter</t>
  </si>
  <si>
    <t>Everstyle w/Integrated Pull 20 Shirt Drawer, 18" W, Graphite w Winter</t>
  </si>
  <si>
    <t>Everstyle w/Integrated Pull 20 Shirt Drawer, 24" W, Matte Aluminum w Oyster</t>
  </si>
  <si>
    <t>Everstyle w/Integrated Pull 20 Shirt Drawer, 24" W, Matte Aluminum w Pewter</t>
  </si>
  <si>
    <t>Everstyle w/Integrated Pull 20 Shirt Drawer, 24" W, Matte Aluminum w Winter</t>
  </si>
  <si>
    <t>Everstyle w/Integrated Pull 20 Shirt Drawer, 24" W, Gold w Oyster</t>
  </si>
  <si>
    <t>Everstyle w/Integrated Pull 20 Shirt Drawer, 24" W, Gold w Pewter</t>
  </si>
  <si>
    <t>Everstyle w/Integrated Pull 20 Shirt Drawer, 24" W, Gold w Winter</t>
  </si>
  <si>
    <t>Everstyle w/Integrated Pull 20 Shirt Drawer, 24" W, Graphite w Oyster</t>
  </si>
  <si>
    <t>Everstyle w/Integrated Pull 20 Shirt Drawer, 24" W, Graphite w Pewter</t>
  </si>
  <si>
    <t>Everstyle w/Integrated Pull 20 Shirt Drawer, 24" W, Graphite w Winter</t>
  </si>
  <si>
    <t>Everstyle w/Integrated Pull 20 Shirt Drawer, 30" W, Matte Aluminum w Oyster</t>
  </si>
  <si>
    <t>Everstyle w/Integrated Pull 20 Shirt Drawer, 30" W, Matte Aluminum w Pewter</t>
  </si>
  <si>
    <t>Everstyle w/Integrated Pull 20 Shirt Drawer, 30" W, Matte Aluminum w Winter</t>
  </si>
  <si>
    <t>Everstyle w/Integrated Pull 20 Shirt Drawer, 30" W, Gold w Oyster</t>
  </si>
  <si>
    <t>Everstyle w/Integrated Pull 20 Shirt Drawer, 30" W, Gold w Pewter</t>
  </si>
  <si>
    <t>Everstyle w/Integrated Pull 20 Shirt Drawer, 30" W, Gold w Winter</t>
  </si>
  <si>
    <t>Everstyle w/Integrated Pull 20 Shirt Drawer, 30" W, Graphite w Oyster</t>
  </si>
  <si>
    <t>Everstyle w/Integrated Pull 20 Shirt Drawer, 30" W, Graphite w Pewter</t>
  </si>
  <si>
    <t>Everstyle w/Integrated Pull 20 Shirt Drawer, 30" W, Graphite w Winter</t>
  </si>
  <si>
    <t>Everstyle w/Integrated Pull 20 Shirt Drawer, 36" W, Matte Aluminum w Oyster</t>
  </si>
  <si>
    <t>Everstyle w/Integrated Pull 20 Shirt Drawer, 36" W, Matte Aluminum w Pewter</t>
  </si>
  <si>
    <t>Everstyle w/Integrated Pull 20 Shirt Drawer, 36" W, Matte Aluminum w Winter</t>
  </si>
  <si>
    <t>Everstyle w/Integrated Pull 20 Shirt Drawer, 36" W, Gold w Oyster</t>
  </si>
  <si>
    <t>Everstyle w/Integrated Pull 20 Shirt Drawer, 36" W, Gold w Pewter</t>
  </si>
  <si>
    <t>Everstyle w/Integrated Pull 20 Shirt Drawer, 36" W, Gold w Winter</t>
  </si>
  <si>
    <t>Everstyle w/Integrated Pull 20 Shirt Drawer, 36" W, Graphite w Oyster</t>
  </si>
  <si>
    <t>Everstyle w/Integrated Pull 20 Shirt Drawer, 36" W, Graphite w Pewter</t>
  </si>
  <si>
    <t>Everstyle w/Integrated Pull 20 Shirt Drawer, 36" W, Graphite w Winter</t>
  </si>
  <si>
    <t>Everstyle w/Integrated Pull 20 Versatile Drawer, 18" W, Matte Aluminum w Oyster</t>
  </si>
  <si>
    <t>Everstyle w/Integrated Pull 20 Versatile Drawer, 18" W, Matte Aluminum w Pewter</t>
  </si>
  <si>
    <t>Everstyle w/Integrated Pull 20 Versatile Drawer, 18" W, Matte Aluminum w Winter</t>
  </si>
  <si>
    <t>Everstyle w/Integrated Pull 20 Versatile Drawer, 18" W, Gold w Oyster</t>
  </si>
  <si>
    <t>Everstyle w/Integrated Pull 20 Versatile Drawer, 18" W, Gold w Pewter</t>
  </si>
  <si>
    <t>Everstyle w/Integrated Pull 20 Versatile Drawer, 18" W, Gold w Winter</t>
  </si>
  <si>
    <t>Everstyle w/Integrated Pull 20 Versatile Drawer, 18" W, Graphite w Oyster</t>
  </si>
  <si>
    <t>Everstyle w/Integrated Pull 20 Versatile Drawer, 18" W, Graphite w Pewter</t>
  </si>
  <si>
    <t>Everstyle w/Integrated Pull 20 Versatile Drawer, 18" W, Graphite w Winter</t>
  </si>
  <si>
    <t>Everstyle w/Integrated Pull 20 Versatile Drawer, 24" W, Matte Aluminum w Oyster</t>
  </si>
  <si>
    <t>Everstyle w/Integrated Pull 20 Versatile Drawer, 24" W, Matte Aluminum w Pewter</t>
  </si>
  <si>
    <t>Everstyle w/Integrated Pull 20 Versatile Drawer, 24" W, Matte Aluminum w Winter</t>
  </si>
  <si>
    <t>Everstyle w/Integrated Pull 20 Versatile Drawer, 24" W, Gold w Oyster</t>
  </si>
  <si>
    <t>Everstyle w/Integrated Pull 20 Versatile Drawer, 24" W, Gold w Pewter</t>
  </si>
  <si>
    <t>Everstyle w/Integrated Pull 20 Versatile Drawer, 24" W, Gold w Winter</t>
  </si>
  <si>
    <t>Everstyle w/Integrated Pull 20 Versatile Drawer, 24" W, Graphite w Oyster</t>
  </si>
  <si>
    <t>Everstyle w/Integrated Pull 20 Versatile Drawer, 24" W, Graphite w Pewter</t>
  </si>
  <si>
    <t>Everstyle w/Integrated Pull 20 Versatile Drawer, 24" W, Graphite w Winter</t>
  </si>
  <si>
    <t>Everstyle w/Integrated Pull 20 Versatile Drawer, 30" W, Matte Aluminum w Oyster</t>
  </si>
  <si>
    <t>Everstyle w/Integrated Pull 20 Versatile Drawer, 30" W, Matte Aluminum w Pewter</t>
  </si>
  <si>
    <t>Everstyle w/Integrated Pull 20 Versatile Drawer, 30" W, Matte Aluminum w Winter</t>
  </si>
  <si>
    <t>Everstyle w/Integrated Pull 20 Versatile Drawer, 30" W, Gold w Oyster</t>
  </si>
  <si>
    <t>Everstyle w/Integrated Pull 20 Versatile Drawer, 30" W, Gold w Pewter</t>
  </si>
  <si>
    <t>Everstyle w/Integrated Pull 20 Versatile Drawer, 30" W, Gold w Winter</t>
  </si>
  <si>
    <t>Everstyle w/Integrated Pull 20 Versatile Drawer, 30" W, Graphite w Oyster</t>
  </si>
  <si>
    <t>Everstyle w/Integrated Pull 20 Versatile Drawer, 30" W, Graphite w Pewter</t>
  </si>
  <si>
    <t>Everstyle w/Integrated Pull 20 Versatile Drawer, 30" W, Graphite w Winter</t>
  </si>
  <si>
    <t>Everstyle w/Integrated Pull 20 Versatile Drawer, 36" W, Matte Aluminum w Oyster</t>
  </si>
  <si>
    <t>Everstyle w/Integrated Pull 20 Versatile Drawer, 36" W, Matte Aluminum w Pewter</t>
  </si>
  <si>
    <t>Everstyle w/Integrated Pull 20 Versatile Drawer, 36" W, Matte Aluminum w Winter</t>
  </si>
  <si>
    <t>Everstyle w/Integrated Pull 20 Versatile Drawer, 36" W, Gold w Oyster</t>
  </si>
  <si>
    <t>Everstyle w/Integrated Pull 20 Versatile Drawer, 36" W, Gold w Pewter</t>
  </si>
  <si>
    <t>Everstyle w/Integrated Pull 20 Versatile Drawer, 36" W, Gold w Winter</t>
  </si>
  <si>
    <t>Everstyle w/Integrated Pull 20 Versatile Drawer, 36" W, Graphite w Oyster</t>
  </si>
  <si>
    <t>Everstyle w/Integrated Pull 20 Versatile Drawer, 36" W, Graphite w Pewter</t>
  </si>
  <si>
    <t>Everstyle w/Integrated Pull 20 Versatile Drawer, 36" W, Graphite w Winter</t>
  </si>
  <si>
    <t>Everstyle w/Integrated Pull 20 Remote Drawer, 18" W, Matte Aluminum w Oyster</t>
  </si>
  <si>
    <t>Everstyle w/Integrated Pull 20 Remote Drawer, 18" W, Matte Aluminum w Pewter</t>
  </si>
  <si>
    <t>Everstyle w/Integrated Pull 20 Remote Drawer, 18" W, Matte Aluminum w Winter</t>
  </si>
  <si>
    <t>Everstyle w/Integrated Pull 20 Remote Drawer, 18" W, Gold w Oyster</t>
  </si>
  <si>
    <t>Everstyle w/Integrated Pull 20 Remote Drawer, 18" W, Gold w Pewter</t>
  </si>
  <si>
    <t>Everstyle w/Integrated Pull 20 Remote Drawer, 18" W, Gold w Winter</t>
  </si>
  <si>
    <t>Everstyle w/Integrated Pull 20 Remote Drawer, 18" W, Graphite w Oyster</t>
  </si>
  <si>
    <t>Everstyle w/Integrated Pull 20 Remote Drawer, 18" W, Graphite w Pewter</t>
  </si>
  <si>
    <t>Everstyle w/Integrated Pull 20 Remote Drawer, 18" W, Graphite w Winter</t>
  </si>
  <si>
    <t>Everstyle w/Integrated Pull 20 Remote Drawer, 24" W, Matte Aluminum w Oyster</t>
  </si>
  <si>
    <t>Everstyle w/Integrated Pull 20 Remote Drawer, 24" W, Matte Aluminum w Pewter</t>
  </si>
  <si>
    <t>Everstyle w/Integrated Pull 20 Remote Drawer, 24" W, Matte Aluminum w Winter</t>
  </si>
  <si>
    <t>Everstyle w/Integrated Pull 20 Remote Drawer, 24" W, Gold w Oyster</t>
  </si>
  <si>
    <t>Everstyle w/Integrated Pull 20 Remote Drawer, 24" W, Gold w Pewter</t>
  </si>
  <si>
    <t>Everstyle w/Integrated Pull 20 Remote Drawer, 24" W, Gold w Winter</t>
  </si>
  <si>
    <t>Everstyle w/Integrated Pull 20 Remote Drawer, 24" W, Graphite w Oyster</t>
  </si>
  <si>
    <t>Everstyle w/Integrated Pull 20 Remote Drawer, 24" W, Graphite w Pewter</t>
  </si>
  <si>
    <t>Everstyle w/Integrated Pull 20 Remote Drawer, 24" W, Graphite w Winter</t>
  </si>
  <si>
    <t>Everstyle w/Integrated Pull 20 Remote Drawer, 30" W, Matte Aluminum w Oyster</t>
  </si>
  <si>
    <t>Everstyle w/Integrated Pull 20 Remote Drawer, 30" W, Matte Aluminum w Pewter</t>
  </si>
  <si>
    <t>Everstyle w/Integrated Pull 20 Remote Drawer, 30" W, Matte Aluminum w Winter</t>
  </si>
  <si>
    <t>Everstyle w/Integrated Pull 20 Remote Drawer, 30" W, Gold w Oyster</t>
  </si>
  <si>
    <t>Everstyle w/Integrated Pull 20 Remote Drawer, 30" W, Gold w Pewter</t>
  </si>
  <si>
    <t>Everstyle w/Integrated Pull 20 Remote Drawer, 30" W, Gold w Winter</t>
  </si>
  <si>
    <t>Everstyle w/Integrated Pull 20 Remote Drawer, 30" W, Graphite w Oyster</t>
  </si>
  <si>
    <t>Everstyle w/Integrated Pull 20 Remote Drawer, 30" W, Graphite w Pewter</t>
  </si>
  <si>
    <t>Everstyle w/Integrated Pull 20 Remote Drawer, 30" W, Graphite w Winter</t>
  </si>
  <si>
    <t>Everstyle w/Integrated Pull 20 Remote Drawer, 36" W, Matte Aluminum w Oyster</t>
  </si>
  <si>
    <t>Everstyle w/Integrated Pull 20 Remote Drawer, 36" W, Matte Aluminum w Pewter</t>
  </si>
  <si>
    <t>Everstyle w/Integrated Pull 20 Remote Drawer, 36" W, Matte Aluminum w Winter</t>
  </si>
  <si>
    <t>Everstyle w/Integrated Pull 20 Remote Drawer, 36" W, Gold w Oyster</t>
  </si>
  <si>
    <t>Everstyle w/Integrated Pull 20 Remote Drawer, 36" W, Gold w Pewter</t>
  </si>
  <si>
    <t>Everstyle w/Integrated Pull 20 Remote Drawer, 36" W, Gold w Winter</t>
  </si>
  <si>
    <t>Everstyle w/Integrated Pull 20 Remote Drawer, 36" W, Graphite w Oyster</t>
  </si>
  <si>
    <t>Everstyle w/Integrated Pull 20 Remote Drawer, 36" W, Graphite w Pewter</t>
  </si>
  <si>
    <t>Everstyle w/Integrated Pull 20 Remote Drawer, 36" W, Graphite w Winter</t>
  </si>
  <si>
    <t>Everstyle w/Integrated Pull 20 Shoe Drawer, 18" W, Matte Aluminum w Oyster</t>
  </si>
  <si>
    <t>Everstyle w/Integrated Pull 20 Shoe Drawer , 18" W, Matte Aluminum w Pewter</t>
  </si>
  <si>
    <t>Everstyle w/Integrated Pull 20 Shoe Drawer , 18" W, Matte Aluminum w Winter</t>
  </si>
  <si>
    <t>Everstyle w/Integrated Pull 20 Shoe Drawer, 18" W, Gold w Oyster</t>
  </si>
  <si>
    <t>Everstyle w/Integrated Pull 20 Shoe Drawer, 18" W, Gold w Pewter</t>
  </si>
  <si>
    <t>Everstyle w/Integrated Pull 20 Shoe Drawer, 18" W, Gold w Winter</t>
  </si>
  <si>
    <t>Everstyle w/Integrated Pull 20 Shoe Drawer, 18" W, Graphite w Oyster</t>
  </si>
  <si>
    <t>Everstyle w/Integrated Pull 20 Shoe Drawer , 18" W, Graphite w Pewter</t>
  </si>
  <si>
    <t>Everstyle w/Integrated Pull 20 Shoe Drawer , 18" W, Graphite w Winter</t>
  </si>
  <si>
    <t>Everstyle w/Integrated Pull 20 Shoe Drawer, 24" W, Matte Aluminum w Oyster</t>
  </si>
  <si>
    <t>Everstyle w/Integrated Pull 20 Shoe Drawer , 24" W, Matte Aluminum w Pewter</t>
  </si>
  <si>
    <t>Everstyle w/Integrated Pull 20 Shoe Drawer , 24" W, Matte Aluminum w Winter</t>
  </si>
  <si>
    <t>Everstyle w/Integrated Pull 20 Shoe Drawer, 24" W, Gold w Oyster</t>
  </si>
  <si>
    <t>Everstyle w/Integrated Pull 20 Shoe Drawer, 24" W, Gold w Pewter</t>
  </si>
  <si>
    <t>Everstyle w/Integrated Pull 20 Shoe Drawer, 24" W, Gold w Winter</t>
  </si>
  <si>
    <t>Everstyle w/Integrated Pull 20 Shoe Drawer, 24" W, Graphite w Oyster</t>
  </si>
  <si>
    <t>Everstyle w/Integrated Pull 20 Shoe Drawer , 24" W, Graphite w Pewter</t>
  </si>
  <si>
    <t>Everstyle w/Integrated Pull 20 Shoe Drawer , 24" W, Graphite w Winter</t>
  </si>
  <si>
    <t>Everstyle w/Integrated Pull 20 Shoe Drawer, 30" W, Matte Aluminum w Oyster</t>
  </si>
  <si>
    <t>Everstyle w/Integrated Pull 20 Shoe Drawer , 30" W, Matte Aluminum w Pewter</t>
  </si>
  <si>
    <t>Everstyle w/Integrated Pull 20 Shoe Drawer , 30" W, Matte Aluminum w Winter</t>
  </si>
  <si>
    <t>Everstyle w/Integrated Pull 20 Shoe Drawer, 30" W, Gold w Oyster</t>
  </si>
  <si>
    <t>Everstyle w/Integrated Pull 20 Shoe Drawer, 30" W, Gold w Pewter</t>
  </si>
  <si>
    <t>Everstyle w/Integrated Pull 20 Shoe Drawer, 30" W, Gold w Winter</t>
  </si>
  <si>
    <t>Everstyle w/Integrated Pull 20 Shoe Drawer, 30" W, Graphite w Oyster</t>
  </si>
  <si>
    <t>Everstyle w/Integrated Pull 20 Shoe Drawer , 30" W, Graphite w Pewter</t>
  </si>
  <si>
    <t>Everstyle w/Integrated Pull 20 Shoe Drawer , 30" W, Graphite w Winter</t>
  </si>
  <si>
    <t>Everstyle w/Integrated Pull 20 Shoe Drawer, 36" W, Matte Aluminum w Oyster</t>
  </si>
  <si>
    <t>Everstyle w/Integrated Pull 20 Shoe Drawer , 36" W, Matte Aluminum w Pewter</t>
  </si>
  <si>
    <t>Everstyle w/Integrated Pull 20 Shoe Drawer , 36" W, Matte Aluminum w Winter</t>
  </si>
  <si>
    <t>Everstyle w/Integrated Pull 20 Shoe Drawer, 36" W, Gold w Oyster</t>
  </si>
  <si>
    <t>Everstyle w/Integrated Pull 20 Shoe Drawer, 36" W, Gold w Pewter</t>
  </si>
  <si>
    <t>Everstyle w/Integrated Pull 20 Shoe Drawer, 36" W, Gold w Winter</t>
  </si>
  <si>
    <t>Everstyle w/Integrated Pull 20 Shoe Drawer, 36" W, Graphite w Oyster</t>
  </si>
  <si>
    <t>Everstyle w/Integrated Pull 20 Shoe Drawer , 36" W, Graphite w Pewter</t>
  </si>
  <si>
    <t>Everstyle w/Integrated Pull 20 Shoe Drawer , 36" W, Graphite w Winter</t>
  </si>
  <si>
    <t>Everstyle w/Integrated Pull 20 Tie &amp; Belt Drawer, 18" W, Matte Aluminum w Oyster</t>
  </si>
  <si>
    <t>Everstyle w/Integrated Pull 20 Tie &amp; Belt Drawer, 18" W, Matte Aluminum w Pewter</t>
  </si>
  <si>
    <t>Everstyle w/Integrated Pull 20 Tie &amp; Belt Drawer, 18" W, Matte Aluminum w Winter</t>
  </si>
  <si>
    <t>Everstyle w/Integrated Pull 20 Tie &amp; Belt Drawer, 18" W, Gold w Oyster</t>
  </si>
  <si>
    <t>Everstyle w/Integrated Pull 20 Tie &amp; Belt Drawer, 18" W, Gold w Pewter</t>
  </si>
  <si>
    <t>Everstyle w/Integrated Pull 20 Tie &amp; Belt Drawer, 18" W, Gold w Winter</t>
  </si>
  <si>
    <t>Everstyle w/Integrated Pull 20 Tie &amp; Belt Drawer, 18" W, Graphite w Oyster</t>
  </si>
  <si>
    <t>Everstyle w/Integrated Pull 20 Tie &amp; Belt Drawer, 18" W, Graphite w Pewter</t>
  </si>
  <si>
    <t>Everstyle w/Integrated Pull 20 Tie &amp; Belt Drawer, 18" W, Graphite w Winter</t>
  </si>
  <si>
    <t>Everstyle w/Integrated Pull 20 Tie &amp; Belt Drawer, 24" W, Matte Aluminum w Oyster</t>
  </si>
  <si>
    <t>Everstyle w/Integrated Pull 20 Tie &amp; Belt Drawer, 24" W, Matte Aluminum w Pewter</t>
  </si>
  <si>
    <t>Everstyle w/Integrated Pull 20 Tie &amp; Belt Drawer, 24" W, Matte Aluminum w Winter</t>
  </si>
  <si>
    <t>Everstyle w/Integrated Pull 20 Tie &amp; Belt Drawer, 24" W, Gold w Oyster</t>
  </si>
  <si>
    <t>Everstyle w/Integrated Pull 20 Tie &amp; Belt Drawer, 24" W, Gold w Pewter</t>
  </si>
  <si>
    <t>Everstyle w/Integrated Pull 20 Tie &amp; Belt Drawer, 24" W, Gold w Winter</t>
  </si>
  <si>
    <t>Everstyle w/Integrated Pull 20 Tie &amp; Belt Drawer, 24" W, Graphite w Oyster</t>
  </si>
  <si>
    <t>Everstyle w/Integrated Pull 20 Tie &amp; Belt Drawer, 24" W, Graphite w Pewter</t>
  </si>
  <si>
    <t>Everstyle w/Integrated Pull 20 Tie &amp; Belt Drawer, 24" W, Graphite w Winter</t>
  </si>
  <si>
    <t>Everstyle w/Integrated Pull 20 Tie &amp; Belt Drawer, 30" W, Matte Aluminum w Oyster</t>
  </si>
  <si>
    <t>Everstyle w/Integrated Pull 20 Tie &amp; Belt Drawer, 30" W, Matte Aluminum w Pewter</t>
  </si>
  <si>
    <t>Everstyle w/Integrated Pull 20 Tie &amp; Belt Drawer, 30" W, Matte Aluminum w Winter</t>
  </si>
  <si>
    <t>Everstyle w/Integrated Pull 20 Tie &amp; Belt Drawer, 30" W, Gold w Oyster</t>
  </si>
  <si>
    <t>Everstyle w/Integrated Pull 20 Tie &amp; Belt Drawer, 30" W, Gold w Pewter</t>
  </si>
  <si>
    <t>Everstyle w/Integrated Pull 20 Tie &amp; Belt Drawer, 30" W, Gold w Winter</t>
  </si>
  <si>
    <t>Everstyle w/Integrated Pull 20 Tie &amp; Belt Drawer, 30" W, Graphite w Oyster</t>
  </si>
  <si>
    <t>Everstyle w/Integrated Pull 20 Tie &amp; Belt Drawer, 30" W, Graphite w Pewter</t>
  </si>
  <si>
    <t>Everstyle w/Integrated Pull 20 Tie &amp; Belt Drawer, 30" W, Graphite w Winter</t>
  </si>
  <si>
    <t>Everstyle w/Integrated Pull 20 Tie &amp; Belt Drawer, 36" W, Matte Aluminum w Oyster</t>
  </si>
  <si>
    <t>Everstyle w/Integrated Pull 20 Tie &amp; Belt Drawer, 36" W, Matte Aluminum w Pewter</t>
  </si>
  <si>
    <t>Everstyle w/Integrated Pull 20 Tie &amp; Belt Drawer, 36" W, Matte Aluminum w Winter</t>
  </si>
  <si>
    <t>Everstyle w/Integrated Pull 20 Tie &amp; Belt Drawer, 36" W, Gold w Oyster</t>
  </si>
  <si>
    <t>Everstyle w/Integrated Pull 20 Tie &amp; Belt Drawer, 36" W, Gold w Pewter</t>
  </si>
  <si>
    <t>Everstyle w/Integrated Pull 20 Tie &amp; Belt Drawer, 36" W, Gold w Winter</t>
  </si>
  <si>
    <t>Everstyle w/Integrated Pull 20 Tie &amp; Belt Drawer, 36" W, Graphite w Oyster</t>
  </si>
  <si>
    <t>Everstyle w/Integrated Pull 20 Tie &amp; Belt Drawer, 36" W, Graphite w Pewter</t>
  </si>
  <si>
    <t>Everstyle w/Integrated Pull 20 Tie &amp; Belt Drawer, 36" W, Graphite w Winter</t>
  </si>
  <si>
    <t>Everstyle w/Integrated Pull 20 Jewelry Drawer, 18" W, Matte Aluminum w Oyster</t>
  </si>
  <si>
    <t>Everstyle w/Integrated Pull 20 Jewelry Drawer, 18" W, Matte Aluminum w Pewter</t>
  </si>
  <si>
    <t>Everstyle w/Integrated Pull 20 Jewelry Drawer, 18" W, Matte Aluminum w Winter</t>
  </si>
  <si>
    <t>Everstyle w/Integrated Pull 20 Jewelry Drawer, 18" W, Gold w Oyster</t>
  </si>
  <si>
    <t>Everstyle w/Integrated Pull 20 Jewelry Drawer, 18" W, Gold w Pewter</t>
  </si>
  <si>
    <t>Everstyle w/Integrated Pull 20 Jewelry Drawer, 18" W, Gold w Winter</t>
  </si>
  <si>
    <t>Everstyle w/Integrated Pull 20 Jewelry Drawer, 18" W, Graphite w Oyster</t>
  </si>
  <si>
    <t>Everstyle w/Integrated Pull 20 Jewelry Drawer, 18" W, Graphite w Pewter</t>
  </si>
  <si>
    <t>Everstyle w/Integrated Pull 20 Jewelry Drawer, 18" W, Graphite w Winter</t>
  </si>
  <si>
    <t>Everstyle w/Integrated Pull 20 Jewelry Drawer, 24" W, Matte Aluminum w Oyster</t>
  </si>
  <si>
    <t>Everstyle w/Integrated Pull 20 Jewelry Drawer, 24" W, Matte Aluminum w Pewter</t>
  </si>
  <si>
    <t>Everstyle w/Integrated Pull 20 Jewelry Drawer, 24" W, Matte Aluminum w Winter</t>
  </si>
  <si>
    <t>Everstyle w/Integrated Pull 20 Jewelry Drawer, 24" W, Gold w Oyster</t>
  </si>
  <si>
    <t>Everstyle w/Integrated Pull 20 Jewelry Drawer, 24" W, Gold w Pewter</t>
  </si>
  <si>
    <t>Everstyle w/Integrated Pull 20 Jewelry Drawer, 24" W, Gold w Winter</t>
  </si>
  <si>
    <t>Everstyle w/Integrated Pull 20 Jewelry Drawer, 24" W, Graphite w Oyster</t>
  </si>
  <si>
    <t>Everstyle w/Integrated Pull 20 Jewelry Drawer, 24" W, Graphite w Pewter</t>
  </si>
  <si>
    <t>Everstyle w/Integrated Pull 20 Jewelry Drawer, 24" W, Graphite w Winter</t>
  </si>
  <si>
    <t>Everstyle w/Integrated Pull 20 Jewelry Drawer, 30" W, Matte Aluminum w Oyster</t>
  </si>
  <si>
    <t>Everstyle w/Integrated Pull 20 Jewelry Drawer, 30" W, Matte Aluminum w Pewter</t>
  </si>
  <si>
    <t>Everstyle w/Integrated Pull 20 Jewelry Drawer, 30" W, Matte Aluminum w Winter</t>
  </si>
  <si>
    <t>Everstyle w/Integrated Pull 20 Jewelry Drawer, 30" W, Gold w Oyster</t>
  </si>
  <si>
    <t>Everstyle w/Integrated Pull 20 Jewelry Drawer, 30" W, Gold w Pewter</t>
  </si>
  <si>
    <t>Everstyle w/Integrated Pull 20 Jewelry Drawer, 30" W, Gold w Winter</t>
  </si>
  <si>
    <t>Everstyle w/Integrated Pull 20 Jewelry Drawer, 30" W, Graphite w Oyster</t>
  </si>
  <si>
    <t>Everstyle w/Integrated Pull 20 Jewelry Drawer, 30" W, Graphite w Pewter</t>
  </si>
  <si>
    <t>Everstyle w/Integrated Pull 20 Jewelry Drawer, 30" W, Graphite w Winter</t>
  </si>
  <si>
    <t>Everstyle w/Integrated Pull 20 Jewelry Drawer, 36" W, Matte Aluminum w Oyster</t>
  </si>
  <si>
    <t>Everstyle w/Integrated Pull 20 Jewelry Drawer, 36" W, Matte Aluminum w Pewter</t>
  </si>
  <si>
    <t>Everstyle w/Integrated Pull 20 Jewelry Drawer, 36" W, Matte Aluminum w Winter</t>
  </si>
  <si>
    <t>Everstyle w/Integrated Pull 20 Jewelry Drawer, 36" W, Gold w Oyster</t>
  </si>
  <si>
    <t>Everstyle w/Integrated Pull 20 Jewelry Drawer, 36" W, Gold w Pewter</t>
  </si>
  <si>
    <t>Everstyle w/Integrated Pull 20 Jewelry Drawer, 36" W, Gold w Winter</t>
  </si>
  <si>
    <t>Everstyle w/Integrated Pull 20 Jewelry Drawer, 36" W, Graphite w Oyster</t>
  </si>
  <si>
    <t>Everstyle w/Integrated Pull 20 Jewelry Drawer, 36" W, Graphite w Pewter</t>
  </si>
  <si>
    <t>Everstyle w/Integrated Pull 20 Jewelry Drawer, 36" W, Graphite w Winter</t>
  </si>
  <si>
    <t>Everstyle w/Integrated Pull 20 Sunglasses Drawer, 18" W, Matte Aluminum w Oyster</t>
  </si>
  <si>
    <t>Everstyle w/Integrated Pull 20 Sunglasses Drawer, 18" W, Matte Aluminum w Pewter</t>
  </si>
  <si>
    <t>Everstyle w/Integrated Pull 20 Sunglasses Drawer, 18" W, Matte Aluminum w Winter</t>
  </si>
  <si>
    <t>Everstyle w/Integrated Pull 20 Sunglasses Drawer, 18" W, Gold w Oyster</t>
  </si>
  <si>
    <t>Everstyle w/Integrated Pull 20 Sunglasses Drawer, 18" W, Gold w Pewter</t>
  </si>
  <si>
    <t>Everstyle w/Integrated Pull 20 Sunglasses Drawer, 18" W, Gold w Winter</t>
  </si>
  <si>
    <t>Everstyle w/Integrated Pull 20 Sunglasses Drawer, 18" W, Graphite w Oyster</t>
  </si>
  <si>
    <t>Everstyle w/Integrated Pull 20 Sunglasses Drawer, 18" W, Graphite w Pewter</t>
  </si>
  <si>
    <t>Everstyle w/Integrated Pull 20 Sunglasses Drawer, 18" W, Graphite w Winter</t>
  </si>
  <si>
    <t>Everstyle w/Integrated Pull 20 Sunglasses Drawer, 24" W, Matte Aluminum w Oyster</t>
  </si>
  <si>
    <t>Everstyle w/Integrated Pull 20 Sunglasses Drawer, 24" W, Matte Aluminum w Pewter</t>
  </si>
  <si>
    <t>Everstyle w/Integrated Pull 20 Sunglasses Drawer, 24" W, Matte Aluminum w Winter</t>
  </si>
  <si>
    <t>Everstyle w/Integrated Pull 20 Sunglasses Drawer, 24" W, Gold w Oyster</t>
  </si>
  <si>
    <t>Everstyle w/Integrated Pull 20 Sunglasses Drawer, 24" W, Gold w Pewter</t>
  </si>
  <si>
    <t>Everstyle w/Integrated Pull 20 Sunglasses Drawer, 24" W, Gold w Winter</t>
  </si>
  <si>
    <t>Everstyle w/Integrated Pull 20 Sunglasses Drawer, 24" W, Graphite w Oyster</t>
  </si>
  <si>
    <t>Everstyle w/Integrated Pull 20 Sunglasses Drawer, 24" W, Graphite w Pewter</t>
  </si>
  <si>
    <t>Everstyle w/Integrated Pull 20 Sunglasses Drawer, 24" W, Graphite w Winter</t>
  </si>
  <si>
    <t>Everstyle w/Integrated Pull 20 Sunglasses Drawer, 30" W, Matte Aluminum w Oyster</t>
  </si>
  <si>
    <t>Everstyle w/Integrated Pull 20 Sunglasses Drawer, 30" W, Matte Aluminum w Pewter</t>
  </si>
  <si>
    <t>Everstyle w/Integrated Pull 20 Sunglasses Drawer, 30" W, Matte Aluminum w Winter</t>
  </si>
  <si>
    <t>Everstyle w/Integrated Pull 20 Sunglasses Drawer, 30" W, Gold w Oyster</t>
  </si>
  <si>
    <t>Everstyle w/Integrated Pull 20 Sunglasses Drawer, 30" W, Gold w Pewter</t>
  </si>
  <si>
    <t>Everstyle w/Integrated Pull 20 Sunglasses Drawer, 30" W, Gold w Winter</t>
  </si>
  <si>
    <t>Everstyle w/Integrated Pull 20 Sunglasses Drawer, 30" W, Graphite w Oyster</t>
  </si>
  <si>
    <t>Everstyle w/Integrated Pull 20 Sunglasses Drawer, 30" W, Graphite w Pewter</t>
  </si>
  <si>
    <t>Everstyle w/Integrated Pull 20 Sunglasses Drawer, 30" W, Graphite w Winter</t>
  </si>
  <si>
    <t>Everstyle w/Integrated Pull 20 Sunglasses Drawer, 36" W, Matte Aluminum w Oyster</t>
  </si>
  <si>
    <t>Everstyle w/Integrated Pull 20 Sunglasses Drawer, 36" W, Matte Aluminum w Pewter</t>
  </si>
  <si>
    <t>Everstyle w/Integrated Pull 20 Sunglasses Drawer, 36" W, Matte Aluminum w Winter</t>
  </si>
  <si>
    <t>Everstyle w/Integrated Pull 20 Sunglasses Drawer, 36" W, Gold w Oyster</t>
  </si>
  <si>
    <t>Everstyle w/Integrated Pull 20 Sunglasses Drawer, 36" W, Gold w Pewter</t>
  </si>
  <si>
    <t>Everstyle w/Integrated Pull 20 Sunglasses Drawer, 36" W, Gold w Winter</t>
  </si>
  <si>
    <t>Everstyle w/Integrated Pull 20 Sunglasses Drawer, 36" W, Graphite w Oyster</t>
  </si>
  <si>
    <t>Everstyle w/Integrated Pull 20 Sunglasses Drawer, 36" W, Graphite w Pewter</t>
  </si>
  <si>
    <t>Everstyle w/Integrated Pull 20 Sunglasses Drawer, 36" W, Graphite w Winter</t>
  </si>
  <si>
    <t>Everstyle w/Integrated Pull 20 Component Drawer, 18" W, Matte Aluminum w Oyster</t>
  </si>
  <si>
    <t>Everstyle w/Integrated Pull 20 Component Drawer, 18" W, Matte Aluminum w Pewter</t>
  </si>
  <si>
    <t>Everstyle w/Integrated Pull 20 Component Drawer, 18" W, Matte Aluminum w Winter</t>
  </si>
  <si>
    <t>Everstyle w/Integrated Pull 20 Component Drawer, 18" W, Gold w Oyster</t>
  </si>
  <si>
    <t>Everstyle w/Integrated Pull 20 Component Drawer, 18" W, Gold w Pewter</t>
  </si>
  <si>
    <t>Everstyle w/Integrated Pull 20 Component Drawer, 18" W, Gold w Winter</t>
  </si>
  <si>
    <t>Everstyle w/Integrated Pull 20 Component Drawer, 18" W, Graphite w Oyster</t>
  </si>
  <si>
    <t>Everstyle w/Integrated Pull 20 Component Drawer, 18" W, Graphite w Pewter</t>
  </si>
  <si>
    <t>Everstyle w/Integrated Pull 20 Component Drawer, 18" W, Graphite w Winter</t>
  </si>
  <si>
    <t>Everstyle w/Integrated Pull 20 Component Drawer, 24" W, Matte Aluminum w Oyster</t>
  </si>
  <si>
    <t>Everstyle w/Integrated Pull 20 Component Drawer, 24" W, Matte Aluminum w Pewter</t>
  </si>
  <si>
    <t>Everstyle w/Integrated Pull 20 Component Drawer, 24" W, Matte Aluminum w Winter</t>
  </si>
  <si>
    <t>Everstyle w/Integrated Pull 20 Component Drawer, 24" W, Gold w Oyster</t>
  </si>
  <si>
    <t>Everstyle w/Integrated Pull 20 Component Drawer, 24" W, Gold w Pewter</t>
  </si>
  <si>
    <t>Everstyle w/Integrated Pull 20 Component Drawer, 24" W, Gold w Winter</t>
  </si>
  <si>
    <t>Everstyle w/Integrated Pull 20 Component Drawer, 24" W, Graphite w Oyster</t>
  </si>
  <si>
    <t>Everstyle w/Integrated Pull 20 Component Drawer, 24" W, Graphite w Pewter</t>
  </si>
  <si>
    <t>Everstyle w/Integrated Pull 20 Component Drawer, 24" W, Graphite w Winter</t>
  </si>
  <si>
    <t>Everstyle w/Integrated Pull 20 Component Drawer, 30" W, Matte Aluminum w Oyster</t>
  </si>
  <si>
    <t>Everstyle w/Integrated Pull 20 Component Drawer, 30" W, Matte Aluminum w Pewter</t>
  </si>
  <si>
    <t>Everstyle w/Integrated Pull 20 Component Drawer, 30" W, Matte Aluminum w Winter</t>
  </si>
  <si>
    <t>Everstyle w/Integrated Pull 20 Component Drawer, 30" W, Gold w Oyster</t>
  </si>
  <si>
    <t>Everstyle w/Integrated Pull 20 Component Drawer, 30" W, Gold w Pewter</t>
  </si>
  <si>
    <t>Everstyle w/Integrated Pull 20 Component Drawer, 30" W, Gold w Winter</t>
  </si>
  <si>
    <t>Everstyle w/Integrated Pull 20 Component Drawer, 30" W, Graphite w Oyster</t>
  </si>
  <si>
    <t>Everstyle w/Integrated Pull 20 Component Drawer, 30" W, Graphite w Pewter</t>
  </si>
  <si>
    <t>Everstyle w/Integrated Pull 20 Component Drawer, 30" W, Graphite w Winter</t>
  </si>
  <si>
    <t>Everstyle w/Integrated Pull 20 Component Drawer, 36" W, Matte Aluminum w Oyster</t>
  </si>
  <si>
    <t>Everstyle w/Integrated Pull 20 Component Drawer, 36" W, Matte Aluminum w Pewter</t>
  </si>
  <si>
    <t>Everstyle w/Integrated Pull 20 Component Drawer, 36" W, Matte Aluminum w Winter</t>
  </si>
  <si>
    <t>Everstyle w/Integrated Pull 20 Component Drawer, 36" W, Gold w Oyster</t>
  </si>
  <si>
    <t>Everstyle w/Integrated Pull 20 Component Drawer, 36" W, Gold w Pewter</t>
  </si>
  <si>
    <t>Everstyle w/Integrated Pull 20 Component Drawer, 36" W, Gold w Winter</t>
  </si>
  <si>
    <t>Everstyle w/Integrated Pull 20 Component Drawer, 36" W, Graphite w Oyster</t>
  </si>
  <si>
    <t>Everstyle w/Integrated Pull 20 Component Drawer, 36" W, Graphite w Pewter</t>
  </si>
  <si>
    <t>Everstyle w/Integrated Pull 20 Component Drawer, 36" W, Graphite w Winter</t>
  </si>
  <si>
    <t>Everstyle w/Integrated Pull 20 Divided Basket, 18" W, Matte Aluminum w Oyster</t>
  </si>
  <si>
    <t>Everstyle w/Integrated Pull 20 Divided Basket, 18" W, Matte Aluminum w Pewter</t>
  </si>
  <si>
    <t>Everstyle w/Integrated Pull 20 Divided Basket, 18" W, Matte Aluminum w Winter</t>
  </si>
  <si>
    <t>Everstyle w/Integrated Pull 20 Divided Basket, 18" W, Gold w Oyster</t>
  </si>
  <si>
    <t>Everstyle w/Integrated Pull 20 Divided Basket, 18" W, Gold w Pewter</t>
  </si>
  <si>
    <t>Everstyle w/Integrated Pull 20 Divided Basket, 18" W, Gold w Winter</t>
  </si>
  <si>
    <t>Everstyle w/Integrated Pull 20 Divided Basket, 18" W, Graphite w Oyster</t>
  </si>
  <si>
    <t>Everstyle w/Integrated Pull 20 Divided Basket, 18" W, Graphite w Pewter</t>
  </si>
  <si>
    <t>Everstyle w/Integrated Pull 20 Divided Basket, 18" W, Graphite w Winter</t>
  </si>
  <si>
    <t>Everstyle w/Integrated Pull 20 Divided Basket, 24" W, Matte Aluminum w Oyster</t>
  </si>
  <si>
    <t>Everstyle w/Integrated Pull 20 Divided Basket, 24" W, Matte Aluminum w Pewter</t>
  </si>
  <si>
    <t>Everstyle w/Integrated Pull 20 Divided Basket, 24" W, Matte Aluminum w Winter</t>
  </si>
  <si>
    <t>Everstyle w/Integrated Pull 20 Divided Basket, 24" W, Gold w Oyster</t>
  </si>
  <si>
    <t>Everstyle w/Integrated Pull 20 Divided Basket, 24" W, Gold w Pewter</t>
  </si>
  <si>
    <t>Everstyle w/Integrated Pull 20 Divided Basket, 24" W, Gold w Winter</t>
  </si>
  <si>
    <t>Everstyle w/Integrated Pull 20 Divided Basket, 24" W, Graphite w Oyster</t>
  </si>
  <si>
    <t>Everstyle w/Integrated Pull 20 Divided Basket, 24" W, Graphite w Pewter</t>
  </si>
  <si>
    <t>Everstyle w/Integrated Pull 20 Divided Basket, 24" W, Graphite w Winter</t>
  </si>
  <si>
    <t>Everstyle w/Integrated Pull 20 Divided Basket, 30" W, Matte Aluminum w Oyster</t>
  </si>
  <si>
    <t>Everstyle w/Integrated Pull 20 Divided Basket, 30" W, Matte Aluminum w Pewter</t>
  </si>
  <si>
    <t>Everstyle w/Integrated Pull 20 Divided Basket, 30" W, Matte Aluminum w Winter</t>
  </si>
  <si>
    <t>Everstyle w/Integrated Pull 20 Divided Basket, 30" W, Gold w Oyster</t>
  </si>
  <si>
    <t>Everstyle w/Integrated Pull 20 Divided Basket, 30" W, Gold w Pewter</t>
  </si>
  <si>
    <t>Everstyle w/Integrated Pull 20 Divided Basket, 30" W, Gold w Winter</t>
  </si>
  <si>
    <t>Everstyle w/Integrated Pull 20 Divided Basket, 30" W, Graphite w Oyster</t>
  </si>
  <si>
    <t>Everstyle w/Integrated Pull 20 Divided Basket, 30" W, Graphite w Pewter</t>
  </si>
  <si>
    <t>Everstyle w/Integrated Pull 20 Divided Basket, 30" W, Graphite w Winter</t>
  </si>
  <si>
    <t>Everstyle w/Integrated Pull 20 Divided Basket, 36" W, Matte Aluminum w Oyster</t>
  </si>
  <si>
    <t>Everstyle w/Integrated Pull 20 Divided Basket, 36" W, Matte Aluminum w Pewter</t>
  </si>
  <si>
    <t>Everstyle w/Integrated Pull 20 Divided Basket, 36" W, Matte Aluminum w Winter</t>
  </si>
  <si>
    <t>Everstyle w/Integrated Pull 20 Divided Basket, 36" W, Gold w Oyster</t>
  </si>
  <si>
    <t>Everstyle w/Integrated Pull 20 Divided Basket, 36" W, Gold w Pewter</t>
  </si>
  <si>
    <t>Everstyle w/Integrated Pull 20 Divided Basket, 36" W, Gold w Winter</t>
  </si>
  <si>
    <t>Everstyle w/Integrated Pull 20 Divided Basket, 36" W, Graphite w Oyster</t>
  </si>
  <si>
    <t>Everstyle w/Integrated Pull 20 Divided Basket, 36" W, Graphite w Pewter</t>
  </si>
  <si>
    <t>Everstyle w/Integrated Pull 20 Divided Basket, 36" W, Graphite w Winter</t>
  </si>
  <si>
    <t>Everstyle w/Integrated Pull 20 Deep Divided Basket, 18" W, Matte Aluminum w Oyster</t>
  </si>
  <si>
    <t>Everstyle w/Integrated Pull 20 Deep Divided Basket, 18" W, Matte Aluminum w Pewter</t>
  </si>
  <si>
    <t>Everstyle w/Integrated Pull 20 Deep Divided Basket, 18" W, Matte Aluminum w Winter</t>
  </si>
  <si>
    <t>Everstyle w/Integrated Pull 20 Deep Divided Basket, 18" W, Gold w Oyster</t>
  </si>
  <si>
    <t>Everstyle w/Integrated Pull 20 Deep Divided Basket, 18" W, Gold w Pewter</t>
  </si>
  <si>
    <t>Everstyle w/Integrated Pull 20 Deep Divided Basket, 18" W, Gold w Winter</t>
  </si>
  <si>
    <t>Everstyle w/Integrated Pull 20 Deep Divided Basket, 18" W, Graphite w Oyster</t>
  </si>
  <si>
    <t>Everstyle w/Integrated Pull 20 Deep Divided Basket, 18" W, Graphite w Pewter</t>
  </si>
  <si>
    <t>Everstyle w/Integrated Pull 20 Deep Divided Basket, 18" W, Graphite w Winter</t>
  </si>
  <si>
    <t>Everstyle w/Integrated Pull 20 Deep Divided Basket, 24" W, Matte Aluminum w Oyster</t>
  </si>
  <si>
    <t>Everstyle w/Integrated Pull 20 Deep Divided Basket, 24" W, Matte Aluminum w Pewter</t>
  </si>
  <si>
    <t>Everstyle w/Integrated Pull 20 Deep Divided Basket, 24" W, Matte Aluminum w Winter</t>
  </si>
  <si>
    <t>Everstyle w/Integrated Pull 20 Deep Divided Basket, 24" W, Gold w Oyster</t>
  </si>
  <si>
    <t>Everstyle w/Integrated Pull 20 Deep Divided Basket, 24" W, Gold w Pewter</t>
  </si>
  <si>
    <t>Everstyle w/Integrated Pull 20 Deep Divided Basket, 24" W, Gold w Winter</t>
  </si>
  <si>
    <t>Everstyle w/Integrated Pull 20 Deep Divided Basket, 24" W, Graphite w Oyster</t>
  </si>
  <si>
    <t>Everstyle w/Integrated Pull 20 Deep Divided Basket, 24" W, Graphite w Pewter</t>
  </si>
  <si>
    <t>Everstyle w/Integrated Pull 20 Deep Divided Basket, 24" W, Graphite w Winter</t>
  </si>
  <si>
    <t>Everstyle w/Integrated Pull 20 Deep Divided Basket, 30" W, Matte Aluminum w Oyster</t>
  </si>
  <si>
    <t>Everstyle w/Integrated Pull 20 Deep Divided Basket, 30" W, Matte Aluminum w Pewter</t>
  </si>
  <si>
    <t>Everstyle w/Integrated Pull 20 Deep Divided Basket, 30" W, Matte Aluminum w Winter</t>
  </si>
  <si>
    <t>Everstyle w/Integrated Pull 20 Deep Divided Basket, 30" W, Gold w Oyster</t>
  </si>
  <si>
    <t>Everstyle w/Integrated Pull 20 Deep Divided Basket, 30" W, Gold w Pewter</t>
  </si>
  <si>
    <t>Everstyle w/Integrated Pull 20 Deep Divided Basket, 30" W, Gold w Winter</t>
  </si>
  <si>
    <t>Everstyle w/Integrated Pull 20 Deep Divided Basket, 30" W, Graphite w Oyster</t>
  </si>
  <si>
    <t>Everstyle w/Integrated Pull 20 Deep Divided Basket, 30" W, Graphite w Pewter</t>
  </si>
  <si>
    <t>Everstyle w/Integrated Pull 20 Deep Divided Basket, 30" W, Graphite w Winter</t>
  </si>
  <si>
    <t>Everstyle w/Integrated Pull 20 Deep Divided Basket, 36" W, Matte Aluminum w Oyster</t>
  </si>
  <si>
    <t>Everstyle w/Integrated Pull 20 Deep Divided Basket, 36" W, Matte Aluminum w Pewter</t>
  </si>
  <si>
    <t>Everstyle w/Integrated Pull 20 Deep Divided Basket, 36" W, Matte Aluminum w Winter</t>
  </si>
  <si>
    <t>Everstyle w/Integrated Pull 20 Deep Divided Basket, 36" W, Gold w Oyster</t>
  </si>
  <si>
    <t>Everstyle w/Integrated Pull 20 Deep Divided Basket, 36" W, Gold w Pewter</t>
  </si>
  <si>
    <t>Everstyle w/Integrated Pull 20 Deep Divided Basket, 36" W, Gold w Winter</t>
  </si>
  <si>
    <t>Everstyle w/Integrated Pull 20 Deep Divided Basket, 36" W, Graphite w Oyster</t>
  </si>
  <si>
    <t>Everstyle w/Integrated Pull 20 Deep Divided Basket, 36" W, Graphite w Pewter</t>
  </si>
  <si>
    <t>Everstyle w/Integrated Pull 20 Deep Divided Basket, 36" W, Graphite w Winter</t>
  </si>
  <si>
    <t>Everstyle w/Integrated Pull 20 Laundry Basket, 18" W, Matte Aluminum w Oyster</t>
  </si>
  <si>
    <t>Everstyle w/Integrated Pull 20 Laundry Basket, 18" W, Matte Aluminum w Pewter</t>
  </si>
  <si>
    <t>Everstyle w/Integrated Pull 20 Laundry Basket, 18" W, Matte Aluminum w Winter</t>
  </si>
  <si>
    <t>Everstyle w/Integrated Pull 20 Laundry Basket, 18" W, Gold w Oyster</t>
  </si>
  <si>
    <t>Everstyle w/Integrated Pull 20 Laundry Basket, 18" W, Gold w Pewter</t>
  </si>
  <si>
    <t>Everstyle w/Integrated Pull 20 Laundry Basket, 18" W, Gold w Winter</t>
  </si>
  <si>
    <t>Everstyle w/Integrated Pull 20 Laundry Basket, 18" W, Graphite w Oyster</t>
  </si>
  <si>
    <t>Everstyle w/Integrated Pull 20 Laundry Basket, 18" W, Graphite w Pewter</t>
  </si>
  <si>
    <t>Everstyle w/Integrated Pull 20 Laundry Basket, 18" W, Graphite w Winter</t>
  </si>
  <si>
    <t>Everstyle w/Integrated Pull 20 Laundry Basket, 24" W, Matte Aluminum w Oyster</t>
  </si>
  <si>
    <t>Everstyle w/Integrated Pull 20 Laundry Basket, 24" W, Matte Aluminum w Pewter</t>
  </si>
  <si>
    <t>Everstyle w/Integrated Pull 20 Laundry Basket, 24" W, Matte Aluminum w Winter</t>
  </si>
  <si>
    <t>Everstyle w/Integrated Pull 20 Laundry Basket, 24" W, Gold w Oyster</t>
  </si>
  <si>
    <t>Everstyle w/Integrated Pull 20 Laundry Basket, 24" W, Gold w Pewter</t>
  </si>
  <si>
    <t>Everstyle w/Integrated Pull 20 Laundry Basket, 24" W, Gold w Winter</t>
  </si>
  <si>
    <t>Everstyle w/Integrated Pull 20 Laundry Basket, 24" W, Graphite w Oyster</t>
  </si>
  <si>
    <t>Everstyle w/Integrated Pull 20 Laundry Basket, 24" W, Graphite w Pewter</t>
  </si>
  <si>
    <t>Everstyle w/Integrated Pull 20 Laundry Basket, 24" W, Graphite w Winter</t>
  </si>
  <si>
    <t>Everstyle w/Integrated Pull 20 Laundry Basket, 30" W, Matte Aluminum w Oyster</t>
  </si>
  <si>
    <t>Everstyle w/Integrated Pull 20 Laundry Basket, 30" W, Matte Aluminum w Pewter</t>
  </si>
  <si>
    <t>Everstyle w/Integrated Pull 20 Laundry Basket, 30" W, Matte Aluminum w Winter</t>
  </si>
  <si>
    <t>Everstyle w/Integrated Pull 20 Laundry Basket, 30" W, Gold w Oyster</t>
  </si>
  <si>
    <t>Everstyle w/Integrated Pull 20 Laundry Basket, 30" W, Gold w Pewter</t>
  </si>
  <si>
    <t>Everstyle w/Integrated Pull 20 Laundry Basket, 30" W, Gold w Winter</t>
  </si>
  <si>
    <t>Everstyle w/Integrated Pull 20 Laundry Basket, 30" W, Graphite w Oyster</t>
  </si>
  <si>
    <t>Everstyle w/Integrated Pull 20 Laundry Basket, 30" W, Graphite w Pewter</t>
  </si>
  <si>
    <t>Everstyle w/Integrated Pull 20 Laundry Basket, 30" W, Graphite w Winter</t>
  </si>
  <si>
    <t>Everstyle w/Integrated Pull 20 Laundry Basket, 36" W, Matte Aluminum w Oyster</t>
  </si>
  <si>
    <t>Everstyle w/Integrated Pull 20 Laundry Basket, 36" W, Matte Aluminum w Pewter</t>
  </si>
  <si>
    <t>Everstyle w/Integrated Pull 20 Laundry Basket, 36" W, Matte Aluminum w Winter</t>
  </si>
  <si>
    <t>Everstyle w/Integrated Pull 20 Laundry Basket, 36" W, Gold w Oyster</t>
  </si>
  <si>
    <t>Everstyle w/Integrated Pull 20 Laundry Basket, 36" W, Gold w Pewter</t>
  </si>
  <si>
    <t>Everstyle w/Integrated Pull 20 Laundry Basket, 36" W, Gold w Winter</t>
  </si>
  <si>
    <t>Everstyle w/Integrated Pull 20 Laundry Basket, 36" W, Graphite w Oyster</t>
  </si>
  <si>
    <t>Everstyle w/Integrated Pull 20 Laundry Basket, 36" W, Graphite w Pewter</t>
  </si>
  <si>
    <t>Everstyle w/Integrated Pull 20 Laundry Basket, 36" W, Graphite w Winter</t>
  </si>
  <si>
    <t>Everstyle w/Integrated Pull 20 Hanging Pant &amp; Linen Drawer, 18" W, Matte Aluminum</t>
  </si>
  <si>
    <t>Everstyle w/Integrated Pull 20 Hanging Pant &amp; Linen Drawer, 18" W, Gold</t>
  </si>
  <si>
    <t>Everstyle w/Integrated Pull 20 Hanging Pant &amp; Linen Drawer, 18" W, Graphite</t>
  </si>
  <si>
    <t>Everstyle w/Integrated Pull 20 Hanging Pant &amp; Linen Drawer, 24" W, Matte Aluminum</t>
  </si>
  <si>
    <t>Everstyle w/Integrated Pull 20 Hanging Pant &amp; Linen Drawer, 24" W, Gold</t>
  </si>
  <si>
    <t>Everstyle w/Integrated Pull 20 Hanging Pant &amp; Linen Drawer, 24" W, Graphite</t>
  </si>
  <si>
    <t>Everstyle w/Integrated Pull 20 Hanging Pant &amp; Linen Drawer, 30" W, Matte Aluminum</t>
  </si>
  <si>
    <t>Everstyle w/Integrated Pull 20 Hanging Pant &amp; Linen Drawer, 30" W, Gold</t>
  </si>
  <si>
    <t>Everstyle w/Integrated Pull 20 Hanging Pant &amp; Linen Drawer, 30" W, Graphite</t>
  </si>
  <si>
    <t>Everstyle w/Integrated Pull 20 Hanging Pant &amp; Linen Drawer, 36" W, Matte Aluminum</t>
  </si>
  <si>
    <t>Everstyle w/Integrated Pull 20 Hanging Pant &amp; Linen Drawer, 36" W, Gold</t>
  </si>
  <si>
    <t>Everstyle w/Integrated Pull 20 Hanging Pant &amp; Linen Drawer, 36" W, Graphite</t>
  </si>
  <si>
    <t>Everstyle w/Integrated Pull 20 Hanging Skirt &amp; Short Drawer, 18" W, Matte Aluminum</t>
  </si>
  <si>
    <t>Everstyle w/Integrated Pull 20 Hanging Skirt &amp; Short Drawer, 18" W, Gold</t>
  </si>
  <si>
    <t>Everstyle w/Integrated Pull 20 Hanging Skirt &amp; Short Drawer, 18" W, Graphite</t>
  </si>
  <si>
    <t>Everstyle w/Integrated Pull 20 Hanging Skirt &amp; Short Drawer, 24" W, Matte Aluminum</t>
  </si>
  <si>
    <t>Everstyle w/Integrated Pull 20 Hanging Skirt &amp; Short Drawer, 24" W, Gold</t>
  </si>
  <si>
    <t>Everstyle w/Integrated Pull 20 Hanging Skirt &amp; Short Drawer, 24" W, Graphite</t>
  </si>
  <si>
    <t>Everstyle w/Integrated Pull 20 Hanging Skirt &amp; Short Drawer, 30" W, Matte Aluminum</t>
  </si>
  <si>
    <t>Everstyle w/Integrated Pull 20 Hanging Skirt &amp; Short Drawer, 30" W, Gold</t>
  </si>
  <si>
    <t>Everstyle w/Integrated Pull 20 Hanging Skirt &amp; Short Drawer, 30" W, Graphite</t>
  </si>
  <si>
    <t>Everstyle w/Integrated Pull 20 Hanging Skirt &amp; Short Drawer, 36" W, Matte Aluminum</t>
  </si>
  <si>
    <t>Everstyle w/Integrated Pull 20 Hanging Skirt &amp; Short Drawer, 36" W, Gold</t>
  </si>
  <si>
    <t>Everstyle w/Integrated Pull 20 Hanging Skirt &amp; Short Drawer, 36" W, Graphite</t>
  </si>
  <si>
    <t>Everstyle w/Decorative Hardware 14 Sock Drawer, 18" W, Matte Aluminum w Oyster</t>
  </si>
  <si>
    <t>Everstyle w/Decorative Hardware 14 Sock Drawer, 18" W, Matte Aluminum w Pewter</t>
  </si>
  <si>
    <t>Everstyle w/Decorative Hardware 14 Sock Drawer, 18" W, Matte Aluminum w Winter</t>
  </si>
  <si>
    <t>Everstyle w/Decorative Hardware 14 Sock Drawer, 18" W, Gold w Oyster</t>
  </si>
  <si>
    <t>Everstyle w/Decorative Hardware 14 Sock Drawer, 18" W, Gold w Pewter</t>
  </si>
  <si>
    <t>Everstyle w/Decorative Hardware 14 Sock Drawer, 18" W, Gold w Winter</t>
  </si>
  <si>
    <t>Everstyle w/Decorative Hardware 14 Sock Drawer, 18" W, Graphite w Oyster</t>
  </si>
  <si>
    <t>Everstyle w/Decorative Hardware 14 Sock Drawer, 18" W, Graphite w Pewter</t>
  </si>
  <si>
    <t>Everstyle w/Decorative Hardware 14 Sock Drawer, 18" W, Graphite w Winter</t>
  </si>
  <si>
    <t>Everstyle w/Decorative Hardware 14 Sock Drawer, 24" W, Matte Aluminum w Oyster</t>
  </si>
  <si>
    <t>Everstyle w/Decorative Hardware 14 Sock Drawer, 24" W, Matte Aluminum w Pewter</t>
  </si>
  <si>
    <t>Everstyle w/Decorative Hardware 14 Sock Drawer, 24" W, Matte Aluminum w Winter</t>
  </si>
  <si>
    <t>Everstyle w/Decorative Hardware 14 Sock Drawer, 24" W, Gold w Oyster</t>
  </si>
  <si>
    <t>Everstyle w/Decorative Hardware 14 Sock Drawer, 24" W, Gold w Pewter</t>
  </si>
  <si>
    <t>Everstyle w/Decorative Hardware 14 Sock Drawer, 24" W, Gold w Winter</t>
  </si>
  <si>
    <t>Everstyle w/Decorative Hardware 14 Sock Drawer, 24" W, Graphite w Oyster</t>
  </si>
  <si>
    <t>Everstyle w/Decorative Hardware 14 Sock Drawer, 24" W, Graphite w Pewter</t>
  </si>
  <si>
    <t>Everstyle w/Decorative Hardware 14 Sock Drawer, 24" W, Graphite w Winter</t>
  </si>
  <si>
    <t>Everstyle w/Decorative Hardware 14 Sock Drawer, 30" W, Matte Aluminum w Oyster</t>
  </si>
  <si>
    <t>Everstyle w/Decorative Hardware 14 Sock Drawer, 30" W, Matte Aluminum w Pewter</t>
  </si>
  <si>
    <t>Everstyle w/Decorative Hardware 14 Sock Drawer, 30" W, Matte Aluminum w Winter</t>
  </si>
  <si>
    <t>Everstyle w/Decorative Hardware 14 Sock Drawer, 30" W, Gold w Oyster</t>
  </si>
  <si>
    <t>Everstyle w/Decorative Hardware 14 Sock Drawer, 30" W, Gold w Pewter</t>
  </si>
  <si>
    <t>Everstyle w/Decorative Hardware 14 Sock Drawer, 30" W, Gold w Winter</t>
  </si>
  <si>
    <t>Everstyle w/Decorative Hardware 14 Sock Drawer, 30" W, Graphite w Oyster</t>
  </si>
  <si>
    <t>Everstyle w/Decorative Hardware 14 Sock Drawer, 30" W, Graphite w Pewter</t>
  </si>
  <si>
    <t>Everstyle w/Decorative Hardware 14 Sock Drawer, 30" W, Graphite w Winter</t>
  </si>
  <si>
    <t>Everstyle w/Decorative Hardware 14 Sock Drawer, 36" W, Matte Aluminum w Oyster</t>
  </si>
  <si>
    <t>Everstyle w/Decorative Hardware 14 Sock Drawer, 36" W, Matte Aluminum w Pewter</t>
  </si>
  <si>
    <t>Everstyle w/Decorative Hardware 14 Sock Drawer, 36" W, Matte Aluminum w Winter</t>
  </si>
  <si>
    <t>Everstyle w/Decorative Hardware 14 Sock Drawer, 36" W, Gold w Oyster</t>
  </si>
  <si>
    <t>Everstyle w/Decorative Hardware 14 Sock Drawer, 36" W, Gold w Pewter</t>
  </si>
  <si>
    <t>Everstyle w/Decorative Hardware 14 Sock Drawer, 36" W, Gold w Winter</t>
  </si>
  <si>
    <t>Everstyle w/Decorative Hardware 14 Sock Drawer, 36" W, Graphite w Oyster</t>
  </si>
  <si>
    <t>Everstyle w/Decorative Hardware 14 Sock Drawer, 36" W, Graphite w Pewter</t>
  </si>
  <si>
    <t>Everstyle w/Decorative Hardware 14 Sock Drawer, 36" W, Graphite w Winter</t>
  </si>
  <si>
    <t>Everstyle w/Decorative Hardware 14 Shirt Drawer, 18" W, Matte Aluminum w Oyster</t>
  </si>
  <si>
    <t>Everstyle w/Decorative Hardware 14 Shirt Drawer, 18" W, Matte Aluminum w Pewter</t>
  </si>
  <si>
    <t>Everstyle w/Decorative Hardware 14 Shirt Drawer, 18" W, Matte Aluminum w Winter</t>
  </si>
  <si>
    <t>Everstyle w/Decorative Hardware 14 Shirt Drawer, 18" W, Gold w Oyster</t>
  </si>
  <si>
    <t>Everstyle w/Decorative Hardware 14 Shirt Drawer, 18" W, Gold w Pewter</t>
  </si>
  <si>
    <t>Everstyle w/Decorative Hardware 14 Shirt Drawer, 18" W, Gold w Winter</t>
  </si>
  <si>
    <t>Everstyle w/Decorative Hardware 14 Shirt Drawer, 18" W, Graphite w Oyster</t>
  </si>
  <si>
    <t>Everstyle w/Decorative Hardware 14 Shirt Drawer, 18" W, Graphite w Pewter</t>
  </si>
  <si>
    <t>Everstyle w/Decorative Hardware 14 Shirt Drawer, 18" W, Graphite w Winter</t>
  </si>
  <si>
    <t>Everstyle w/Decorative Hardware 14 Shirt Drawer, 24" W, Matte Aluminum w Oyster</t>
  </si>
  <si>
    <t>Everstyle w/Decorative Hardware 14 Shirt Drawer, 24" W, Matte Aluminum w Pewter</t>
  </si>
  <si>
    <t>Everstyle w/Decorative Hardware 14 Shirt Drawer, 24" W, Matte Aluminum w Winter</t>
  </si>
  <si>
    <t>Everstyle w/Decorative Hardware 14 Shirt Drawer, 24" W, Gold w Oyster</t>
  </si>
  <si>
    <t>Everstyle w/Decorative Hardware 14 Shirt Drawer, 24" W, Gold w Pewter</t>
  </si>
  <si>
    <t>Everstyle w/Decorative Hardware 14 Shirt Drawer, 24" W, Gold w Winter</t>
  </si>
  <si>
    <t>Everstyle w/Decorative Hardware 14 Shirt Drawer, 24" W, Graphite w Oyster</t>
  </si>
  <si>
    <t>Everstyle w/Decorative Hardware 14 Shirt Drawer, 24" W, Graphite w Pewter</t>
  </si>
  <si>
    <t>Everstyle w/Decorative Hardware 14 Shirt Drawer, 24" W, Graphite w Winter</t>
  </si>
  <si>
    <t>Everstyle w/Decorative Hardware 14 Shirt Drawer, 30" W, Matte Aluminum w Oyster</t>
  </si>
  <si>
    <t>Everstyle w/Decorative Hardware 14 Shirt Drawer, 30" W, Matte Aluminum w Pewter</t>
  </si>
  <si>
    <t>Everstyle w/Decorative Hardware 14 Shirt Drawer, 30" W, Matte Aluminum w Winter</t>
  </si>
  <si>
    <t>Everstyle w/Decorative Hardware 14 Shirt Drawer, 30" W, Gold w Oyster</t>
  </si>
  <si>
    <t>Everstyle w/Decorative Hardware 14 Shirt Drawer, 30" W, Gold w Pewter</t>
  </si>
  <si>
    <t>Everstyle w/Decorative Hardware 14 Shirt Drawer, 30" W, Gold w Winter</t>
  </si>
  <si>
    <t>Everstyle w/Decorative Hardware 14 Shirt Drawer, 30" W, Graphite w Oyster</t>
  </si>
  <si>
    <t>Everstyle w/Decorative Hardware 14 Shirt Drawer, 30" W, Graphite w Pewter</t>
  </si>
  <si>
    <t>Everstyle w/Decorative Hardware 14 Shirt Drawer, 30" W, Graphite w Winter</t>
  </si>
  <si>
    <t>Everstyle w/Decorative Hardware 14 Shirt Drawer, 36" W, Matte Aluminum w Oyster</t>
  </si>
  <si>
    <t>Everstyle w/Decorative Hardware 14 Shirt Drawer, 36" W, Matte Aluminum w Pewter</t>
  </si>
  <si>
    <t>Everstyle w/Decorative Hardware 14 Shirt Drawer, 36" W, Matte Aluminum w Winter</t>
  </si>
  <si>
    <t>Everstyle w/Decorative Hardware 14 Shirt Drawer, 36" W, Gold w Oyster</t>
  </si>
  <si>
    <t>Everstyle w/Decorative Hardware 14 Shirt Drawer, 36" W, Gold w Pewter</t>
  </si>
  <si>
    <t>Everstyle w/Decorative Hardware 14 Shirt Drawer, 36" W, Gold w Winter</t>
  </si>
  <si>
    <t>Everstyle w/Decorative Hardware 14 Shirt Drawer, 36" W, Graphite w Oyster</t>
  </si>
  <si>
    <t>Everstyle w/Decorative Hardware 14 Shirt Drawer, 36" W, Graphite w Pewter</t>
  </si>
  <si>
    <t>Everstyle w/Decorative Hardware 14 Shirt Drawer, 36" W, Graphite w Winter</t>
  </si>
  <si>
    <t>Everstyle w/Decorative Hardware 14 Versatile Drawer, 18" W, Matte Aluminum w Oyster</t>
  </si>
  <si>
    <t>Everstyle w/Decorative Hardware 14 Versatile Drawer, 18" W, Matte Aluminum w Pewter</t>
  </si>
  <si>
    <t>Everstyle w/Decorative Hardware 14 Versatile Drawer, 18" W, Matte Aluminum w Winter</t>
  </si>
  <si>
    <t>Everstyle w/Decorative Hardware 14 Versatile Drawer, 18" W, Gold w Oyster</t>
  </si>
  <si>
    <t>Everstyle w/Decorative Hardware 14 Versatile Drawer, 18" W, Gold w Pewter</t>
  </si>
  <si>
    <t>Everstyle w/Decorative Hardware 14 Versatile Drawer, 18" W, Gold w Winter</t>
  </si>
  <si>
    <t>Everstyle w/Decorative Hardware 14 Versatile Drawer, 18" W, Graphite w Oyster</t>
  </si>
  <si>
    <t>Everstyle w/Decorative Hardware 14 Versatile Drawer, 18" W, Graphite w Pewter</t>
  </si>
  <si>
    <t>Everstyle w/Decorative Hardware 14 Versatile Drawer, 18" W, Graphite w Winter</t>
  </si>
  <si>
    <t>Everstyle w/Decorative Hardware 14 Versatile Drawer, 24" W, Matte Aluminum w Oyster</t>
  </si>
  <si>
    <t>Everstyle w/Decorative Hardware 14 Versatile Drawer, 24" W, Matte Aluminum w Pewter</t>
  </si>
  <si>
    <t>Everstyle w/Decorative Hardware 14 Versatile Drawer, 24" W, Matte Aluminum w Winter</t>
  </si>
  <si>
    <t>Everstyle w/Decorative Hardware 14 Versatile Drawer, 24" W, Gold w Oyster</t>
  </si>
  <si>
    <t>Everstyle w/Decorative Hardware 14 Versatile Drawer, 24" W, Gold w Pewter</t>
  </si>
  <si>
    <t>Everstyle w/Decorative Hardware 14 Versatile Drawer, 24" W, Gold w Winter</t>
  </si>
  <si>
    <t>Everstyle w/Decorative Hardware 14 Versatile Drawer, 24" W, Graphite w Oyster</t>
  </si>
  <si>
    <t>Everstyle w/Decorative Hardware 14 Versatile Drawer, 24" W, Graphite w Pewter</t>
  </si>
  <si>
    <t>Everstyle w/Decorative Hardware 14 Versatile Drawer, 24" W, Graphite w Winter</t>
  </si>
  <si>
    <t>Everstyle w/Decorative Hardware 14 Versatile Drawer, 30" W, Matte Aluminum w Oyster</t>
  </si>
  <si>
    <t>Everstyle w/Decorative Hardware 14 Versatile Drawer, 30" W, Matte Aluminum w Pewter</t>
  </si>
  <si>
    <t>Everstyle w/Decorative Hardware 14 Versatile Drawer, 30" W, Matte Aluminum w Winter</t>
  </si>
  <si>
    <t>Everstyle w/Decorative Hardware 14 Versatile Drawer, 30" W, Gold w Oyster</t>
  </si>
  <si>
    <t>Everstyle w/Decorative Hardware 14 Versatile Drawer, 30" W, Gold w Pewter</t>
  </si>
  <si>
    <t>Everstyle w/Decorative Hardware 14 Versatile Drawer, 30" W, Gold w Winter</t>
  </si>
  <si>
    <t>Everstyle w/Decorative Hardware 14 Versatile Drawer, 30" W, Graphite w Oyster</t>
  </si>
  <si>
    <t>Everstyle w/Decorative Hardware 14 Versatile Drawer, 30" W, Graphite w Pewter</t>
  </si>
  <si>
    <t>Everstyle w/Decorative Hardware 14 Versatile Drawer, 30" W, Graphite w Winter</t>
  </si>
  <si>
    <t>Everstyle w/Decorative Hardware 14 Versatile Drawer, 36" W, Matte Aluminum w Oyster</t>
  </si>
  <si>
    <t>Everstyle w/Decorative Hardware 14 Versatile Drawer, 36" W, Matte Aluminum w Pewter</t>
  </si>
  <si>
    <t>Everstyle w/Decorative Hardware 14 Versatile Drawer, 36" W, Matte Aluminum w Winter</t>
  </si>
  <si>
    <t>Everstyle w/Decorative Hardware 14 Versatile Drawer, 36" W, Gold w Oyster</t>
  </si>
  <si>
    <t>Everstyle w/Decorative Hardware 14 Versatile Drawer, 36" W, Gold w Pewter</t>
  </si>
  <si>
    <t>Everstyle w/Decorative Hardware 14 Versatile Drawer, 36" W, Gold w Winter</t>
  </si>
  <si>
    <t>Everstyle w/Decorative Hardware 14 Versatile Drawer, 36" W, Graphite w Oyster</t>
  </si>
  <si>
    <t>Everstyle w/Decorative Hardware 14 Versatile Drawer, 36" W, Graphite w Pewter</t>
  </si>
  <si>
    <t>Everstyle w/Decorative Hardware 14 Versatile Drawer, 36" W, Graphite w Winter</t>
  </si>
  <si>
    <t>Everstyle w/Decorative Hardware 14 Remote Drawer, 18" W, Matte Aluminum w Oyster</t>
  </si>
  <si>
    <t>Everstyle w/Decorative Hardware 14 Remote Drawer, 18" W, Matte Aluminum w Pewter</t>
  </si>
  <si>
    <t>Everstyle w/Decorative Hardware 14 Remote Drawer, 18" W, Matte Aluminum w Winter</t>
  </si>
  <si>
    <t>Everstyle w/Decorative Hardware 14 Remote Drawer, 18" W, Gold w Oyster</t>
  </si>
  <si>
    <t>Everstyle w/Decorative Hardware 14 Remote Drawer, 18" W, Gold w Pewter</t>
  </si>
  <si>
    <t>Everstyle w/Decorative Hardware 14 Remote Drawer, 18" W, Gold w Winter</t>
  </si>
  <si>
    <t>Everstyle w/Decorative Hardware 14 Remote Drawer, 18" W, Graphite w Oyster</t>
  </si>
  <si>
    <t>Everstyle w/Decorative Hardware 14 Remote Drawer, 18" W, Graphite w Pewter</t>
  </si>
  <si>
    <t>Everstyle w/Decorative Hardware 14 Remote Drawer, 18" W, Graphite w Winter</t>
  </si>
  <si>
    <t>Everstyle w/Decorative Hardware 14 Remote Drawer, 24" W, Matte Aluminum w Oyster</t>
  </si>
  <si>
    <t>Everstyle w/Decorative Hardware 14 Remote Drawer, 24" W, Matte Aluminum w Pewter</t>
  </si>
  <si>
    <t>Everstyle w/Decorative Hardware 14 Remote Drawer, 24" W, Matte Aluminum w Winter</t>
  </si>
  <si>
    <t>Everstyle w/Decorative Hardware 14 Remote Drawer, 24" W, Gold w Oyster</t>
  </si>
  <si>
    <t>Everstyle w/Decorative Hardware 14 Remote Drawer, 24" W, Gold w Pewter</t>
  </si>
  <si>
    <t>Everstyle w/Decorative Hardware 14 Remote Drawer, 24" W, Gold w Winter</t>
  </si>
  <si>
    <t>Everstyle w/Decorative Hardware 14 Remote Drawer, 24" W, Graphite w Oyster</t>
  </si>
  <si>
    <t>Everstyle w/Decorative Hardware 14 Remote Drawer, 24" W, Graphite w Pewter</t>
  </si>
  <si>
    <t>Everstyle w/Decorative Hardware 14 Remote Drawer, 24" W, Graphite w Winter</t>
  </si>
  <si>
    <t>Everstyle w/Decorative Hardware 14 Remote Drawer, 30" W, Matte Aluminum w Oyster</t>
  </si>
  <si>
    <t>Everstyle w/Decorative Hardware 14 Remote Drawer, 30" W, Matte Aluminum w Pewter</t>
  </si>
  <si>
    <t>Everstyle w/Decorative Hardware 14 Remote Drawer, 30" W, Matte Aluminum w Winter</t>
  </si>
  <si>
    <t>Everstyle w/Decorative Hardware 14 Remote Drawer, 30" W, Gold w Oyster</t>
  </si>
  <si>
    <t>Everstyle w/Decorative Hardware 14 Remote Drawer, 30" W, Gold w Pewter</t>
  </si>
  <si>
    <t>Everstyle w/Decorative Hardware 14 Remote Drawer, 30" W, Gold w Winter</t>
  </si>
  <si>
    <t>Everstyle w/Decorative Hardware 14 Remote Drawer, 30" W, Graphite w Oyster</t>
  </si>
  <si>
    <t>Everstyle w/Decorative Hardware 14 Remote Drawer, 30" W, Graphite w Pewter</t>
  </si>
  <si>
    <t>Everstyle w/Decorative Hardware 14 Remote Drawer, 30" W, Graphite w Winter</t>
  </si>
  <si>
    <t>Everstyle w/Decorative Hardware 14 Remote Drawer, 36" W, Matte Aluminum w Oyster</t>
  </si>
  <si>
    <t>Everstyle w/Decorative Hardware 14 Remote Drawer, 36" W, Matte Aluminum w Pewter</t>
  </si>
  <si>
    <t>Everstyle w/Decorative Hardware 14 Remote Drawer, 36" W, Matte Aluminum w Winter</t>
  </si>
  <si>
    <t>Everstyle w/Decorative Hardware 14 Remote Drawer, 36" W, Gold w Oyster</t>
  </si>
  <si>
    <t>Everstyle w/Decorative Hardware 14 Remote Drawer, 36" W, Gold w Pewter</t>
  </si>
  <si>
    <t>Everstyle w/Decorative Hardware 14 Remote Drawer, 36" W, Gold w Winter</t>
  </si>
  <si>
    <t>Everstyle w/Decorative Hardware 14 Remote Drawer, 36" W, Graphite w Oyster</t>
  </si>
  <si>
    <t>Everstyle w/Decorative Hardware 14 Remote Drawer, 36" W, Graphite w Pewter</t>
  </si>
  <si>
    <t>Everstyle w/Decorative Hardware 14 Remote Drawer, 36" W, Graphite w Winter</t>
  </si>
  <si>
    <t>Everstyle w/Decorative Hardware 14 Tie &amp; Belt Drawer, 18" W, Matte Aluminum w Oyster</t>
  </si>
  <si>
    <t>Everstyle w/Decorative Hardware 14 Tie &amp; Belt Drawer, 18" W, Matte Aluminum w Pewter</t>
  </si>
  <si>
    <t>Everstyle w/Decorative Hardware 14 Tie &amp; Belt Drawer, 18" W, Matte Aluminum w Winter</t>
  </si>
  <si>
    <t>Everstyle w/Decorative Hardware 14 Tie &amp; Belt Drawer, 18" W, Gold w Oyster</t>
  </si>
  <si>
    <t>Everstyle w/Decorative Hardware 14 Tie &amp; Belt Drawer, 18" W, Gold w Pewter</t>
  </si>
  <si>
    <t>Everstyle w/Decorative Hardware 14 Tie &amp; Belt Drawer, 18" W, Gold w Winter</t>
  </si>
  <si>
    <t>Everstyle w/Decorative Hardware 14 Tie &amp; Belt Drawer, 18" W, Graphite w Oyster</t>
  </si>
  <si>
    <t>Everstyle w/Decorative Hardware 14 Tie &amp; Belt Drawer, 18" W, Graphite w Pewter</t>
  </si>
  <si>
    <t>Everstyle w/Decorative Hardware 14 Tie &amp; Belt Drawer, 18" W, Graphite w Winter</t>
  </si>
  <si>
    <t>Everstyle w/Decorative Hardware 14 Tie &amp; Belt Drawer, 24" W, Matte Aluminum w Oyster</t>
  </si>
  <si>
    <t>Everstyle w/Decorative Hardware 14 Tie &amp; Belt Drawer, 24" W, Matte Aluminum w Pewter</t>
  </si>
  <si>
    <t>Everstyle w/Decorative Hardware 14 Tie &amp; Belt Drawer, 24" W, Matte Aluminum w Winter</t>
  </si>
  <si>
    <t>Everstyle w/Decorative Hardware 14 Tie &amp; Belt Drawer, 24" W, Gold w Oyster</t>
  </si>
  <si>
    <t>Everstyle w/Decorative Hardware 14 Tie &amp; Belt Drawer, 24" W, Gold w Pewter</t>
  </si>
  <si>
    <t>Everstyle w/Decorative Hardware 14 Tie &amp; Belt Drawer, 24" W, Gold w Winter</t>
  </si>
  <si>
    <t>Everstyle w/Decorative Hardware 14 Tie &amp; Belt Drawer, 24" W, Graphite w Oyster</t>
  </si>
  <si>
    <t>Everstyle w/Decorative Hardware 14 Tie &amp; Belt Drawer, 24" W, Graphite w Pewter</t>
  </si>
  <si>
    <t>Everstyle w/Decorative Hardware 14 Tie &amp; Belt Drawer, 24" W, Graphite w Winter</t>
  </si>
  <si>
    <t>Everstyle w/Decorative Hardware 14 Tie &amp; Belt Drawer, 30" W, Matte Aluminum w Oyster</t>
  </si>
  <si>
    <t>Everstyle w/Decorative Hardware 14 Tie &amp; Belt Drawer, 30" W, Matte Aluminum w Pewter</t>
  </si>
  <si>
    <t>Everstyle w/Decorative Hardware 14 Tie &amp; Belt Drawer, 30" W, Matte Aluminum w Winter</t>
  </si>
  <si>
    <t>Everstyle w/Decorative Hardware 14 Tie &amp; Belt Drawer, 30" W, Gold w Oyster</t>
  </si>
  <si>
    <t>Everstyle w/Decorative Hardware 14 Tie &amp; Belt Drawer, 30" W, Gold w Pewter</t>
  </si>
  <si>
    <t>Everstyle w/Decorative Hardware 14 Tie &amp; Belt Drawer, 30" W, Gold w Winter</t>
  </si>
  <si>
    <t>Everstyle w/Decorative Hardware 14 Tie &amp; Belt Drawer, 30" W, Graphite w Oyster</t>
  </si>
  <si>
    <t>Everstyle w/Decorative Hardware 14 Tie &amp; Belt Drawer, 30" W, Graphite w Pewter</t>
  </si>
  <si>
    <t>Everstyle w/Decorative Hardware 14 Tie &amp; Belt Drawer, 30" W, Graphite w Winter</t>
  </si>
  <si>
    <t>Everstyle w/Decorative Hardware 14 Tie &amp; Belt Drawer, 36" W, Matte Aluminum w Oyster</t>
  </si>
  <si>
    <t>Everstyle w/Decorative Hardware 14 Tie &amp; Belt Drawer, 36" W, Matte Aluminum w Pewter</t>
  </si>
  <si>
    <t>Everstyle w/Decorative Hardware 14 Tie &amp; Belt Drawer, 36" W, Matte Aluminum w Winter</t>
  </si>
  <si>
    <t>Everstyle w/Decorative Hardware 14 Tie &amp; Belt Drawer, 36" W, Gold w Oyster</t>
  </si>
  <si>
    <t>Everstyle w/Decorative Hardware 14 Tie &amp; Belt Drawer, 36" W, Gold w Pewter</t>
  </si>
  <si>
    <t>Everstyle w/Decorative Hardware 14 Tie &amp; Belt Drawer, 36" W, Gold w Winter</t>
  </si>
  <si>
    <t>Everstyle w/Decorative Hardware 14 Tie &amp; Belt Drawer, 36" W, Graphite w Oyster</t>
  </si>
  <si>
    <t>Everstyle w/Decorative Hardware 14 Tie &amp; Belt Drawer, 36" W, Graphite w Pewter</t>
  </si>
  <si>
    <t>Everstyle w/Decorative Hardware 14 Tie &amp; Belt Drawer, 36" W, Graphite w Winter</t>
  </si>
  <si>
    <t>Everstyle w/Decorative Hardware 14 Jewelry Drawer, 18" W, Matte Aluminum w Oyster</t>
  </si>
  <si>
    <t>Everstyle w/Decorative Hardware 14 Jewelry Drawer, 18" W, Matte Aluminum w Pewter</t>
  </si>
  <si>
    <t>Everstyle w/Decorative Hardware 14 Jewelry Drawer, 18" W, Matte Aluminum w Winter</t>
  </si>
  <si>
    <t>Everstyle w/Decorative Hardware 14 Jewelry Drawer, 18" W, Gold w Oyster</t>
  </si>
  <si>
    <t>Everstyle w/Decorative Hardware 14 Jewelry Drawer, 18" W, Gold w Pewter</t>
  </si>
  <si>
    <t>Everstyle w/Decorative Hardware 14 Jewelry Drawer, 18" W, Gold w Winter</t>
  </si>
  <si>
    <t>Everstyle w/Decorative Hardware 14 Jewelry Drawer, 18" W, Graphite w Oyster</t>
  </si>
  <si>
    <t>Everstyle w/Decorative Hardware 14 Jewelry Drawer, 18" W, Graphite w Pewter</t>
  </si>
  <si>
    <t>Everstyle w/Decorative Hardware 14 Jewelry Drawer, 18" W, Graphite w Winter</t>
  </si>
  <si>
    <t>Everstyle w/Decorative Hardware 14 Jewelry Drawer, 24" W, Matte Aluminum w Oyster</t>
  </si>
  <si>
    <t>Everstyle w/Decorative Hardware 14 Jewelry Drawer, 24" W, Matte Aluminum w Pewter</t>
  </si>
  <si>
    <t>Everstyle w/Decorative Hardware 14 Jewelry Drawer, 24" W, Matte Aluminum w Winter</t>
  </si>
  <si>
    <t>Everstyle w/Decorative Hardware 14 Jewelry Drawer, 24" W, Gold w Oyster</t>
  </si>
  <si>
    <t>Everstyle w/Decorative Hardware 14 Jewelry Drawer, 24" W, Gold w Pewter</t>
  </si>
  <si>
    <t>Everstyle w/Decorative Hardware 14 Jewelry Drawer, 24" W, Gold w Winter</t>
  </si>
  <si>
    <t>Everstyle w/Decorative Hardware 14 Jewelry Drawer, 24" W, Graphite w Oyster</t>
  </si>
  <si>
    <t>Everstyle w/Decorative Hardware 14 Jewelry Drawer, 24" W, Graphite w Pewter</t>
  </si>
  <si>
    <t>Everstyle w/Decorative Hardware 14 Jewelry Drawer, 24" W, Graphite w Winter</t>
  </si>
  <si>
    <t>Everstyle w/Decorative Hardware 14 Jewelry Drawer, 30" W, Matte Aluminum w Oyster</t>
  </si>
  <si>
    <t>Everstyle w/Decorative Hardware 14 Jewelry Drawer, 30" W, Matte Aluminum w Pewter</t>
  </si>
  <si>
    <t>Everstyle w/Decorative Hardware 14 Jewelry Drawer, 30" W, Matte Aluminum w Winter</t>
  </si>
  <si>
    <t>Everstyle w/Decorative Hardware 14 Jewelry Drawer, 30" W, Gold w Oyster</t>
  </si>
  <si>
    <t>Everstyle w/Decorative Hardware 14 Jewelry Drawer, 30" W, Gold w Pewter</t>
  </si>
  <si>
    <t>Everstyle w/Decorative Hardware 14 Jewelry Drawer, 30" W, Gold w Winter</t>
  </si>
  <si>
    <t>Everstyle w/Decorative Hardware 14 Jewelry Drawer, 30" W, Graphite w Oyster</t>
  </si>
  <si>
    <t>Everstyle w/Decorative Hardware 14 Jewelry Drawer, 30" W, Graphite w Pewter</t>
  </si>
  <si>
    <t>Everstyle w/Decorative Hardware 14 Jewelry Drawer, 30" W, Graphite w Winter</t>
  </si>
  <si>
    <t>Everstyle w/Decorative Hardware 14 Jewelry Drawer, 36" W, Matte Aluminum w Oyster</t>
  </si>
  <si>
    <t>Everstyle w/Decorative Hardware 14 Jewelry Drawer, 36" W, Matte Aluminum w Pewter</t>
  </si>
  <si>
    <t>Everstyle w/Decorative Hardware 14 Jewelry Drawer, 36" W, Matte Aluminum w Winter</t>
  </si>
  <si>
    <t>Everstyle w/Decorative Hardware 14 Jewelry Drawer, 36" W, Gold w Oyster</t>
  </si>
  <si>
    <t>Everstyle w/Decorative Hardware 14 Jewelry Drawer, 36" W, Gold w Pewter</t>
  </si>
  <si>
    <t>Everstyle w/Decorative Hardware 14 Jewelry Drawer, 36" W, Gold w Winter</t>
  </si>
  <si>
    <t>Everstyle w/Decorative Hardware 14 Jewelry Drawer, 36" W, Graphite w Oyster</t>
  </si>
  <si>
    <t>Everstyle w/Decorative Hardware 14 Jewelry Drawer, 36" W, Graphite w Pewter</t>
  </si>
  <si>
    <t>Everstyle w/Decorative Hardware 14 Jewelry Drawer, 36" W, Graphite w Winter</t>
  </si>
  <si>
    <t>Everstyle w/Decorative Hardware 14 Sunglasses Drawer, 18" W, Matte Aluminum w Oyster</t>
  </si>
  <si>
    <t>Everstyle w/Decorative Hardware 14 Sunglasses Drawer, 18" W, Matte Aluminum w Pewter</t>
  </si>
  <si>
    <t>Everstyle w/Decorative Hardware 14 Sunglasses Drawer, 18" W, Matte Aluminum w Winter</t>
  </si>
  <si>
    <t>Everstyle w/Decorative Hardware 14 Sunglasses Drawer, 18" W, Gold w Oyster</t>
  </si>
  <si>
    <t>Everstyle w/Decorative Hardware 14 Sunglasses Drawer, 18" W, Gold w Pewter</t>
  </si>
  <si>
    <t>Everstyle w/Decorative Hardware 14 Sunglasses Drawer, 18" W, Gold w Winter</t>
  </si>
  <si>
    <t>Everstyle w/Decorative Hardware 14 Sunglasses Drawer, 18" W, Graphite w Oyster</t>
  </si>
  <si>
    <t>Everstyle w/Decorative Hardware 14 Sunglasses Drawer, 18" W, Graphite w Pewter</t>
  </si>
  <si>
    <t>Everstyle w/Decorative Hardware 14 Sunglasses Drawer, 18" W, Graphite w Winter</t>
  </si>
  <si>
    <t>Everstyle w/Decorative Hardware 14 Sunglasses Drawer, 24" W, Matte Aluminum w Oyster</t>
  </si>
  <si>
    <t>Everstyle w/Decorative Hardware 14 Sunglasses Drawer, 24" W, Matte Aluminum w Pewter</t>
  </si>
  <si>
    <t>Everstyle w/Decorative Hardware 14 Sunglasses Drawer, 24" W, Matte Aluminum w Winter</t>
  </si>
  <si>
    <t>Everstyle w/Decorative Hardware 14 Sunglasses Drawer, 24" W, Gold w Oyster</t>
  </si>
  <si>
    <t>Everstyle w/Decorative Hardware 14 Sunglasses Drawer, 24" W, Gold w Pewter</t>
  </si>
  <si>
    <t>Everstyle w/Decorative Hardware 14 Sunglasses Drawer, 24" W, Gold w Winter</t>
  </si>
  <si>
    <t>Everstyle w/Decorative Hardware 14 Sunglasses Drawer, 24" W, Graphite w Oyster</t>
  </si>
  <si>
    <t>Everstyle w/Decorative Hardware 14 Sunglasses Drawer, 24" W, Graphite w Pewter</t>
  </si>
  <si>
    <t>Everstyle w/Decorative Hardware 14 Sunglasses Drawer, 24" W, Graphite w Winter</t>
  </si>
  <si>
    <t>Everstyle w/Decorative Hardware 14 Sunglasses Drawer, 30" W, Matte Aluminum w Oyster</t>
  </si>
  <si>
    <t>Everstyle w/Decorative Hardware 14 Sunglasses Drawer, 30" W, Matte Aluminum w Pewter</t>
  </si>
  <si>
    <t>Everstyle w/Decorative Hardware 14 Sunglasses Drawer, 30" W, Matte Aluminum w Winter</t>
  </si>
  <si>
    <t>Everstyle w/Decorative Hardware 14 Sunglasses Drawer, 30" W, Gold w Oyster</t>
  </si>
  <si>
    <t>Everstyle w/Decorative Hardware 14 Sunglasses Drawer, 30" W, Gold w Pewter</t>
  </si>
  <si>
    <t>Everstyle w/Decorative Hardware 14 Sunglasses Drawer, 30" W, Gold w Winter</t>
  </si>
  <si>
    <t>Everstyle w/Decorative Hardware 14 Sunglasses Drawer, 30" W, Graphite w Oyster</t>
  </si>
  <si>
    <t>Everstyle w/Decorative Hardware 14 Sunglasses Drawer, 30" W, Graphite w Pewter</t>
  </si>
  <si>
    <t>Everstyle w/Decorative Hardware 14 Sunglasses Drawer, 30" W, Graphite w Winter</t>
  </si>
  <si>
    <t>Everstyle w/Decorative Hardware 14 Sunglasses Drawer, 36" W, Matte Aluminum w Oyster</t>
  </si>
  <si>
    <t>Everstyle w/Decorative Hardware 14 Sunglasses Drawer, 36" W, Matte Aluminum w Pewter</t>
  </si>
  <si>
    <t>Everstyle w/Decorative Hardware 14 Sunglasses Drawer, 36" W, Matte Aluminum w Winter</t>
  </si>
  <si>
    <t>Everstyle w/Decorative Hardware 14 Sunglasses Drawer, 36" W, Gold w Oyster</t>
  </si>
  <si>
    <t>Everstyle w/Decorative Hardware 14 Sunglasses Drawer, 36" W, Gold w Pewter</t>
  </si>
  <si>
    <t>Everstyle w/Decorative Hardware 14 Sunglasses Drawer, 36" W, Gold w Winter</t>
  </si>
  <si>
    <t>Everstyle w/Decorative Hardware 14 Sunglasses Drawer, 36" W, Graphite w Oyster</t>
  </si>
  <si>
    <t>Everstyle w/Decorative Hardware 14 Sunglasses Drawer, 36" W, Graphite w Pewter</t>
  </si>
  <si>
    <t>Everstyle w/Decorative Hardware 14 Sunglasses Drawer, 36" W, Graphite w Winter</t>
  </si>
  <si>
    <t>Everstyle w/Decorative Hardware 14 Vanity Drawer, 30" W, Matte Aluminum w Oyster</t>
  </si>
  <si>
    <t>Everstyle w/Decorative Hardware 14 Vanity Drawer, 30" W, Matte Aluminum w Pewter</t>
  </si>
  <si>
    <t>Everstyle w/Decorative Hardware 14 Vanity Drawer, 30" W, Matte Aluminum w Winter</t>
  </si>
  <si>
    <t>Everstyle w/Decorative Hardware 14 Vanity Drawer, 30" W, Gold w Oyster</t>
  </si>
  <si>
    <t>Everstyle w/Decorative Hardware 14 Vanity Drawer, 30" W, Gold w Pewter</t>
  </si>
  <si>
    <t>Everstyle w/Decorative Hardware 14 Vanity Drawer, 30" W, Gold w Winter</t>
  </si>
  <si>
    <t>Everstyle w/Decorative Hardware 14 Vanity Drawer, 30" W, Graphite w Oyster</t>
  </si>
  <si>
    <t>Everstyle w/Decorative Hardware 14 Vanity Drawer, 30" W, Graphite w Pewter</t>
  </si>
  <si>
    <t>Everstyle w/Decorative Hardware 14 Vanity Drawer, 30" W, Graphite w Winter</t>
  </si>
  <si>
    <t>Everstyle w/Decorative Hardware 14 Vanity Drawer, 36" W, Matte Aluminum w Oyster</t>
  </si>
  <si>
    <t>Everstyle w/Decorative Hardware 14 Vanity Drawer, 36" W, Matte Aluminum w Pewter</t>
  </si>
  <si>
    <t>Everstyle w/Decorative Hardware 14 Vanity Drawer, 36" W, Matte Aluminum w Winter</t>
  </si>
  <si>
    <t>Everstyle w/Decorative Hardware 14 Vanity Drawer, 36" W, Gold w Oyster</t>
  </si>
  <si>
    <t>Everstyle w/Decorative Hardware 14 Vanity Drawer, 36" W, Gold w Pewter</t>
  </si>
  <si>
    <t>Everstyle w/Decorative Hardware 14 Vanity Drawer, 36" W, Gold w Winter</t>
  </si>
  <si>
    <t>Everstyle w/Decorative Hardware 14 Vanity Drawer, 36" W, Graphite w Oyster</t>
  </si>
  <si>
    <t>Everstyle w/Decorative Hardware 14 Vanity Drawer, 36" W, Graphite w Pewter</t>
  </si>
  <si>
    <t>Everstyle w/Decorative Hardware 14 Vanity Drawer, 36" W, Graphite w Winter</t>
  </si>
  <si>
    <t>Everstyle w/Decorative Hardware 14 Component Drawer, 18" W, Matte Aluminum w Oyster</t>
  </si>
  <si>
    <t>Everstyle w/Decorative Hardware 14 Component Drawer, 18" W, Matte Aluminum w Pewter</t>
  </si>
  <si>
    <t>Everstyle w/Decorative Hardware 14 Component Drawer, 18" W, Matte Aluminum w Winter</t>
  </si>
  <si>
    <t>Everstyle w/Decorative Hardware 14 Component Drawer, 18" W, Gold w Oyster</t>
  </si>
  <si>
    <t>Everstyle w/Decorative Hardware 14 Component Drawer, 18" W, Gold w Pewter</t>
  </si>
  <si>
    <t>Everstyle w/Decorative Hardware 14 Component Drawer, 18" W, Gold w Winter</t>
  </si>
  <si>
    <t>Everstyle w/Decorative Hardware 14 Component Drawer, 18" W, Graphite w Oyster</t>
  </si>
  <si>
    <t>Everstyle w/Decorative Hardware 14 Component Drawer, 18" W, Graphite w Pewter</t>
  </si>
  <si>
    <t>Everstyle w/Decorative Hardware 14 Component Drawer, 18" W, Graphite w Winter</t>
  </si>
  <si>
    <t>Everstyle w/Decorative Hardware 14 Component Drawer, 24" W, Matte Aluminum w Oyster</t>
  </si>
  <si>
    <t>Everstyle w/Decorative Hardware 14 Component Drawer, 24" W, Matte Aluminum w Pewter</t>
  </si>
  <si>
    <t>Everstyle w/Decorative Hardware 14 Component Drawer, 24" W, Matte Aluminum w Winter</t>
  </si>
  <si>
    <t>Everstyle w/Decorative Hardware 14 Component Drawer, 24" W, Gold w Oyster</t>
  </si>
  <si>
    <t>Everstyle w/Decorative Hardware 14 Component Drawer, 24" W, Gold w Pewter</t>
  </si>
  <si>
    <t>Everstyle w/Decorative Hardware 14 Component Drawer, 24" W, Gold w Winter</t>
  </si>
  <si>
    <t>Everstyle w/Decorative Hardware 14 Component Drawer, 24" W, Graphite w Oyster</t>
  </si>
  <si>
    <t>Everstyle w/Decorative Hardware 14 Component Drawer, 24" W, Graphite w Pewter</t>
  </si>
  <si>
    <t>Everstyle w/Decorative Hardware 14 Component Drawer, 24" W, Graphite w Winter</t>
  </si>
  <si>
    <t>Everstyle w/Decorative Hardware 14 Component Drawer, 30" W, Matte Aluminum w Oyster</t>
  </si>
  <si>
    <t>Everstyle w/Decorative Hardware 14 Component Drawer, 30" W, Matte Aluminum w Pewter</t>
  </si>
  <si>
    <t>Everstyle w/Decorative Hardware 14 Component Drawer, 30" W, Matte Aluminum w Winter</t>
  </si>
  <si>
    <t>Everstyle w/Decorative Hardware 14 Component Drawer, 30" W, Gold w Oyster</t>
  </si>
  <si>
    <t>Everstyle w/Decorative Hardware 14 Component Drawer, 30" W, Gold w Pewter</t>
  </si>
  <si>
    <t>Everstyle w/Decorative Hardware 14 Component Drawer, 30" W, Gold w Winter</t>
  </si>
  <si>
    <t>Everstyle w/Decorative Hardware 14 Component Drawer, 30" W, Graphite w Oyster</t>
  </si>
  <si>
    <t>Everstyle w/Decorative Hardware 14 Component Drawer, 30" W, Graphite w Pewter</t>
  </si>
  <si>
    <t>Everstyle w/Decorative Hardware 14 Component Drawer, 30" W, Graphite w Winter</t>
  </si>
  <si>
    <t>Everstyle w/Decorative Hardware 14 Component Drawer, 36" W, Matte Aluminum w Oyster</t>
  </si>
  <si>
    <t>Everstyle w/Decorative Hardware 14 Component Drawer, 36" W, Matte Aluminum w Pewter</t>
  </si>
  <si>
    <t>Everstyle w/Decorative Hardware 14 Component Drawer, 36" W, Matte Aluminum w Winter</t>
  </si>
  <si>
    <t>Everstyle w/Decorative Hardware 14 Component Drawer, 36" W, Gold w Oyster</t>
  </si>
  <si>
    <t>Everstyle w/Decorative Hardware 14 Component Drawer, 36" W, Gold w Pewter</t>
  </si>
  <si>
    <t>Everstyle w/Decorative Hardware 14 Component Drawer, 36" W, Gold w Winter</t>
  </si>
  <si>
    <t>Everstyle w/Decorative Hardware 14 Component Drawer, 36" W, Graphite w Oyster</t>
  </si>
  <si>
    <t>Everstyle w/Decorative Hardware 14 Component Drawer, 36" W, Graphite w Pewter</t>
  </si>
  <si>
    <t>Everstyle w/Decorative Hardware 14 Component Drawer, 36" W, Graphite w Winter</t>
  </si>
  <si>
    <t>Everstyle w/Decorative Hardware 14 Divided Basket, 18" W, Matte Aluminum w Oyster</t>
  </si>
  <si>
    <t>Everstyle w/Decorative Hardware 14 Divided Basket, 18" W, Matte Aluminum w Pewter</t>
  </si>
  <si>
    <t>Everstyle w/Decorative Hardware 14 Divided Basket, 18" W, Matte Aluminum w Winter</t>
  </si>
  <si>
    <t>Everstyle w/Decorative Hardware 14 Divided Basket, 18" W, Gold w Oyster</t>
  </si>
  <si>
    <t>Everstyle w/Decorative Hardware 14 Divided Basket, 18" W, Gold w Pewter</t>
  </si>
  <si>
    <t>Everstyle w/Decorative Hardware 14 Divided Basket, 18" W, Gold w Winter</t>
  </si>
  <si>
    <t>Everstyle w/Decorative Hardware 14 Divided Basket, 18" W, Graphite w Oyster</t>
  </si>
  <si>
    <t>Everstyle w/Decorative Hardware 14 Divided Basket, 18" W, Graphite w Pewter</t>
  </si>
  <si>
    <t>Everstyle w/Decorative Hardware 14 Divided Basket, 18" W, Graphite w Winter</t>
  </si>
  <si>
    <t>Everstyle w/Decorative Hardware 14 Divided Basket, 24" W, Matte Aluminum w Oyster</t>
  </si>
  <si>
    <t>Everstyle w/Decorative Hardware 14 Divided Basket, 24" W, Matte Aluminum w Pewter</t>
  </si>
  <si>
    <t>Everstyle w/Decorative Hardware 14 Divided Basket, 24" W, Matte Aluminum w Winter</t>
  </si>
  <si>
    <t>Everstyle w/Decorative Hardware 14 Divided Basket, 24" W, Gold w Oyster</t>
  </si>
  <si>
    <t>Everstyle w/Decorative Hardware 14 Divided Basket, 24" W, Gold w Pewter</t>
  </si>
  <si>
    <t>Everstyle w/Decorative Hardware 14 Divided Basket, 24" W, Gold w Winter</t>
  </si>
  <si>
    <t>Everstyle w/Decorative Hardware 14 Divided Basket, 24" W, Graphite w Oyster</t>
  </si>
  <si>
    <t>Everstyle w/Decorative Hardware 14 Divided Basket, 24" W, Graphite w Pewter</t>
  </si>
  <si>
    <t>Everstyle w/Decorative Hardware 14 Divided Basket, 24" W, Graphite w Winter</t>
  </si>
  <si>
    <t>Everstyle w/Decorative Hardware 14 Divided Basket, 30" W, Matte Aluminum w Oyster</t>
  </si>
  <si>
    <t>Everstyle w/Decorative Hardware 14 Divided Basket, 30" W, Matte Aluminum w Pewter</t>
  </si>
  <si>
    <t>Everstyle w/Decorative Hardware 14 Divided Basket, 30" W, Matte Aluminum w Winter</t>
  </si>
  <si>
    <t>Everstyle w/Decorative Hardware 14 Divided Basket, 30" W, Gold w Oyster</t>
  </si>
  <si>
    <t>Everstyle w/Decorative Hardware 14 Divided Basket, 30" W, Gold w Pewter</t>
  </si>
  <si>
    <t>Everstyle w/Decorative Hardware 14 Divided Basket, 30" W, Gold w Winter</t>
  </si>
  <si>
    <t>Everstyle w/Decorative Hardware 14 Divided Basket, 30" W, Graphite w Oyster</t>
  </si>
  <si>
    <t>Everstyle w/Decorative Hardware 14 Divided Basket, 30" W, Graphite w Pewter</t>
  </si>
  <si>
    <t>Everstyle w/Decorative Hardware 14 Divided Basket, 30" W, Graphite w Winter</t>
  </si>
  <si>
    <t>Everstyle w/Decorative Hardware 14 Divided Basket, 36" W, Matte Aluminum w Oyster</t>
  </si>
  <si>
    <t>Everstyle w/Decorative Hardware 14 Divided Basket, 36" W, Matte Aluminum w Pewter</t>
  </si>
  <si>
    <t>Everstyle w/Decorative Hardware 14 Divided Basket, 36" W, Matte Aluminum w Winter</t>
  </si>
  <si>
    <t>Everstyle w/Decorative Hardware 14 Divided Basket, 36" W, Gold w Oyster</t>
  </si>
  <si>
    <t>Everstyle w/Decorative Hardware 14 Divided Basket, 36" W, Gold w Pewter</t>
  </si>
  <si>
    <t>Everstyle w/Decorative Hardware 14 Divided Basket, 36" W, Gold w Winter</t>
  </si>
  <si>
    <t>Everstyle w/Decorative Hardware 14 Divided Basket, 36" W, Graphite w Oyster</t>
  </si>
  <si>
    <t>Everstyle w/Decorative Hardware 14 Divided Basket, 36" W, Graphite w Pewter</t>
  </si>
  <si>
    <t>Everstyle w/Decorative Hardware 14 Divided Basket, 36" W, Graphite w Winter</t>
  </si>
  <si>
    <t>Everstyle w/Decorative Hardware 14 Deep Divided Basket, 18" W, Matte Aluminum w Oyster</t>
  </si>
  <si>
    <t>Everstyle w/Decorative Hardware 14 Deep Divided Basket, 18" W, Matte Aluminum w Pewter</t>
  </si>
  <si>
    <t>Everstyle w/Decorative Hardware 14 Deep Divided Basket, 18" W, Matte Aluminum w Winter</t>
  </si>
  <si>
    <t>Everstyle w/Decorative Hardware 14 Deep Divided Basket, 18" W, Gold w Oyster</t>
  </si>
  <si>
    <t>Everstyle w/Decorative Hardware 14 Deep Divided Basket, 18" W, Gold w Pewter</t>
  </si>
  <si>
    <t>Everstyle w/Decorative Hardware 14 Deep Divided Basket, 18" W, Gold w Winter</t>
  </si>
  <si>
    <t>Everstyle w/Decorative Hardware 14 Deep Divided Basket, 18" W, Graphite w Oyster</t>
  </si>
  <si>
    <t>Everstyle w/Decorative Hardware 14 Deep Divided Basket, 18" W, Graphite w Pewter</t>
  </si>
  <si>
    <t>Everstyle w/Decorative Hardware 14 Deep Divided Basket, 18" W, Graphite w Winter</t>
  </si>
  <si>
    <t>Everstyle w/Decorative Hardware 14 Deep Divided Basket, 24" W, Matte Aluminum w Oyster</t>
  </si>
  <si>
    <t>Everstyle w/Decorative Hardware 14 Deep Divided Basket, 24" W, Matte Aluminum w Pewter</t>
  </si>
  <si>
    <t>Everstyle w/Decorative Hardware 14 Deep Divided Basket, 24" W, Matte Aluminum w Winter</t>
  </si>
  <si>
    <t>Everstyle w/Decorative Hardware 14 Deep Divided Basket, 24" W, Gold w Oyster</t>
  </si>
  <si>
    <t>Everstyle w/Decorative Hardware 14 Deep Divided Basket, 24" W, Gold w Pewter</t>
  </si>
  <si>
    <t>Everstyle w/Decorative Hardware 14 Deep Divided Basket, 24" W, Gold w Winter</t>
  </si>
  <si>
    <t>Everstyle w/Decorative Hardware 14 Deep Divided Basket, 24" W, Graphite w Oyster</t>
  </si>
  <si>
    <t>Everstyle w/Decorative Hardware 14 Deep Divided Basket, 24" W, Graphite w Pewter</t>
  </si>
  <si>
    <t>Everstyle w/Decorative Hardware 14 Deep Divided Basket, 24" W, Graphite w Winter</t>
  </si>
  <si>
    <t>Everstyle w/Decorative Hardware 14 Deep Divided Basket, 30" W, Matte Aluminum w Oyster</t>
  </si>
  <si>
    <t>Everstyle w/Decorative Hardware 14 Deep Divided Basket, 30" W, Matte Aluminum w Pewter</t>
  </si>
  <si>
    <t>Everstyle w/Decorative Hardware 14 Deep Divided Basket, 30" W, Matte Aluminum w Winter</t>
  </si>
  <si>
    <t>Everstyle w/Decorative Hardware 14 Deep Divided Basket, 30" W, Gold w Oyster</t>
  </si>
  <si>
    <t>Everstyle w/Decorative Hardware 14 Deep Divided Basket, 30" W, Gold w Pewter</t>
  </si>
  <si>
    <t>Everstyle w/Decorative Hardware 14 Deep Divided Basket, 30" W, Gold w Winter</t>
  </si>
  <si>
    <t>Everstyle w/Decorative Hardware 14 Deep Divided Basket, 30" W, Graphite w Oyster</t>
  </si>
  <si>
    <t>Everstyle w/Decorative Hardware 14 Deep Divided Basket, 30" W, Graphite w Pewter</t>
  </si>
  <si>
    <t>Everstyle w/Decorative Hardware 14 Deep Divided Basket, 30" W, Graphite w Winter</t>
  </si>
  <si>
    <t>Everstyle w/Decorative Hardware 14 Deep Divided Basket, 36" W, Matte Aluminum w Oyster</t>
  </si>
  <si>
    <t>Everstyle w/Decorative Hardware 14 Deep Divided Basket, 36" W, Matte Aluminum w Pewter</t>
  </si>
  <si>
    <t>Everstyle w/Decorative Hardware 14 Deep Divided Basket, 36" W, Matte Aluminum w Winter</t>
  </si>
  <si>
    <t>Everstyle w/Decorative Hardware 14 Deep Divided Basket, 36" W, Gold w Oyster</t>
  </si>
  <si>
    <t>Everstyle w/Decorative Hardware 14 Deep Divided Basket, 36" W, Gold w Pewter</t>
  </si>
  <si>
    <t>Everstyle w/Decorative Hardware 14 Deep Divided Basket, 36" W, Gold w Winter</t>
  </si>
  <si>
    <t>Everstyle w/Decorative Hardware 14 Deep Divided Basket, 36" W, Graphite w Oyster</t>
  </si>
  <si>
    <t>Everstyle w/Decorative Hardware 14 Deep Divided Basket, 36" W, Graphite w Pewter</t>
  </si>
  <si>
    <t>Everstyle w/Decorative Hardware 14 Deep Divided Basket, 36" W, Graphite w Winter</t>
  </si>
  <si>
    <t>Everstyle w/Decorative Hardware 14 Hanging Pant &amp; Linen Drawer, 18" W, Matte Aluminum</t>
  </si>
  <si>
    <t>Everstyle w/Decorative Hardware 14 Hanging Pant &amp; Linen Drawer, 18" W, Gold</t>
  </si>
  <si>
    <t>Everstyle w/Decorative Hardware 14 Hanging Pant &amp; Linen Drawer, 18" W, Graphite</t>
  </si>
  <si>
    <t>Everstyle w/Decorative Hardware 14 Hanging Pant &amp; Linen Drawer, 24" W, Matte Aluminum</t>
  </si>
  <si>
    <t>Everstyle w/Decorative Hardware 14 Hanging Pant &amp; Linen Drawer, 24" W, Gold</t>
  </si>
  <si>
    <t>Everstyle w/Decorative Hardware 14 Hanging Pant &amp; Linen Drawer, 24" W, Graphite</t>
  </si>
  <si>
    <t>Everstyle w/Decorative Hardware 14 Hanging Pant &amp; Linen Drawer, 30" W, Matte Aluminum</t>
  </si>
  <si>
    <t>Everstyle w/Decorative Hardware 14 Hanging Pant &amp; Linen Drawer, 30" W, Gold</t>
  </si>
  <si>
    <t>Everstyle w/Decorative Hardware 14 Hanging Pant &amp; Linen Drawer, 30" W, Graphite</t>
  </si>
  <si>
    <t>Everstyle w/Decorative Hardware 14 Hanging Pant &amp; Linen Drawer, 36" W, Matte Aluminum</t>
  </si>
  <si>
    <t>Everstyle w/Decorative Hardware 14 Hanging Pant &amp; Linen Drawer, 36" W, Gold</t>
  </si>
  <si>
    <t>Everstyle w/Decorative Hardware 14 Hanging Pant &amp; Linen Drawer, 36" W, Graphite</t>
  </si>
  <si>
    <t>Everstyle w/Decorative Hardware 20 Sock Drawer, 18" W, Matte Aluminum w Oyster</t>
  </si>
  <si>
    <t>Everstyle w/Decorative Hardware 20 Sock Drawer, 18" W, Matte Aluminum w Pewter</t>
  </si>
  <si>
    <t>Everstyle w/Decorative Hardware 20 Sock Drawer, 18" W, Matte Aluminum w Winter</t>
  </si>
  <si>
    <t>Everstyle w/Decorative Hardware 20 Sock Drawer, 18" W, Gold w Oyster</t>
  </si>
  <si>
    <t>Everstyle w/Decorative Hardware 20 Sock Drawer, 18" W, Gold w Pewter</t>
  </si>
  <si>
    <t>Everstyle w/Decorative Hardware 20 Sock Drawer, 18" W, Gold w Winter</t>
  </si>
  <si>
    <t>Everstyle w/Decorative Hardware 20 Sock Drawer, 18" W, Graphite w Oyster</t>
  </si>
  <si>
    <t>Everstyle w/Decorative Hardware 20 Sock Drawer, 18" W, Graphite w Pewter</t>
  </si>
  <si>
    <t>Everstyle w/Decorative Hardware 20 Sock Drawer, 18" W, Graphite w Winter</t>
  </si>
  <si>
    <t>Everstyle w/Decorative Hardware 20 Sock Drawer, 24" W, Matte Aluminum w Oyster</t>
  </si>
  <si>
    <t>Everstyle w/Decorative Hardware 20 Sock Drawer, 24" W, Matte Aluminum w Pewter</t>
  </si>
  <si>
    <t>Everstyle w/Decorative Hardware 20 Sock Drawer, 24" W, Matte Aluminum w Winter</t>
  </si>
  <si>
    <t>Everstyle w/Decorative Hardware 20 Sock Drawer, 24" W, Gold w Oyster</t>
  </si>
  <si>
    <t>Everstyle w/Decorative Hardware 20 Sock Drawer, 24" W, Gold w Pewter</t>
  </si>
  <si>
    <t>Everstyle w/Decorative Hardware 20 Sock Drawer, 24" W, Gold w Winter</t>
  </si>
  <si>
    <t>Everstyle w/Decorative Hardware 20 Sock Drawer, 24" W, Graphite w Oyster</t>
  </si>
  <si>
    <t>Everstyle w/Decorative Hardware 20 Sock Drawer, 24" W, Graphite w Pewter</t>
  </si>
  <si>
    <t>Everstyle w/Decorative Hardware 20 Sock Drawer, 24" W, Graphite w Winter</t>
  </si>
  <si>
    <t>Everstyle w/Decorative Hardware 20 Sock Drawer, 30" W, Matte Aluminum w Oyster</t>
  </si>
  <si>
    <t>Everstyle w/Decorative Hardware 20 Sock Drawer, 30" W, Matte Aluminum w Pewter</t>
  </si>
  <si>
    <t>Everstyle w/Decorative Hardware 20 Sock Drawer, 30" W, Matte Aluminum w Winter</t>
  </si>
  <si>
    <t>Everstyle w/Decorative Hardware 20 Sock Drawer, 30" W, Gold w Oyster</t>
  </si>
  <si>
    <t>Everstyle w/Decorative Hardware 20 Sock Drawer, 30" W, Gold w Pewter</t>
  </si>
  <si>
    <t>Everstyle w/Decorative Hardware 20 Sock Drawer, 30" W, Gold w Winter</t>
  </si>
  <si>
    <t>Everstyle w/Decorative Hardware 20 Sock Drawer, 30" W, Graphite w Oyster</t>
  </si>
  <si>
    <t>Everstyle w/Decorative Hardware 20 Sock Drawer, 30" W, Graphite w Pewter</t>
  </si>
  <si>
    <t>Everstyle w/Decorative Hardware 20 Sock Drawer, 30" W, Graphite w Winter</t>
  </si>
  <si>
    <t>Everstyle w/Decorative Hardware 20 Sock Drawer, 36" W, Matte Aluminum w Oyster</t>
  </si>
  <si>
    <t>Everstyle w/Decorative Hardware 20 Sock Drawer, 36" W, Matte Aluminum w Pewter</t>
  </si>
  <si>
    <t>Everstyle w/Decorative Hardware 20 Sock Drawer, 36" W, Matte Aluminum w Winter</t>
  </si>
  <si>
    <t>Everstyle w/Decorative Hardware 20 Sock Drawer, 36" W, Gold w Oyster</t>
  </si>
  <si>
    <t>Everstyle w/Decorative Hardware 20 Sock Drawer, 36" W, Gold w Pewter</t>
  </si>
  <si>
    <t>Everstyle w/Decorative Hardware 20 Sock Drawer, 36" W, Gold w Winter</t>
  </si>
  <si>
    <t>Everstyle w/Decorative Hardware 20 Sock Drawer, 36" W, Graphite w Oyster</t>
  </si>
  <si>
    <t>Everstyle w/Decorative Hardware 20 Sock Drawer, 36" W, Graphite w Pewter</t>
  </si>
  <si>
    <t>Everstyle w/Decorative Hardware 20 Sock Drawer, 36" W, Graphite w Winter</t>
  </si>
  <si>
    <t>Everstyle w/Decorative Hardware 20 Shirt Drawer, 18" W, Matte Aluminum w Oyster</t>
  </si>
  <si>
    <t>Everstyle w/Decorative Hardware 20 Shirt Drawer, 18" W, Matte Aluminum w Pewter</t>
  </si>
  <si>
    <t>Everstyle w/Decorative Hardware 20 Shirt Drawer, 18" W, Matte Aluminum w Winter</t>
  </si>
  <si>
    <t>Everstyle w/Decorative Hardware 20 Shirt Drawer, 18" W, Gold w Oyster</t>
  </si>
  <si>
    <t>Everstyle w/Decorative Hardware 20 Shirt Drawer, 18" W, Gold w Pewter</t>
  </si>
  <si>
    <t>Everstyle w/Decorative Hardware 20 Shirt Drawer, 18" W, Gold w Winter</t>
  </si>
  <si>
    <t>Everstyle w/Decorative Hardware 20 Shirt Drawer, 18" W, Graphite w Oyster</t>
  </si>
  <si>
    <t>Everstyle w/Decorative Hardware 20 Shirt Drawer, 18" W, Graphite w Pewter</t>
  </si>
  <si>
    <t>Everstyle w/Decorative Hardware 20 Shirt Drawer, 18" W, Graphite w Winter</t>
  </si>
  <si>
    <t>Everstyle w/Decorative Hardware 20 Shirt Drawer, 24" W, Matte Aluminum w Oyster</t>
  </si>
  <si>
    <t>Everstyle w/Decorative Hardware 20 Shirt Drawer, 24" W, Matte Aluminum w Pewter</t>
  </si>
  <si>
    <t>Everstyle w/Decorative Hardware 20 Shirt Drawer, 24" W, Matte Aluminum w Winter</t>
  </si>
  <si>
    <t>Everstyle w/Decorative Hardware 20 Shirt Drawer, 24" W, Gold w Oyster</t>
  </si>
  <si>
    <t>Everstyle w/Decorative Hardware 20 Shirt Drawer, 24" W, Gold w Pewter</t>
  </si>
  <si>
    <t>Everstyle w/Decorative Hardware 20 Shirt Drawer, 24" W, Gold w Winter</t>
  </si>
  <si>
    <t>Everstyle w/Decorative Hardware 20 Shirt Drawer, 24" W, Graphite w Oyster</t>
  </si>
  <si>
    <t>Everstyle w/Decorative Hardware 20 Shirt Drawer, 24" W, Graphite w Pewter</t>
  </si>
  <si>
    <t>Everstyle w/Decorative Hardware 20 Shirt Drawer, 24" W, Graphite w Winter</t>
  </si>
  <si>
    <t>Everstyle w/Decorative Hardware 20 Shirt Drawer, 30" W, Matte Aluminum w Oyster</t>
  </si>
  <si>
    <t>Everstyle w/Decorative Hardware 20 Shirt Drawer, 30" W, Matte Aluminum w Pewter</t>
  </si>
  <si>
    <t>Everstyle w/Decorative Hardware 20 Shirt Drawer, 30" W, Matte Aluminum w Winter</t>
  </si>
  <si>
    <t>Everstyle w/Decorative Hardware 20 Shirt Drawer, 30" W, Gold w Oyster</t>
  </si>
  <si>
    <t>Everstyle w/Decorative Hardware 20 Shirt Drawer, 30" W, Gold w Pewter</t>
  </si>
  <si>
    <t>Everstyle w/Decorative Hardware 20 Shirt Drawer, 30" W, Gold w Winter</t>
  </si>
  <si>
    <t>Everstyle w/Decorative Hardware 20 Shirt Drawer, 30" W, Graphite w Oyster</t>
  </si>
  <si>
    <t>Everstyle w/Decorative Hardware 20 Shirt Drawer, 30" W, Graphite w Pewter</t>
  </si>
  <si>
    <t>Everstyle w/Decorative Hardware 20 Shirt Drawer, 30" W, Graphite w Winter</t>
  </si>
  <si>
    <t>Everstyle w/Decorative Hardware 20 Shirt Drawer, 36" W, Matte Aluminum w Oyster</t>
  </si>
  <si>
    <t>Everstyle w/Decorative Hardware 20 Shirt Drawer, 36" W, Matte Aluminum w Pewter</t>
  </si>
  <si>
    <t>Everstyle w/Decorative Hardware 20 Shirt Drawer, 36" W, Matte Aluminum w Winter</t>
  </si>
  <si>
    <t>Everstyle w/Decorative Hardware 20 Shirt Drawer, 36" W, Gold w Oyster</t>
  </si>
  <si>
    <t>Everstyle w/Decorative Hardware 20 Shirt Drawer, 36" W, Gold w Pewter</t>
  </si>
  <si>
    <t>Everstyle w/Decorative Hardware 20 Shirt Drawer, 36" W, Gold w Winter</t>
  </si>
  <si>
    <t>Everstyle w/Decorative Hardware 20 Shirt Drawer, 36" W, Graphite w Oyster</t>
  </si>
  <si>
    <t>Everstyle w/Decorative Hardware 20 Shirt Drawer, 36" W, Graphite w Pewter</t>
  </si>
  <si>
    <t>Everstyle w/Decorative Hardware 20 Shirt Drawer, 36" W, Graphite w Winter</t>
  </si>
  <si>
    <t>Everstyle w/Decorative Hardware 20 Versatile Drawer, 18" W, Matte Aluminum w Oyster</t>
  </si>
  <si>
    <t>Everstyle w/Decorative Hardware 20 Versatile Drawer, 18" W, Matte Aluminum w Pewter</t>
  </si>
  <si>
    <t>Everstyle w/Decorative Hardware 20 Versatile Drawer, 18" W, Matte Aluminum w Winter</t>
  </si>
  <si>
    <t>Everstyle w/Decorative Hardware 20 Versatile Drawer, 18" W, Gold w Oyster</t>
  </si>
  <si>
    <t>Everstyle w/Decorative Hardware 20 Versatile Drawer, 18" W, Gold w Pewter</t>
  </si>
  <si>
    <t>Everstyle w/Decorative Hardware 20 Versatile Drawer, 18" W, Gold w Winter</t>
  </si>
  <si>
    <t>Everstyle w/Decorative Hardware 20 Versatile Drawer, 18" W, Graphite w Oyster</t>
  </si>
  <si>
    <t>Everstyle w/Decorative Hardware 20 Versatile Drawer, 18" W, Graphite w Pewter</t>
  </si>
  <si>
    <t>Everstyle w/Decorative Hardware 20 Versatile Drawer, 18" W, Graphite w Winter</t>
  </si>
  <si>
    <t>Everstyle w/Decorative Hardware 20 Versatile Drawer, 24" W, Matte Aluminum w Oyster</t>
  </si>
  <si>
    <t>Everstyle w/Decorative Hardware 20 Versatile Drawer, 24" W, Matte Aluminum w Pewter</t>
  </si>
  <si>
    <t>Everstyle w/Decorative Hardware 20 Versatile Drawer, 24" W, Matte Aluminum w Winter</t>
  </si>
  <si>
    <t>Everstyle w/Decorative Hardware 20 Versatile Drawer, 24" W, Gold w Oyster</t>
  </si>
  <si>
    <t>Everstyle w/Decorative Hardware 20 Versatile Drawer, 24" W, Gold w Pewter</t>
  </si>
  <si>
    <t>Everstyle w/Decorative Hardware 20 Versatile Drawer, 24" W, Gold w Winter</t>
  </si>
  <si>
    <t>Everstyle w/Decorative Hardware 20 Versatile Drawer, 24" W, Graphite w Oyster</t>
  </si>
  <si>
    <t>Everstyle w/Decorative Hardware 20 Versatile Drawer, 24" W, Graphite w Pewter</t>
  </si>
  <si>
    <t>Everstyle w/Decorative Hardware 20 Versatile Drawer, 24" W, Graphite w Winter</t>
  </si>
  <si>
    <t>Everstyle w/Decorative Hardware 20 Versatile Drawer, 30" W, Matte Aluminum w Oyster</t>
  </si>
  <si>
    <t>Everstyle w/Decorative Hardware 20 Versatile Drawer, 30" W, Matte Aluminum w Pewter</t>
  </si>
  <si>
    <t>Everstyle w/Decorative Hardware 20 Versatile Drawer, 30" W, Matte Aluminum w Winter</t>
  </si>
  <si>
    <t>Everstyle w/Decorative Hardware 20 Versatile Drawer, 30" W, Gold w Oyster</t>
  </si>
  <si>
    <t>Everstyle w/Decorative Hardware 20 Versatile Drawer, 30" W, Gold w Pewter</t>
  </si>
  <si>
    <t>Everstyle w/Decorative Hardware 20 Versatile Drawer, 30" W, Gold w Winter</t>
  </si>
  <si>
    <t>Everstyle w/Decorative Hardware 20 Versatile Drawer, 30" W, Graphite w Oyster</t>
  </si>
  <si>
    <t>Everstyle w/Decorative Hardware 20 Versatile Drawer, 30" W, Graphite w Pewter</t>
  </si>
  <si>
    <t>Everstyle w/Decorative Hardware 20 Versatile Drawer, 30" W, Graphite w Winter</t>
  </si>
  <si>
    <t>Everstyle w/Decorative Hardware 20 Versatile Drawer, 36" W, Matte Aluminum w Oyster</t>
  </si>
  <si>
    <t>Everstyle w/Decorative Hardware 20 Versatile Drawer, 36" W, Matte Aluminum w Pewter</t>
  </si>
  <si>
    <t>Everstyle w/Decorative Hardware 20 Versatile Drawer, 36" W, Matte Aluminum w Winter</t>
  </si>
  <si>
    <t>Everstyle w/Decorative Hardware 20 Versatile Drawer, 36" W, Gold w Oyster</t>
  </si>
  <si>
    <t>Everstyle w/Decorative Hardware 20 Versatile Drawer, 36" W, Gold w Pewter</t>
  </si>
  <si>
    <t>Everstyle w/Decorative Hardware 20 Versatile Drawer, 36" W, Gold w Winter</t>
  </si>
  <si>
    <t>Everstyle w/Decorative Hardware 20 Versatile Drawer, 36" W, Graphite w Oyster</t>
  </si>
  <si>
    <t>Everstyle w/Decorative Hardware 20 Versatile Drawer, 36" W, Graphite w Pewter</t>
  </si>
  <si>
    <t>Everstyle w/Decorative Hardware 20 Versatile Drawer, 36" W, Graphite w Winter</t>
  </si>
  <si>
    <t>Everstyle w/Decorative Hardware 20 Remote Drawer, 18" W, Matte Aluminum w Oyster</t>
  </si>
  <si>
    <t>Everstyle w/Decorative Hardware 20 Remote Drawer, 18" W, Matte Aluminum w Pewter</t>
  </si>
  <si>
    <t>Everstyle w/Decorative Hardware 20 Remote Drawer, 18" W, Matte Aluminum w Winter</t>
  </si>
  <si>
    <t>Everstyle w/Decorative Hardware 20 Remote Drawer, 18" W, Gold w Oyster</t>
  </si>
  <si>
    <t>Everstyle w/Decorative Hardware 20 Remote Drawer, 18" W, Gold w Pewter</t>
  </si>
  <si>
    <t>Everstyle w/Decorative Hardware 20 Remote Drawer, 18" W, Gold w Winter</t>
  </si>
  <si>
    <t>Everstyle w/Decorative Hardware 20 Remote Drawer, 18" W, Graphite w Oyster</t>
  </si>
  <si>
    <t>Everstyle w/Decorative Hardware 20 Remote Drawer, 18" W, Graphite w Pewter</t>
  </si>
  <si>
    <t>Everstyle w/Decorative Hardware 20 Remote Drawer, 18" W, Graphite w Winter</t>
  </si>
  <si>
    <t>Everstyle w/Decorative Hardware 20 Remote Drawer, 24" W, Matte Aluminum w Oyster</t>
  </si>
  <si>
    <t>Everstyle w/Decorative Hardware 20 Remote Drawer, 24" W, Matte Aluminum w Pewter</t>
  </si>
  <si>
    <t>Everstyle w/Decorative Hardware 20 Remote Drawer, 24" W, Matte Aluminum w Winter</t>
  </si>
  <si>
    <t>Everstyle w/Decorative Hardware 20 Remote Drawer, 24" W, Gold w Oyster</t>
  </si>
  <si>
    <t>Everstyle w/Decorative Hardware 20 Remote Drawer, 24" W, Gold w Pewter</t>
  </si>
  <si>
    <t>Everstyle w/Decorative Hardware 20 Remote Drawer, 24" W, Gold w Winter</t>
  </si>
  <si>
    <t>Everstyle w/Decorative Hardware 20 Remote Drawer, 24" W, Graphite w Oyster</t>
  </si>
  <si>
    <t>Everstyle w/Decorative Hardware 20 Remote Drawer, 24" W, Graphite w Pewter</t>
  </si>
  <si>
    <t>Everstyle w/Decorative Hardware 20 Remote Drawer, 24" W, Graphite w Winter</t>
  </si>
  <si>
    <t>Everstyle w/Decorative Hardware 20 Remote Drawer, 30" W, Matte Aluminum w Oyster</t>
  </si>
  <si>
    <t>Everstyle w/Decorative Hardware 20 Remote Drawer, 30" W, Matte Aluminum w Pewter</t>
  </si>
  <si>
    <t>Everstyle w/Decorative Hardware 20 Remote Drawer, 30" W, Matte Aluminum w Winter</t>
  </si>
  <si>
    <t>Everstyle w/Decorative Hardware 20 Remote Drawer, 30" W, Gold w Oyster</t>
  </si>
  <si>
    <t>Everstyle w/Decorative Hardware 20 Remote Drawer, 30" W, Gold w Pewter</t>
  </si>
  <si>
    <t>Everstyle w/Decorative Hardware 20 Remote Drawer, 30" W, Gold w Winter</t>
  </si>
  <si>
    <t>Everstyle w/Decorative Hardware 20 Remote Drawer, 30" W, Graphite w Oyster</t>
  </si>
  <si>
    <t>Everstyle w/Decorative Hardware 20 Remote Drawer, 30" W, Graphite w Pewter</t>
  </si>
  <si>
    <t>Everstyle w/Decorative Hardware 20 Remote Drawer, 30" W, Graphite w Winter</t>
  </si>
  <si>
    <t>Everstyle w/Decorative Hardware 20 Remote Drawer, 36" W, Matte Aluminum w Oyster</t>
  </si>
  <si>
    <t>Everstyle w/Decorative Hardware 20 Remote Drawer, 36" W, Matte Aluminum w Pewter</t>
  </si>
  <si>
    <t>Everstyle w/Decorative Hardware 20 Remote Drawer, 36" W, Matte Aluminum w Winter</t>
  </si>
  <si>
    <t>Everstyle w/Decorative Hardware 20 Remote Drawer, 36" W, Gold w Oyster</t>
  </si>
  <si>
    <t>Everstyle w/Decorative Hardware 20 Remote Drawer, 36" W, Gold w Pewter</t>
  </si>
  <si>
    <t>Everstyle w/Decorative Hardware 20 Remote Drawer, 36" W, Gold w Winter</t>
  </si>
  <si>
    <t>Everstyle w/Decorative Hardware 20 Remote Drawer, 36" W, Graphite w Oyster</t>
  </si>
  <si>
    <t>Everstyle w/Decorative Hardware 20 Remote Drawer, 36" W, Graphite w Pewter</t>
  </si>
  <si>
    <t>Everstyle w/Decorative Hardware 20 Remote Drawer, 36" W, Graphite w Winter</t>
  </si>
  <si>
    <t>Everstyle w/Decorative Hardware 20 Shoe Drawer, 18" W, Matte Aluminum w Oyster</t>
  </si>
  <si>
    <t>Everstyle w/Decorative Hardware 20 Shoe Drawer , 18" W, Matte Aluminum w Pewter</t>
  </si>
  <si>
    <t>Everstyle w/Decorative Hardware 20 Shoe Drawer , 18" W, Matte Aluminum w Winter</t>
  </si>
  <si>
    <t>Everstyle w/Decorative Hardware 20 Shoe Drawer, 18" W, Gold w Oyster</t>
  </si>
  <si>
    <t>Everstyle w/Decorative Hardware 20 Shoe Drawer, 18" W, Gold w Pewter</t>
  </si>
  <si>
    <t>Everstyle w/Decorative Hardware 20 Shoe Drawer, 18" W, Gold w Winter</t>
  </si>
  <si>
    <t>Everstyle w/Decorative Hardware 20 Shoe Drawer, 18" W, Graphite w Oyster</t>
  </si>
  <si>
    <t>Everstyle w/Decorative Hardware 20 Shoe Drawer , 18" W, Graphite w Pewter</t>
  </si>
  <si>
    <t>Everstyle w/Decorative Hardware 20 Shoe Drawer , 18" W, Graphite w Winter</t>
  </si>
  <si>
    <t>Everstyle w/Decorative Hardware 20 Shoe Drawer, 24" W, Matte Aluminum w Oyster</t>
  </si>
  <si>
    <t>Everstyle w/Decorative Hardware 20 Shoe Drawer , 24" W, Matte Aluminum w Pewter</t>
  </si>
  <si>
    <t>Everstyle w/Decorative Hardware 20 Shoe Drawer , 24" W, Matte Aluminum w Winter</t>
  </si>
  <si>
    <t>Everstyle w/Decorative Hardware 20 Shoe Drawer, 24" W, Gold w Oyster</t>
  </si>
  <si>
    <t>Everstyle w/Decorative Hardware 20 Shoe Drawer, 24" W, Gold w Pewter</t>
  </si>
  <si>
    <t>Everstyle w/Decorative Hardware 20 Shoe Drawer, 24" W, Gold w Winter</t>
  </si>
  <si>
    <t>Everstyle w/Decorative Hardware 20 Shoe Drawer, 24" W, Graphite w Oyster</t>
  </si>
  <si>
    <t>Everstyle w/Decorative Hardware 20 Shoe Drawer , 24" W, Graphite w Pewter</t>
  </si>
  <si>
    <t>Everstyle w/Decorative Hardware 20 Shoe Drawer , 24" W, Graphite w Winter</t>
  </si>
  <si>
    <t>Everstyle w/Decorative Hardware 20 Shoe Drawer, 30" W, Matte Aluminum w Oyster</t>
  </si>
  <si>
    <t>Everstyle w/Decorative Hardware 20 Shoe Drawer , 30" W, Matte Aluminum w Pewter</t>
  </si>
  <si>
    <t>Everstyle w/Decorative Hardware 20 Shoe Drawer , 30" W, Matte Aluminum w Winter</t>
  </si>
  <si>
    <t>Everstyle w/Decorative Hardware 20 Shoe Drawer, 30" W, Gold w Oyster</t>
  </si>
  <si>
    <t>Everstyle w/Decorative Hardware 20 Shoe Drawer, 30" W, Gold w Pewter</t>
  </si>
  <si>
    <t>Everstyle w/Decorative Hardware 20 Shoe Drawer, 30" W, Gold w Winter</t>
  </si>
  <si>
    <t>Everstyle w/Decorative Hardware 20 Shoe Drawer, 30" W, Graphite w Oyster</t>
  </si>
  <si>
    <t>Everstyle w/Decorative Hardware 20 Shoe Drawer , 30" W, Graphite w Pewter</t>
  </si>
  <si>
    <t>Everstyle w/Decorative Hardware 20 Shoe Drawer , 30" W, Graphite w Winter</t>
  </si>
  <si>
    <t>Everstyle w/Decorative Hardware 20 Shoe Drawer, 36" W, Matte Aluminum w Oyster</t>
  </si>
  <si>
    <t>Everstyle w/Decorative Hardware 20 Shoe Drawer , 36" W, Matte Aluminum w Pewter</t>
  </si>
  <si>
    <t>Everstyle w/Decorative Hardware 20 Shoe Drawer , 36" W, Matte Aluminum w Winter</t>
  </si>
  <si>
    <t>Everstyle w/Decorative Hardware 20 Shoe Drawer, 36" W, Gold w Oyster</t>
  </si>
  <si>
    <t>Everstyle w/Decorative Hardware 20 Shoe Drawer, 36" W, Gold w Pewter</t>
  </si>
  <si>
    <t>Everstyle w/Decorative Hardware 20 Shoe Drawer, 36" W, Gold w Winter</t>
  </si>
  <si>
    <t>Everstyle w/Decorative Hardware 20 Shoe Drawer, 36" W, Graphite w Oyster</t>
  </si>
  <si>
    <t>Everstyle w/Decorative Hardware 20 Shoe Drawer , 36" W, Graphite w Pewter</t>
  </si>
  <si>
    <t>Everstyle w/Decorative Hardware 20 Shoe Drawer , 36" W, Graphite w Winter</t>
  </si>
  <si>
    <t>Everstyle w/Decorative Hardware 20 Tie &amp; Belt Drawer, 18" W, Matte Aluminum w Oyster</t>
  </si>
  <si>
    <t>Everstyle w/Decorative Hardware 20 Tie &amp; Belt Drawer, 18" W, Matte Aluminum w Pewter</t>
  </si>
  <si>
    <t>Everstyle w/Decorative Hardware 20 Tie &amp; Belt Drawer, 18" W, Matte Aluminum w Winter</t>
  </si>
  <si>
    <t>Everstyle w/Decorative Hardware 20 Tie &amp; Belt Drawer, 18" W, Gold w Oyster</t>
  </si>
  <si>
    <t>Everstyle w/Decorative Hardware 20 Tie &amp; Belt Drawer, 18" W, Gold w Pewter</t>
  </si>
  <si>
    <t>Everstyle w/Decorative Hardware 20 Tie &amp; Belt Drawer, 18" W, Gold w Winter</t>
  </si>
  <si>
    <t>Everstyle w/Decorative Hardware 20 Tie &amp; Belt Drawer, 18" W, Graphite w Oyster</t>
  </si>
  <si>
    <t>Everstyle w/Decorative Hardware 20 Tie &amp; Belt Drawer, 18" W, Graphite w Pewter</t>
  </si>
  <si>
    <t>Everstyle w/Decorative Hardware 20 Tie &amp; Belt Drawer, 18" W, Graphite w Winter</t>
  </si>
  <si>
    <t>Everstyle w/Decorative Hardware 20 Tie &amp; Belt Drawer, 24" W, Matte Aluminum w Oyster</t>
  </si>
  <si>
    <t>Everstyle w/Decorative Hardware 20 Tie &amp; Belt Drawer, 24" W, Matte Aluminum w Pewter</t>
  </si>
  <si>
    <t>Everstyle w/Decorative Hardware 20 Tie &amp; Belt Drawer, 24" W, Matte Aluminum w Winter</t>
  </si>
  <si>
    <t>Everstyle w/Decorative Hardware 20 Tie &amp; Belt Drawer, 24" W, Gold w Oyster</t>
  </si>
  <si>
    <t>Everstyle w/Decorative Hardware 20 Tie &amp; Belt Drawer, 24" W, Gold w Pewter</t>
  </si>
  <si>
    <t>Everstyle w/Decorative Hardware 20 Tie &amp; Belt Drawer, 24" W, Gold w Winter</t>
  </si>
  <si>
    <t>Everstyle w/Decorative Hardware 20 Tie &amp; Belt Drawer, 24" W, Graphite w Oyster</t>
  </si>
  <si>
    <t>Everstyle w/Decorative Hardware 20 Tie &amp; Belt Drawer, 24" W, Graphite w Pewter</t>
  </si>
  <si>
    <t>Everstyle w/Decorative Hardware 20 Tie &amp; Belt Drawer, 24" W, Graphite w Winter</t>
  </si>
  <si>
    <t>Everstyle w/Decorative Hardware 20 Tie &amp; Belt Drawer, 30" W, Matte Aluminum w Oyster</t>
  </si>
  <si>
    <t>Everstyle w/Decorative Hardware 20 Tie &amp; Belt Drawer, 30" W, Matte Aluminum w Pewter</t>
  </si>
  <si>
    <t>Everstyle w/Decorative Hardware 20 Tie &amp; Belt Drawer, 30" W, Matte Aluminum w Winter</t>
  </si>
  <si>
    <t>Everstyle w/Decorative Hardware 20 Tie &amp; Belt Drawer, 30" W, Gold w Oyster</t>
  </si>
  <si>
    <t>Everstyle w/Decorative Hardware 20 Tie &amp; Belt Drawer, 30" W, Gold w Pewter</t>
  </si>
  <si>
    <t>Everstyle w/Decorative Hardware 20 Tie &amp; Belt Drawer, 30" W, Gold w Winter</t>
  </si>
  <si>
    <t>Everstyle w/Decorative Hardware 20 Tie &amp; Belt Drawer, 30" W, Graphite w Oyster</t>
  </si>
  <si>
    <t>Everstyle w/Decorative Hardware 20 Tie &amp; Belt Drawer, 30" W, Graphite w Pewter</t>
  </si>
  <si>
    <t>Everstyle w/Decorative Hardware 20 Tie &amp; Belt Drawer, 30" W, Graphite w Winter</t>
  </si>
  <si>
    <t>Everstyle w/Decorative Hardware 20 Tie &amp; Belt Drawer, 36" W, Matte Aluminum w Oyster</t>
  </si>
  <si>
    <t>Everstyle w/Decorative Hardware 20 Tie &amp; Belt Drawer, 36" W, Matte Aluminum w Pewter</t>
  </si>
  <si>
    <t>Everstyle w/Decorative Hardware 20 Tie &amp; Belt Drawer, 36" W, Matte Aluminum w Winter</t>
  </si>
  <si>
    <t>Everstyle w/Decorative Hardware 20 Tie &amp; Belt Drawer, 36" W, Gold w Oyster</t>
  </si>
  <si>
    <t>Everstyle w/Decorative Hardware 20 Tie &amp; Belt Drawer, 36" W, Gold w Pewter</t>
  </si>
  <si>
    <t>Everstyle w/Decorative Hardware 20 Tie &amp; Belt Drawer, 36" W, Gold w Winter</t>
  </si>
  <si>
    <t>Everstyle w/Decorative Hardware 20 Tie &amp; Belt Drawer, 36" W, Graphite w Oyster</t>
  </si>
  <si>
    <t>Everstyle w/Decorative Hardware 20 Tie &amp; Belt Drawer, 36" W, Graphite w Pewter</t>
  </si>
  <si>
    <t>Everstyle w/Decorative Hardware 20 Tie &amp; Belt Drawer, 36" W, Graphite w Winter</t>
  </si>
  <si>
    <t>Everstyle w/Decorative Hardware 20 Jewelry Drawer, 18" W, Matte Aluminum w Oyster</t>
  </si>
  <si>
    <t>Everstyle w/Decorative Hardware 20 Jewelry Drawer, 18" W, Matte Aluminum w Pewter</t>
  </si>
  <si>
    <t>Everstyle w/Decorative Hardware 20 Jewelry Drawer, 18" W, Matte Aluminum w Winter</t>
  </si>
  <si>
    <t>Everstyle w/Decorative Hardware 20 Jewelry Drawer, 18" W, Gold w Oyster</t>
  </si>
  <si>
    <t>Everstyle w/Decorative Hardware 20 Jewelry Drawer, 18" W, Gold w Pewter</t>
  </si>
  <si>
    <t>Everstyle w/Decorative Hardware 20 Jewelry Drawer, 18" W, Gold w Winter</t>
  </si>
  <si>
    <t>Everstyle w/Decorative Hardware 20 Jewelry Drawer, 18" W, Graphite w Oyster</t>
  </si>
  <si>
    <t>Everstyle w/Decorative Hardware 20 Jewelry Drawer, 18" W, Graphite w Pewter</t>
  </si>
  <si>
    <t>Everstyle w/Decorative Hardware 20 Jewelry Drawer, 18" W, Graphite w Winter</t>
  </si>
  <si>
    <t>Everstyle w/Decorative Hardware 20 Jewelry Drawer, 24" W, Matte Aluminum w Oyster</t>
  </si>
  <si>
    <t>Everstyle w/Decorative Hardware 20 Jewelry Drawer, 24" W, Matte Aluminum w Pewter</t>
  </si>
  <si>
    <t>Everstyle w/Decorative Hardware 20 Jewelry Drawer, 24" W, Matte Aluminum w Winter</t>
  </si>
  <si>
    <t>Everstyle w/Decorative Hardware 20 Jewelry Drawer, 24" W, Gold w Oyster</t>
  </si>
  <si>
    <t>Everstyle w/Decorative Hardware 20 Jewelry Drawer, 24" W, Gold w Pewter</t>
  </si>
  <si>
    <t>Everstyle w/Decorative Hardware 20 Jewelry Drawer, 24" W, Gold w Winter</t>
  </si>
  <si>
    <t>Everstyle w/Decorative Hardware 20 Jewelry Drawer, 24" W, Graphite w Oyster</t>
  </si>
  <si>
    <t>Everstyle w/Decorative Hardware 20 Jewelry Drawer, 24" W, Graphite w Pewter</t>
  </si>
  <si>
    <t>Everstyle w/Decorative Hardware 20 Jewelry Drawer, 24" W, Graphite w Winter</t>
  </si>
  <si>
    <t>Everstyle w/Decorative Hardware 20 Jewelry Drawer, 30" W, Matte Aluminum w Oyster</t>
  </si>
  <si>
    <t>Everstyle w/Decorative Hardware 20 Jewelry Drawer, 30" W, Matte Aluminum w Pewter</t>
  </si>
  <si>
    <t>Everstyle w/Decorative Hardware 20 Jewelry Drawer, 30" W, Matte Aluminum w Winter</t>
  </si>
  <si>
    <t>Everstyle w/Decorative Hardware 20 Jewelry Drawer, 30" W, Gold w Oyster</t>
  </si>
  <si>
    <t>Everstyle w/Decorative Hardware 20 Jewelry Drawer, 30" W, Gold w Pewter</t>
  </si>
  <si>
    <t>Everstyle w/Decorative Hardware 20 Jewelry Drawer, 30" W, Gold w Winter</t>
  </si>
  <si>
    <t>Everstyle w/Decorative Hardware 20 Jewelry Drawer, 30" W, Graphite w Oyster</t>
  </si>
  <si>
    <t>Everstyle w/Decorative Hardware 20 Jewelry Drawer, 30" W, Graphite w Pewter</t>
  </si>
  <si>
    <t>Everstyle w/Decorative Hardware 20 Jewelry Drawer, 30" W, Graphite w Winter</t>
  </si>
  <si>
    <t>Everstyle w/Decorative Hardware 20 Jewelry Drawer, 36" W, Matte Aluminum w Oyster</t>
  </si>
  <si>
    <t>Everstyle w/Decorative Hardware 20 Jewelry Drawer, 36" W, Matte Aluminum w Pewter</t>
  </si>
  <si>
    <t>Everstyle w/Decorative Hardware 20 Jewelry Drawer, 36" W, Matte Aluminum w Winter</t>
  </si>
  <si>
    <t>Everstyle w/Decorative Hardware 20 Jewelry Drawer, 36" W, Gold w Oyster</t>
  </si>
  <si>
    <t>Everstyle w/Decorative Hardware 20 Jewelry Drawer, 36" W, Gold w Pewter</t>
  </si>
  <si>
    <t>Everstyle w/Decorative Hardware 20 Jewelry Drawer, 36" W, Gold w Winter</t>
  </si>
  <si>
    <t>Everstyle w/Decorative Hardware 20 Jewelry Drawer, 36" W, Graphite w Oyster</t>
  </si>
  <si>
    <t>Everstyle w/Decorative Hardware 20 Jewelry Drawer, 36" W, Graphite w Pewter</t>
  </si>
  <si>
    <t>Everstyle w/Decorative Hardware 20 Jewelry Drawer, 36" W, Graphite w Winter</t>
  </si>
  <si>
    <t>Everstyle w/Decorative Hardware 20 Sunglasses Drawer, 18" W, Matte Aluminum w Oyster</t>
  </si>
  <si>
    <t>Everstyle w/Decorative Hardware 20 Sunglasses Drawer, 18" W, Matte Aluminum w Pewter</t>
  </si>
  <si>
    <t>Everstyle w/Decorative Hardware 20 Sunglasses Drawer, 18" W, Matte Aluminum w Winter</t>
  </si>
  <si>
    <t>Everstyle w/Decorative Hardware 20 Sunglasses Drawer, 18" W, Gold w Oyster</t>
  </si>
  <si>
    <t>Everstyle w/Decorative Hardware 20 Sunglasses Drawer, 18" W, Gold w Pewter</t>
  </si>
  <si>
    <t>Everstyle w/Decorative Hardware 20 Sunglasses Drawer, 18" W, Gold w Winter</t>
  </si>
  <si>
    <t>Everstyle w/Decorative Hardware 20 Sunglasses Drawer, 18" W, Graphite w Oyster</t>
  </si>
  <si>
    <t>Everstyle w/Decorative Hardware 20 Sunglasses Drawer, 18" W, Graphite w Pewter</t>
  </si>
  <si>
    <t>Everstyle w/Decorative Hardware 20 Sunglasses Drawer, 18" W, Graphite w Winter</t>
  </si>
  <si>
    <t>Everstyle w/Decorative Hardware 20 Sunglasses Drawer, 24" W, Matte Aluminum w Oyster</t>
  </si>
  <si>
    <t>Everstyle w/Decorative Hardware 20 Sunglasses Drawer, 24" W, Matte Aluminum w Pewter</t>
  </si>
  <si>
    <t>Everstyle w/Decorative Hardware 20 Sunglasses Drawer, 24" W, Matte Aluminum w Winter</t>
  </si>
  <si>
    <t>Everstyle w/Decorative Hardware 20 Sunglasses Drawer, 24" W, Gold w Oyster</t>
  </si>
  <si>
    <t>Everstyle w/Decorative Hardware 20 Sunglasses Drawer, 24" W, Gold w Pewter</t>
  </si>
  <si>
    <t>Everstyle w/Decorative Hardware 20 Sunglasses Drawer, 24" W, Gold w Winter</t>
  </si>
  <si>
    <t>Everstyle w/Decorative Hardware 20 Sunglasses Drawer, 24" W, Graphite w Oyster</t>
  </si>
  <si>
    <t>Everstyle w/Decorative Hardware 20 Sunglasses Drawer, 24" W, Graphite w Pewter</t>
  </si>
  <si>
    <t>Everstyle w/Decorative Hardware 20 Sunglasses Drawer, 24" W, Graphite w Winter</t>
  </si>
  <si>
    <t>Everstyle w/Decorative Hardware 20 Sunglasses Drawer, 30" W, Matte Aluminum w Oyster</t>
  </si>
  <si>
    <t>Everstyle w/Decorative Hardware 20 Sunglasses Drawer, 30" W, Matte Aluminum w Pewter</t>
  </si>
  <si>
    <t>Everstyle w/Decorative Hardware 20 Sunglasses Drawer, 30" W, Matte Aluminum w Winter</t>
  </si>
  <si>
    <t>Everstyle w/Decorative Hardware 20 Sunglasses Drawer, 30" W, Gold w Oyster</t>
  </si>
  <si>
    <t>Everstyle w/Decorative Hardware 20 Sunglasses Drawer, 30" W, Gold w Pewter</t>
  </si>
  <si>
    <t>Everstyle w/Decorative Hardware 20 Sunglasses Drawer, 30" W, Gold w Winter</t>
  </si>
  <si>
    <t>Everstyle w/Decorative Hardware 20 Sunglasses Drawer, 30" W, Graphite w Oyster</t>
  </si>
  <si>
    <t>Everstyle w/Decorative Hardware 20 Sunglasses Drawer, 30" W, Graphite w Pewter</t>
  </si>
  <si>
    <t>Everstyle w/Decorative Hardware 20 Sunglasses Drawer, 30" W, Graphite w Winter</t>
  </si>
  <si>
    <t>Everstyle w/Decorative Hardware 20 Sunglasses Drawer, 36" W, Matte Aluminum w Oyster</t>
  </si>
  <si>
    <t>Everstyle w/Decorative Hardware 20 Sunglasses Drawer, 36" W, Matte Aluminum w Pewter</t>
  </si>
  <si>
    <t>Everstyle w/Decorative Hardware 20 Sunglasses Drawer, 36" W, Matte Aluminum w Winter</t>
  </si>
  <si>
    <t>Everstyle w/Decorative Hardware 20 Sunglasses Drawer, 36" W, Gold w Oyster</t>
  </si>
  <si>
    <t>Everstyle w/Decorative Hardware 20 Sunglasses Drawer, 36" W, Gold w Pewter</t>
  </si>
  <si>
    <t>Everstyle w/Decorative Hardware 20 Sunglasses Drawer, 36" W, Gold w Winter</t>
  </si>
  <si>
    <t>Everstyle w/Decorative Hardware 20 Sunglasses Drawer, 36" W, Graphite w Oyster</t>
  </si>
  <si>
    <t>Everstyle w/Decorative Hardware 20 Sunglasses Drawer, 36" W, Graphite w Pewter</t>
  </si>
  <si>
    <t>Everstyle w/Decorative Hardware 20 Sunglasses Drawer, 36" W, Graphite w Winter</t>
  </si>
  <si>
    <t>Everstyle w/Decorative Hardware 20 Component Drawer, 18" W, Matte Aluminum w Oyster</t>
  </si>
  <si>
    <t>Everstyle w/Decorative Hardware 20 Component Drawer, 18" W, Matte Aluminum w Pewter</t>
  </si>
  <si>
    <t>Everstyle w/Decorative Hardware 20 Component Drawer, 18" W, Matte Aluminum w Winter</t>
  </si>
  <si>
    <t>Everstyle w/Decorative Hardware 20 Component Drawer, 18" W, Gold w Oyster</t>
  </si>
  <si>
    <t>Everstyle w/Decorative Hardware 20 Component Drawer, 18" W, Gold w Pewter</t>
  </si>
  <si>
    <t>Everstyle w/Decorative Hardware 20 Component Drawer, 18" W, Gold w Winter</t>
  </si>
  <si>
    <t>Everstyle w/Decorative Hardware 20 Component Drawer, 18" W, Graphite w Oyster</t>
  </si>
  <si>
    <t>Everstyle w/Decorative Hardware 20 Component Drawer, 18" W, Graphite w Pewter</t>
  </si>
  <si>
    <t>Everstyle w/Decorative Hardware 20 Component Drawer, 18" W, Graphite w Winter</t>
  </si>
  <si>
    <t>Everstyle w/Decorative Hardware 20 Component Drawer, 24" W, Matte Aluminum w Oyster</t>
  </si>
  <si>
    <t>Everstyle w/Decorative Hardware 20 Component Drawer, 24" W, Matte Aluminum w Pewter</t>
  </si>
  <si>
    <t>Everstyle w/Decorative Hardware 20 Component Drawer, 24" W, Matte Aluminum w Winter</t>
  </si>
  <si>
    <t>Everstyle w/Decorative Hardware 20 Component Drawer, 24" W, Gold w Oyster</t>
  </si>
  <si>
    <t>Everstyle w/Decorative Hardware 20 Component Drawer, 24" W, Gold w Pewter</t>
  </si>
  <si>
    <t>Everstyle w/Decorative Hardware 20 Component Drawer, 24" W, Gold w Winter</t>
  </si>
  <si>
    <t>Everstyle w/Decorative Hardware 20 Component Drawer, 24" W, Graphite w Oyster</t>
  </si>
  <si>
    <t>Everstyle w/Decorative Hardware 20 Component Drawer, 24" W, Graphite w Pewter</t>
  </si>
  <si>
    <t>Everstyle w/Decorative Hardware 20 Component Drawer, 24" W, Graphite w Winter</t>
  </si>
  <si>
    <t>Everstyle w/Decorative Hardware 20 Component Drawer, 30" W, Matte Aluminum w Oyster</t>
  </si>
  <si>
    <t>Everstyle w/Decorative Hardware 20 Component Drawer, 30" W, Matte Aluminum w Pewter</t>
  </si>
  <si>
    <t>Everstyle w/Decorative Hardware 20 Component Drawer, 30" W, Matte Aluminum w Winter</t>
  </si>
  <si>
    <t>Everstyle w/Decorative Hardware 20 Component Drawer, 30" W, Gold w Oyster</t>
  </si>
  <si>
    <t>Everstyle w/Decorative Hardware 20 Component Drawer, 30" W, Gold w Pewter</t>
  </si>
  <si>
    <t>Everstyle w/Decorative Hardware 20 Component Drawer, 30" W, Gold w Winter</t>
  </si>
  <si>
    <t>Everstyle w/Decorative Hardware 20 Component Drawer, 30" W, Graphite w Oyster</t>
  </si>
  <si>
    <t>Everstyle w/Decorative Hardware 20 Component Drawer, 30" W, Graphite w Pewter</t>
  </si>
  <si>
    <t>Everstyle w/Decorative Hardware 20 Component Drawer, 30" W, Graphite w Winter</t>
  </si>
  <si>
    <t>Everstyle w/Decorative Hardware 20 Component Drawer, 36" W, Matte Aluminum w Oyster</t>
  </si>
  <si>
    <t>Everstyle w/Decorative Hardware 20 Component Drawer, 36" W, Matte Aluminum w Pewter</t>
  </si>
  <si>
    <t>Everstyle w/Decorative Hardware 20 Component Drawer, 36" W, Matte Aluminum w Winter</t>
  </si>
  <si>
    <t>Everstyle w/Decorative Hardware 20 Component Drawer, 36" W, Gold w Oyster</t>
  </si>
  <si>
    <t>Everstyle w/Decorative Hardware 20 Component Drawer, 36" W, Gold w Pewter</t>
  </si>
  <si>
    <t>Everstyle w/Decorative Hardware 20 Component Drawer, 36" W, Gold w Winter</t>
  </si>
  <si>
    <t>Everstyle w/Decorative Hardware 20 Component Drawer, 36" W, Graphite w Oyster</t>
  </si>
  <si>
    <t>Everstyle w/Decorative Hardware 20 Component Drawer, 36" W, Graphite w Pewter</t>
  </si>
  <si>
    <t>Everstyle w/Decorative Hardware 20 Component Drawer, 36" W, Graphite w Winter</t>
  </si>
  <si>
    <t>Everstyle w/Decorative Hardware 20 Divided Basket, 18" W, Matte Aluminum w Oyster</t>
  </si>
  <si>
    <t>Everstyle w/Decorative Hardware 20 Divided Basket, 18" W, Matte Aluminum w Pewter</t>
  </si>
  <si>
    <t>Everstyle w/Decorative Hardware 20 Divided Basket, 18" W, Matte Aluminum w Winter</t>
  </si>
  <si>
    <t>Everstyle w/Decorative Hardware 20 Divided Basket, 18" W, Gold w Oyster</t>
  </si>
  <si>
    <t>Everstyle w/Decorative Hardware 20 Divided Basket, 18" W, Gold w Pewter</t>
  </si>
  <si>
    <t>Everstyle w/Decorative Hardware 20 Divided Basket, 18" W, Gold w Winter</t>
  </si>
  <si>
    <t>Everstyle w/Decorative Hardware 20 Divided Basket, 18" W, Graphite w Oyster</t>
  </si>
  <si>
    <t>Everstyle w/Decorative Hardware 20 Divided Basket, 18" W, Graphite w Pewter</t>
  </si>
  <si>
    <t>Everstyle w/Decorative Hardware 20 Divided Basket, 18" W, Graphite w Winter</t>
  </si>
  <si>
    <t>Everstyle w/Decorative Hardware 20 Divided Basket, 24" W, Matte Aluminum w Oyster</t>
  </si>
  <si>
    <t>Everstyle w/Decorative Hardware 20 Divided Basket, 24" W, Matte Aluminum w Pewter</t>
  </si>
  <si>
    <t>Everstyle w/Decorative Hardware 20 Divided Basket, 24" W, Matte Aluminum w Winter</t>
  </si>
  <si>
    <t>Everstyle w/Decorative Hardware 20 Divided Basket, 24" W, Gold w Oyster</t>
  </si>
  <si>
    <t>Everstyle w/Decorative Hardware 20 Divided Basket, 24" W, Gold w Pewter</t>
  </si>
  <si>
    <t>Everstyle w/Decorative Hardware 20 Divided Basket, 24" W, Gold w Winter</t>
  </si>
  <si>
    <t>Everstyle w/Decorative Hardware 20 Divided Basket, 24" W, Graphite w Oyster</t>
  </si>
  <si>
    <t>Everstyle w/Decorative Hardware 20 Divided Basket, 24" W, Graphite w Pewter</t>
  </si>
  <si>
    <t>Everstyle w/Decorative Hardware 20 Divided Basket, 24" W, Graphite w Winter</t>
  </si>
  <si>
    <t>Everstyle w/Decorative Hardware 20 Divided Basket, 30" W, Matte Aluminum w Oyster</t>
  </si>
  <si>
    <t>Everstyle w/Decorative Hardware 20 Divided Basket, 30" W, Matte Aluminum w Pewter</t>
  </si>
  <si>
    <t>Everstyle w/Decorative Hardware 20 Divided Basket, 30" W, Matte Aluminum w Winter</t>
  </si>
  <si>
    <t>Everstyle w/Decorative Hardware 20 Divided Basket, 30" W, Gold w Oyster</t>
  </si>
  <si>
    <t>Everstyle w/Decorative Hardware 20 Divided Basket, 30" W, Gold w Pewter</t>
  </si>
  <si>
    <t>Everstyle w/Decorative Hardware 20 Divided Basket, 30" W, Gold w Winter</t>
  </si>
  <si>
    <t>Everstyle w/Decorative Hardware 20 Divided Basket, 30" W, Graphite w Oyster</t>
  </si>
  <si>
    <t>Everstyle w/Decorative Hardware 20 Divided Basket, 30" W, Graphite w Pewter</t>
  </si>
  <si>
    <t>Everstyle w/Decorative Hardware 20 Divided Basket, 30" W, Graphite w Winter</t>
  </si>
  <si>
    <t>Everstyle w/Decorative Hardware 20 Divided Basket, 36" W, Matte Aluminum w Oyster</t>
  </si>
  <si>
    <t>Everstyle w/Decorative Hardware 20 Divided Basket, 36" W, Matte Aluminum w Pewter</t>
  </si>
  <si>
    <t>Everstyle w/Decorative Hardware 20 Divided Basket, 36" W, Matte Aluminum w Winter</t>
  </si>
  <si>
    <t>Everstyle w/Decorative Hardware 20 Divided Basket, 36" W, Gold w Oyster</t>
  </si>
  <si>
    <t>Everstyle w/Decorative Hardware 20 Divided Basket, 36" W, Gold w Pewter</t>
  </si>
  <si>
    <t>Everstyle w/Decorative Hardware 20 Divided Basket, 36" W, Gold w Winter</t>
  </si>
  <si>
    <t>Everstyle w/Decorative Hardware 20 Divided Basket, 36" W, Graphite w Oyster</t>
  </si>
  <si>
    <t>Everstyle w/Decorative Hardware 20 Divided Basket, 36" W, Graphite w Pewter</t>
  </si>
  <si>
    <t>Everstyle w/Decorative Hardware 20 Divided Basket, 36" W, Graphite w Winter</t>
  </si>
  <si>
    <t>Everstyle w/Decorative Hardware 20 Deep Divided Basket, 18" W, Matte Aluminum w Oyster</t>
  </si>
  <si>
    <t>Everstyle w/Decorative Hardware 20 Deep Divided Basket, 18" W, Matte Aluminum w Pewter</t>
  </si>
  <si>
    <t>Everstyle w/Decorative Hardware 20 Deep Divided Basket, 18" W, Matte Aluminum w Winter</t>
  </si>
  <si>
    <t>Everstyle w/Decorative Hardware 20 Deep Divided Basket, 18" W, Gold w Oyster</t>
  </si>
  <si>
    <t>Everstyle w/Decorative Hardware 20 Deep Divided Basket, 18" W, Gold w Pewter</t>
  </si>
  <si>
    <t>Everstyle w/Decorative Hardware 20 Deep Divided Basket, 18" W, Gold w Winter</t>
  </si>
  <si>
    <t>Everstyle w/Decorative Hardware 20 Deep Divided Basket, 18" W, Graphite w Oyster</t>
  </si>
  <si>
    <t>Everstyle w/Decorative Hardware 20 Deep Divided Basket, 18" W, Graphite w Pewter</t>
  </si>
  <si>
    <t>Everstyle w/Decorative Hardware 20 Deep Divided Basket, 18" W, Graphite w Winter</t>
  </si>
  <si>
    <t>Everstyle w/Decorative Hardware 20 Deep Divided Basket, 24" W, Matte Aluminum w Oyster</t>
  </si>
  <si>
    <t>Everstyle w/Decorative Hardware 20 Deep Divided Basket, 24" W, Matte Aluminum w Pewter</t>
  </si>
  <si>
    <t>Everstyle w/Decorative Hardware 20 Deep Divided Basket, 24" W, Matte Aluminum w Winter</t>
  </si>
  <si>
    <t>Everstyle w/Decorative Hardware 20 Deep Divided Basket, 24" W, Gold w Oyster</t>
  </si>
  <si>
    <t>Everstyle w/Decorative Hardware 20 Deep Divided Basket, 24" W, Gold w Pewter</t>
  </si>
  <si>
    <t>Everstyle w/Decorative Hardware 20 Deep Divided Basket, 24" W, Gold w Winter</t>
  </si>
  <si>
    <t>Everstyle w/Decorative Hardware 20 Deep Divided Basket, 24" W, Graphite w Oyster</t>
  </si>
  <si>
    <t>Everstyle w/Decorative Hardware 20 Deep Divided Basket, 24" W, Graphite w Pewter</t>
  </si>
  <si>
    <t>Everstyle w/Decorative Hardware 20 Deep Divided Basket, 24" W, Graphite w Winter</t>
  </si>
  <si>
    <t>Everstyle w/Decorative Hardware 20 Deep Divided Basket, 30" W, Matte Aluminum w Oyster</t>
  </si>
  <si>
    <t>Everstyle w/Decorative Hardware 20 Deep Divided Basket, 30" W, Matte Aluminum w Pewter</t>
  </si>
  <si>
    <t>Everstyle w/Decorative Hardware 20 Deep Divided Basket, 30" W, Matte Aluminum w Winter</t>
  </si>
  <si>
    <t>Everstyle w/Decorative Hardware 20 Deep Divided Basket, 30" W, Gold w Oyster</t>
  </si>
  <si>
    <t>Everstyle w/Decorative Hardware 20 Deep Divided Basket, 30" W, Gold w Pewter</t>
  </si>
  <si>
    <t>Everstyle w/Decorative Hardware 20 Deep Divided Basket, 30" W, Gold w Winter</t>
  </si>
  <si>
    <t>Everstyle w/Decorative Hardware 20 Deep Divided Basket, 30" W, Graphite w Oyster</t>
  </si>
  <si>
    <t>Everstyle w/Decorative Hardware 20 Deep Divided Basket, 30" W, Graphite w Pewter</t>
  </si>
  <si>
    <t>Everstyle w/Decorative Hardware 20 Deep Divided Basket, 30" W, Graphite w Winter</t>
  </si>
  <si>
    <t>Everstyle w/Decorative Hardware 20 Deep Divided Basket, 36" W, Matte Aluminum w Oyster</t>
  </si>
  <si>
    <t>Everstyle w/Decorative Hardware 20 Deep Divided Basket, 36" W, Matte Aluminum w Pewter</t>
  </si>
  <si>
    <t>Everstyle w/Decorative Hardware 20 Deep Divided Basket, 36" W, Matte Aluminum w Winter</t>
  </si>
  <si>
    <t>Everstyle w/Decorative Hardware 20 Deep Divided Basket, 36" W, Gold w Oyster</t>
  </si>
  <si>
    <t>Everstyle w/Decorative Hardware 20 Deep Divided Basket, 36" W, Gold w Pewter</t>
  </si>
  <si>
    <t>Everstyle w/Decorative Hardware 20 Deep Divided Basket, 36" W, Gold w Winter</t>
  </si>
  <si>
    <t>Everstyle w/Decorative Hardware 20 Deep Divided Basket, 36" W, Graphite w Oyster</t>
  </si>
  <si>
    <t>Everstyle w/Decorative Hardware 20 Deep Divided Basket, 36" W, Graphite w Pewter</t>
  </si>
  <si>
    <t>Everstyle w/Decorative Hardware 20 Deep Divided Basket, 36" W, Graphite w Winter</t>
  </si>
  <si>
    <t>Everstyle w/Decorative Hardware 20 Laundry Basket, 18" W, Matte Aluminum w Oyster</t>
  </si>
  <si>
    <t>Everstyle w/Decorative Hardware 20 Laundry Basket, 18" W, Matte Aluminum w Pewter</t>
  </si>
  <si>
    <t>Everstyle w/Decorative Hardware 20 Laundry Basket, 18" W, Matte Aluminum w Winter</t>
  </si>
  <si>
    <t>Everstyle w/Decorative Hardware 20 Laundry Basket, 18" W, Gold w Oyster</t>
  </si>
  <si>
    <t>Everstyle w/Decorative Hardware 20 Laundry Basket, 18" W, Gold w Pewter</t>
  </si>
  <si>
    <t>Everstyle w/Decorative Hardware 20 Laundry Basket, 18" W, Gold w Winter</t>
  </si>
  <si>
    <t>Everstyle w/Decorative Hardware 20 Laundry Basket, 18" W, Graphite w Oyster</t>
  </si>
  <si>
    <t>Everstyle w/Decorative Hardware 20 Laundry Basket, 18" W, Graphite w Pewter</t>
  </si>
  <si>
    <t>Everstyle w/Decorative Hardware 20 Laundry Basket, 18" W, Graphite w Winter</t>
  </si>
  <si>
    <t>Everstyle w/Decorative Hardware 20 Laundry Basket, 24" W, Matte Aluminum w Oyster</t>
  </si>
  <si>
    <t>Everstyle w/Decorative Hardware 20 Laundry Basket, 24" W, Matte Aluminum w Pewter</t>
  </si>
  <si>
    <t>Everstyle w/Decorative Hardware 20 Laundry Basket, 24" W, Matte Aluminum w Winter</t>
  </si>
  <si>
    <t>Everstyle w/Decorative Hardware 20 Laundry Basket, 24" W, Gold w Oyster</t>
  </si>
  <si>
    <t>Everstyle w/Decorative Hardware 20 Laundry Basket, 24" W, Gold w Pewter</t>
  </si>
  <si>
    <t>Everstyle w/Decorative Hardware 20 Laundry Basket, 24" W, Gold w Winter</t>
  </si>
  <si>
    <t>Everstyle w/Decorative Hardware 20 Laundry Basket, 24" W, Graphite w Oyster</t>
  </si>
  <si>
    <t>Everstyle w/Decorative Hardware 20 Laundry Basket, 24" W, Graphite w Pewter</t>
  </si>
  <si>
    <t>Everstyle w/Decorative Hardware 20 Laundry Basket, 24" W, Graphite w Winter</t>
  </si>
  <si>
    <t>Everstyle w/Decorative Hardware 20 Laundry Basket, 30" W, Matte Aluminum w Oyster</t>
  </si>
  <si>
    <t>Everstyle w/Decorative Hardware 20 Laundry Basket, 30" W, Matte Aluminum w Pewter</t>
  </si>
  <si>
    <t>Everstyle w/Decorative Hardware 20 Laundry Basket, 30" W, Matte Aluminum w Winter</t>
  </si>
  <si>
    <t>Everstyle w/Decorative Hardware 20 Laundry Basket, 30" W, Gold w Oyster</t>
  </si>
  <si>
    <t>Everstyle w/Decorative Hardware 20 Laundry Basket, 30" W, Gold w Pewter</t>
  </si>
  <si>
    <t>Everstyle w/Decorative Hardware 20 Laundry Basket, 30" W, Gold w Winter</t>
  </si>
  <si>
    <t>Everstyle w/Decorative Hardware 20 Laundry Basket, 30" W, Graphite w Oyster</t>
  </si>
  <si>
    <t>Everstyle w/Decorative Hardware 20 Laundry Basket, 30" W, Graphite w Pewter</t>
  </si>
  <si>
    <t>Everstyle w/Decorative Hardware 20 Laundry Basket, 30" W, Graphite w Winter</t>
  </si>
  <si>
    <t>Everstyle w/Decorative Hardware 20 Laundry Basket, 36" W, Matte Aluminum w Oyster</t>
  </si>
  <si>
    <t>Everstyle w/Decorative Hardware 20 Laundry Basket, 36" W, Matte Aluminum w Pewter</t>
  </si>
  <si>
    <t>Everstyle w/Decorative Hardware 20 Laundry Basket, 36" W, Matte Aluminum w Winter</t>
  </si>
  <si>
    <t>Everstyle w/Decorative Hardware 20 Laundry Basket, 36" W, Gold w Oyster</t>
  </si>
  <si>
    <t>Everstyle w/Decorative Hardware 20 Laundry Basket, 36" W, Gold w Pewter</t>
  </si>
  <si>
    <t>Everstyle w/Decorative Hardware 20 Laundry Basket, 36" W, Gold w Winter</t>
  </si>
  <si>
    <t>Everstyle w/Decorative Hardware 20 Laundry Basket, 36" W, Graphite w Oyster</t>
  </si>
  <si>
    <t>Everstyle w/Decorative Hardware 20 Laundry Basket, 36" W, Graphite w Pewter</t>
  </si>
  <si>
    <t>Everstyle w/Decorative Hardware 20 Laundry Basket, 36" W, Graphite w Winter</t>
  </si>
  <si>
    <t>Everstyle w/Decorative Hardware 20 Hanging Pant &amp; Linen Drawer, 18" W, Matte Aluminum</t>
  </si>
  <si>
    <t>Everstyle w/Decorative Hardware 20 Hanging Pant &amp; Linen Drawer, 18" W, Gold</t>
  </si>
  <si>
    <t>Everstyle w/Decorative Hardware 20 Hanging Pant &amp; Linen Drawer, 18" W, Graphite</t>
  </si>
  <si>
    <t>Everstyle w/Decorative Hardware 20 Hanging Pant &amp; Linen Drawer, 24" W, Matte Aluminum</t>
  </si>
  <si>
    <t>Everstyle w/Decorative Hardware 20 Hanging Pant &amp; Linen Drawer, 24" W, Gold</t>
  </si>
  <si>
    <t>Everstyle w/Decorative Hardware 20 Hanging Pant &amp; Linen Drawer, 24" W, Graphite</t>
  </si>
  <si>
    <t>Everstyle w/Decorative Hardware 20 Hanging Pant &amp; Linen Drawer, 30" W, Matte Aluminum</t>
  </si>
  <si>
    <t>Everstyle w/Decorative Hardware 20 Hanging Pant &amp; Linen Drawer, 30" W, Gold</t>
  </si>
  <si>
    <t>Everstyle w/Decorative Hardware 20 Hanging Pant &amp; Linen Drawer, 30" W, Graphite</t>
  </si>
  <si>
    <t>Everstyle w/Decorative Hardware 20 Hanging Pant &amp; Linen Drawer, 36" W, Matte Aluminum</t>
  </si>
  <si>
    <t>Everstyle w/Decorative Hardware 20 Hanging Pant &amp; Linen Drawer, 36" W, Gold</t>
  </si>
  <si>
    <t>Everstyle w/Decorative Hardware 20 Hanging Pant &amp; Linen Drawer, 36" W, Graphite</t>
  </si>
  <si>
    <t>Everstyle w/Decorative Hardware 20 Hanging Skirt &amp; Short Drawer, 18" W, Matte Aluminum</t>
  </si>
  <si>
    <t>Everstyle w/Decorative Hardware 20 Hanging Skirt &amp; Short Drawer, 18" W, Gold</t>
  </si>
  <si>
    <t>Everstyle w/Decorative Hardware 20 Hanging Skirt &amp; Short Drawer, 18" W, Graphite</t>
  </si>
  <si>
    <t>Everstyle w/Decorative Hardware 20 Hanging Skirt &amp; Short Drawer, 24" W, Matte Aluminum</t>
  </si>
  <si>
    <t>Everstyle w/Decorative Hardware 20 Hanging Skirt &amp; Short Drawer, 24" W, Gold</t>
  </si>
  <si>
    <t>Everstyle w/Decorative Hardware 20 Hanging Skirt &amp; Short Drawer, 24" W, Graphite</t>
  </si>
  <si>
    <t>Everstyle w/Decorative Hardware 20 Hanging Skirt &amp; Short Drawer, 30" W, Matte Aluminum</t>
  </si>
  <si>
    <t>Everstyle w/Decorative Hardware 20 Hanging Skirt &amp; Short Drawer, 30" W, Gold</t>
  </si>
  <si>
    <t>Everstyle w/Decorative Hardware 20 Hanging Skirt &amp; Short Drawer, 30" W, Graphite</t>
  </si>
  <si>
    <t>Everstyle w/Decorative Hardware 20 Hanging Skirt &amp; Short Drawer, 36" W, Matte Aluminum</t>
  </si>
  <si>
    <t>Everstyle w/Decorative Hardware 20 Hanging Skirt &amp; Short Drawer, 36" W, Gold</t>
  </si>
  <si>
    <t>Everstyle w/Decorative Hardware 20 Hanging Skirt &amp; Short Drawer, 36" W, Graphite</t>
  </si>
  <si>
    <t>Column1</t>
  </si>
  <si>
    <r>
      <t xml:space="preserve">*Items that could be </t>
    </r>
    <r>
      <rPr>
        <b/>
        <sz val="11"/>
        <color theme="1"/>
        <rFont val="Calibri"/>
        <family val="2"/>
        <scheme val="minor"/>
      </rPr>
      <t>consolidated</t>
    </r>
    <r>
      <rPr>
        <sz val="11"/>
        <color theme="1"/>
        <rFont val="Calibri"/>
        <family val="2"/>
        <scheme val="minor"/>
      </rPr>
      <t xml:space="preserve"> highlighted with: </t>
    </r>
  </si>
  <si>
    <t>300.3108.MNL</t>
  </si>
  <si>
    <t>MNL</t>
  </si>
  <si>
    <t>300.3110.MNL</t>
  </si>
  <si>
    <t>300.3130.MNL</t>
  </si>
  <si>
    <t>300.3148.MNL</t>
  </si>
  <si>
    <t>300.3140.MNL</t>
  </si>
  <si>
    <t>300.3143.MNL</t>
  </si>
  <si>
    <t>300.3045.MNL</t>
  </si>
  <si>
    <t>300.3036.MNL</t>
  </si>
  <si>
    <t>300.3038.MNL</t>
  </si>
  <si>
    <t>300.3047.MNL</t>
  </si>
  <si>
    <t>300.3037.MNL</t>
  </si>
  <si>
    <t>310.3000.12.MNL</t>
  </si>
  <si>
    <t>310.3010.12.MNL</t>
  </si>
  <si>
    <t>310.3020.12.MNL</t>
  </si>
  <si>
    <t>310.3080.12.MNL</t>
  </si>
  <si>
    <t>310.3000.14.MNL</t>
  </si>
  <si>
    <t>310.3010.14.MNL</t>
  </si>
  <si>
    <t>310.3020.14.MNL</t>
  </si>
  <si>
    <t>310.3080.14.MNL</t>
  </si>
  <si>
    <t>310.3000.18.MNL</t>
  </si>
  <si>
    <t>310.3010.18.MNL</t>
  </si>
  <si>
    <t>310.3080.18.MNL</t>
  </si>
  <si>
    <t>300.3162.MNL</t>
  </si>
  <si>
    <t>300.3164.MNL</t>
  </si>
  <si>
    <t>300.3166.MNL</t>
  </si>
  <si>
    <t>300.3168.MNL</t>
  </si>
  <si>
    <t>300.3171.MNL</t>
  </si>
  <si>
    <t>300.3170.MNL</t>
  </si>
  <si>
    <t>Elite Shoe Fences Center Supports</t>
  </si>
  <si>
    <t>300.3169.MNL</t>
  </si>
  <si>
    <t>Elite Shoe Fences End Posts</t>
  </si>
  <si>
    <t>300.3215.096.MNL</t>
  </si>
  <si>
    <t>300.3215.128.MNL</t>
  </si>
  <si>
    <t>300.3215.192.MNL</t>
  </si>
  <si>
    <t>300.3214.000.MNL</t>
  </si>
  <si>
    <t>300.3215.000.MNL</t>
  </si>
  <si>
    <t>300.3217.016.MNL</t>
  </si>
  <si>
    <t>300.3216.128.MNL</t>
  </si>
  <si>
    <t>300.3217.128.MNL</t>
  </si>
  <si>
    <t>300.3212.000.MNL</t>
  </si>
  <si>
    <t>300.3213.016.MNL</t>
  </si>
  <si>
    <t>300.3212.160.MNL</t>
  </si>
  <si>
    <t>300.3213.160.MNL</t>
  </si>
  <si>
    <t>300.3214.128.MNL</t>
  </si>
  <si>
    <t>300.3226.075.MNL</t>
  </si>
  <si>
    <t>300.3226.225.MNL</t>
  </si>
  <si>
    <t>300.3226.469.MNL</t>
  </si>
  <si>
    <t>300.3226.622.MNL</t>
  </si>
  <si>
    <t>300.3226.774.MNL</t>
  </si>
  <si>
    <t>300.3226.927.MNL</t>
  </si>
  <si>
    <t>300.3092.MNL</t>
  </si>
  <si>
    <t>Double Wall Hook w/screw</t>
  </si>
  <si>
    <t>300.3190.MNL</t>
  </si>
  <si>
    <t>300.3191.MNL</t>
  </si>
  <si>
    <t>300.3192.MNL</t>
  </si>
  <si>
    <t>300.3193.MNL</t>
  </si>
  <si>
    <t>300.3194.MNL</t>
  </si>
  <si>
    <t>300.3195.MNL</t>
  </si>
  <si>
    <t>300.3196.MNL</t>
  </si>
  <si>
    <t>300.3097.MNL</t>
  </si>
  <si>
    <t>300.3430.MNL</t>
  </si>
  <si>
    <t>300.3430.35.MNL</t>
  </si>
  <si>
    <t>Mirror 3 ft  - Full Rotation</t>
  </si>
  <si>
    <t>310.6110.18.BEA.MNL</t>
  </si>
  <si>
    <t>310.6110.24.BEA.MNL</t>
  </si>
  <si>
    <t>310.6110.30.BEA.MNL</t>
  </si>
  <si>
    <t>310.6110.36.BEA.MNL</t>
  </si>
  <si>
    <t>310.6110.18.SLA.MNL</t>
  </si>
  <si>
    <t>310.6110.24.SLA.MNL</t>
  </si>
  <si>
    <t>310.6110.30.SLA.MNL</t>
  </si>
  <si>
    <t>310.6110.36.SLA.MNL</t>
  </si>
  <si>
    <t>310.6170.18.MNL</t>
  </si>
  <si>
    <t>310.6170.24.MNL</t>
  </si>
  <si>
    <t>310.6170.30.MNL</t>
  </si>
  <si>
    <t>310.6170.36.MNL</t>
  </si>
  <si>
    <t>310.6180.14.MNL</t>
  </si>
  <si>
    <t>310.6320.18.BEA.MNL</t>
  </si>
  <si>
    <t>310.6320.24.BEA.MNL</t>
  </si>
  <si>
    <t>310.6320.30.BEA.MNL</t>
  </si>
  <si>
    <t>310.6320.36.BEA.MNL</t>
  </si>
  <si>
    <t>310.6380.18.BEA.MNL</t>
  </si>
  <si>
    <t>310.6380.24.BEA.MNL</t>
  </si>
  <si>
    <t>310.6380.30.BEA.MNL</t>
  </si>
  <si>
    <t>310.6380.36.BEA.MNL</t>
  </si>
  <si>
    <t>310.6410.18.BEA.MNL</t>
  </si>
  <si>
    <t>310.6410.24.BEA.MNL</t>
  </si>
  <si>
    <t>310.6410.30.BEA.MNL</t>
  </si>
  <si>
    <t>310.6410.36.BEA.MNL</t>
  </si>
  <si>
    <t>310.6530.18.BEA.MNL</t>
  </si>
  <si>
    <t>310.6530.24.BEA.MNL</t>
  </si>
  <si>
    <t>310.6530.30.BEA.MNL</t>
  </si>
  <si>
    <t>310.6530.36.BEA.MNL</t>
  </si>
  <si>
    <t>310.6540.18.BEA.MNL</t>
  </si>
  <si>
    <t>310.6540.24.BEA.MNL</t>
  </si>
  <si>
    <t>310.6540.30.BEA.MNL</t>
  </si>
  <si>
    <t>310.6540.36.BEA.MNL</t>
  </si>
  <si>
    <t>310.6320.18.SLA.MNL</t>
  </si>
  <si>
    <t>310.6320.24.SLA.MNL</t>
  </si>
  <si>
    <t>310.6320.30.SLA.MNL</t>
  </si>
  <si>
    <t>310.6320.36.SLA.MNL</t>
  </si>
  <si>
    <t>310.6380.18.SLA.MNL</t>
  </si>
  <si>
    <t>310.6380.24.SLA.MNL</t>
  </si>
  <si>
    <t>310.6380.30.SLA.MNL</t>
  </si>
  <si>
    <t>310.6380.36.SLA.MNL</t>
  </si>
  <si>
    <t>310.6410.18.SLA.MNL</t>
  </si>
  <si>
    <t>310.6410.24.SLA.MNL</t>
  </si>
  <si>
    <t>310.6410.30.SLA.MNL</t>
  </si>
  <si>
    <t>310.6410.36.SLA.MNL</t>
  </si>
  <si>
    <t>310.6530.18.SLA.MNL</t>
  </si>
  <si>
    <t>310.6530.24.SLA.MNL</t>
  </si>
  <si>
    <t>310.6530.30.SLA.MNL</t>
  </si>
  <si>
    <t>310.6530.36.SLA.MNL</t>
  </si>
  <si>
    <t>310.6540.18.SLA.MNL</t>
  </si>
  <si>
    <t>310.6540.24.SLA.MNL</t>
  </si>
  <si>
    <t>310.6540.30.SLA.MNL</t>
  </si>
  <si>
    <t>310.6540.36.SLA.MNL</t>
  </si>
  <si>
    <t>310.1200.18.3K.MNL</t>
  </si>
  <si>
    <t>Everstyle 14 Glass Shelf, 18" W, Warm White w Matte Nickel</t>
  </si>
  <si>
    <t>310.1200.24.3K.MNL</t>
  </si>
  <si>
    <t>Everstyle 14 Glass Shelf, 24" W, Warm White w Matte Nickel</t>
  </si>
  <si>
    <t>310.1200.30.3K.MNL</t>
  </si>
  <si>
    <t>Everstyle 14 Glass Shelf, 30" W, Warm White w Matte Nickel</t>
  </si>
  <si>
    <t>310.1200.36.3K.MNL</t>
  </si>
  <si>
    <t>Everstyle 14 Glass Shelf, 36" W, Warm White w Matte Nickel</t>
  </si>
  <si>
    <t>310.2200.18.3K.MNL</t>
  </si>
  <si>
    <t>Everstyle 20 Glass Shelf, 18" W, Warm White w Matte Nickel</t>
  </si>
  <si>
    <t>310.2200.24.3K.MNL</t>
  </si>
  <si>
    <t>Everstyle 20 Glass Shelf, 24" W, Warm White w Matte Nickel</t>
  </si>
  <si>
    <t>310.2200.30.3K.MNL</t>
  </si>
  <si>
    <t>Everstyle 20 Glass Shelf, 30" W, Warm White w Matte Nickel</t>
  </si>
  <si>
    <t>310.2200.36.3K.MNL</t>
  </si>
  <si>
    <t>Everstyle 20 Glass Shelf, 36" W, Warm White w Matte Nickel</t>
  </si>
  <si>
    <t>310.1200.18.4K.MNL</t>
  </si>
  <si>
    <t>Everstyle 14 Glass Shelf, 18" W, Cool White w Matte Nickel</t>
  </si>
  <si>
    <t>310.1200.24.4K.MNL</t>
  </si>
  <si>
    <t>Everstyle 14 Glass Shelf, 24" W, Cool White w Matte Nickel</t>
  </si>
  <si>
    <t>310.1200.30.4K.MNL</t>
  </si>
  <si>
    <t>Everstyle 14 Glass Shelf, 30" W, Cool White w Matte Nickel</t>
  </si>
  <si>
    <t>310.1200.36.4K.MNL</t>
  </si>
  <si>
    <t>Everstyle 14 Glass Shelf, 36" W, Cool White w Matte Nickel</t>
  </si>
  <si>
    <t>310.2200.18.4K.MNL</t>
  </si>
  <si>
    <t>Everstyle 20 Glass Shelf, 18" W, Cool White w Matte Nickel</t>
  </si>
  <si>
    <t>310.2200.24.4K.MNL</t>
  </si>
  <si>
    <t>Everstyle 20 Glass Shelf, 24" W, Cool White w Matte Nickel</t>
  </si>
  <si>
    <t>310.2200.30.4K.MNL</t>
  </si>
  <si>
    <t>Everstyle 20 Glass Shelf, 30" W, Cool White w Matte Nickel</t>
  </si>
  <si>
    <t>310.2200.36.4K.MNL</t>
  </si>
  <si>
    <t>Everstyle 20 Glass Shelf, 36" W, Cool White w Matte Nickel</t>
  </si>
  <si>
    <t>310.2123.18.MNL</t>
  </si>
  <si>
    <t>Glass Shelf Filler, 18" W, Matte Nickel</t>
  </si>
  <si>
    <t>310.2123.24.MNL</t>
  </si>
  <si>
    <t>Glass Shelf Filler, 24" W, Matte Nickel</t>
  </si>
  <si>
    <t>310.2123.30.MNL</t>
  </si>
  <si>
    <t>Glass Shelf Filler, 30" W, Matte Nickel</t>
  </si>
  <si>
    <t>310.2123.36.MNL</t>
  </si>
  <si>
    <t>Glass Shelf Filler, 36" W, Matte Nickel</t>
  </si>
  <si>
    <t>310.8319.MNL</t>
  </si>
  <si>
    <t>Wall Mount Organizer, 19" H Vertical, Matte Nickel (pair)</t>
  </si>
  <si>
    <t>310.8342.MNL</t>
  </si>
  <si>
    <t>Wall Mount Organizer, 42" H Vertical, Matte Nickel (pair)</t>
  </si>
  <si>
    <t>310.8366.MNL</t>
  </si>
  <si>
    <t>Wall Mount Organizer, 66" H Vertical, Matte Nickel (pair)</t>
  </si>
  <si>
    <t>Wall Mount Organizer, Triple Hook, Matte Nickel</t>
  </si>
  <si>
    <t>310.8215.MNL</t>
  </si>
  <si>
    <t>Wall Mount Organizer, Coat Hook, Matte Nickel</t>
  </si>
  <si>
    <t>CC Part Number</t>
  </si>
  <si>
    <t>800.00040.00000.00</t>
  </si>
  <si>
    <t>200.00013.B0005.00</t>
  </si>
  <si>
    <t>200.00013.B0001.00</t>
  </si>
  <si>
    <t>200.00014.B0005.00</t>
  </si>
  <si>
    <t>200.00014.B0001.00</t>
  </si>
  <si>
    <t>200.00015.B0005.00</t>
  </si>
  <si>
    <t>200.00015.B0001.00</t>
  </si>
  <si>
    <t>204.00013.B0005.00</t>
  </si>
  <si>
    <t>204.00013.B0001.00</t>
  </si>
  <si>
    <t>204.00014.B0005.00</t>
  </si>
  <si>
    <t>204.00014.B0001.00</t>
  </si>
  <si>
    <t>204.00015.B0005.00</t>
  </si>
  <si>
    <t>300.00016.B0006.00</t>
  </si>
  <si>
    <t>300.00017.B0006.00</t>
  </si>
  <si>
    <t>204.00053.B0006.00</t>
  </si>
  <si>
    <t>204.00054.B0006.00</t>
  </si>
  <si>
    <t>579.00010.B0091.00</t>
  </si>
  <si>
    <t>579.00009.B0005.00</t>
  </si>
  <si>
    <t>579.00009.B0001.00</t>
  </si>
  <si>
    <t>230.00003.B0005.00</t>
  </si>
  <si>
    <t>230.00003.B0001.00</t>
  </si>
  <si>
    <t>230.00013.B0005.00</t>
  </si>
  <si>
    <t>230.00013.B0001.00</t>
  </si>
  <si>
    <t>230.00014.B0005.00</t>
  </si>
  <si>
    <t>230.00014.B0001.00</t>
  </si>
  <si>
    <t>230.00015.B0005.00</t>
  </si>
  <si>
    <t>230.00015.B0001.00</t>
  </si>
  <si>
    <t>230.00001.B0005.00</t>
  </si>
  <si>
    <t>230.00001.B0001.00</t>
  </si>
  <si>
    <t>230.00012.B0005.00</t>
  </si>
  <si>
    <t>230.00012.B0001.00</t>
  </si>
  <si>
    <t>200.00001.B0001.00</t>
  </si>
  <si>
    <t>200.00002.B0001.00</t>
  </si>
  <si>
    <t>200.00003.B0001.00</t>
  </si>
  <si>
    <t>200.00004.B0001.00</t>
  </si>
  <si>
    <t>200.00005.B0001.00</t>
  </si>
  <si>
    <t>200.00006.B0001.00</t>
  </si>
  <si>
    <t>200.00007.B0001.00</t>
  </si>
  <si>
    <t>200.00008.B0001.00</t>
  </si>
  <si>
    <t>200.00009.B0001.00</t>
  </si>
  <si>
    <t>200.00010.B0001.00</t>
  </si>
  <si>
    <t>200.00011.B0001.00</t>
  </si>
  <si>
    <t>526.00009.B0005.00</t>
  </si>
  <si>
    <t>526.00009.B0001.00</t>
  </si>
  <si>
    <t>526.00010.B0005.00</t>
  </si>
  <si>
    <t>526.00010.B0001.00</t>
  </si>
  <si>
    <t>526.00011.B0005.00</t>
  </si>
  <si>
    <t>526.00011.B0001.00</t>
  </si>
  <si>
    <t>526.00012.B0005.00</t>
  </si>
  <si>
    <t>526.00012.B0001.00</t>
  </si>
  <si>
    <t>526.00013.B0005.00</t>
  </si>
  <si>
    <t>526.00013.B0001.00</t>
  </si>
  <si>
    <t>526.00015.B0005.00</t>
  </si>
  <si>
    <t>526.00014.B0005.00</t>
  </si>
  <si>
    <t>220.00001.B0005.00</t>
  </si>
  <si>
    <t>220.00001.B0001.00</t>
  </si>
  <si>
    <t>220.00003.B0005.00</t>
  </si>
  <si>
    <t>220.00003.B0001.00</t>
  </si>
  <si>
    <t>220.00005.B0026.00</t>
  </si>
  <si>
    <t>220.00005.B0001.00</t>
  </si>
  <si>
    <t>220.00007.B0026.00</t>
  </si>
  <si>
    <t>220.00007.B0001.00</t>
  </si>
  <si>
    <t>220.00012.B0005.00</t>
  </si>
  <si>
    <t>220.00012.B0001.00</t>
  </si>
  <si>
    <t>220.00002.B0005.00</t>
  </si>
  <si>
    <t>220.00002.B0001.00</t>
  </si>
  <si>
    <t>220.00004.B0005.00</t>
  </si>
  <si>
    <t>220.00004.B0001.00</t>
  </si>
  <si>
    <t>220.00006.B0005.00</t>
  </si>
  <si>
    <t>220.00006.B0001.00</t>
  </si>
  <si>
    <t>220.00010.B0005.00</t>
  </si>
  <si>
    <t>220.00010.B0001.00</t>
  </si>
  <si>
    <t>220.00008.B0005.00</t>
  </si>
  <si>
    <t>220.00008.B0001.00</t>
  </si>
  <si>
    <t>220.00009.B0005.00</t>
  </si>
  <si>
    <t>220.00009.B0001.00</t>
  </si>
  <si>
    <t>220.00011.B0005.00</t>
  </si>
  <si>
    <t>220.00011.B0001.00</t>
  </si>
  <si>
    <t>220.00013.B0005.00</t>
  </si>
  <si>
    <t>220.00013.B0001.00</t>
  </si>
  <si>
    <t>220.00014.B0026.00</t>
  </si>
  <si>
    <t>220.00014.B0001.00</t>
  </si>
  <si>
    <t>220.00015.B0005.00</t>
  </si>
  <si>
    <t>220.00015.B0001.00</t>
  </si>
  <si>
    <t>220.00016.B0026.00</t>
  </si>
  <si>
    <t>220.00016.B0001.00</t>
  </si>
  <si>
    <t>220.00017.B0026.00</t>
  </si>
  <si>
    <t>220.00017.B0001.00</t>
  </si>
  <si>
    <t>220.00018.B0026.00</t>
  </si>
  <si>
    <t>220.00018.B0001.00</t>
  </si>
  <si>
    <t>220.00019.B0026.00</t>
  </si>
  <si>
    <t>220.00019.B0001.00</t>
  </si>
  <si>
    <t>201.00006.B0005.00</t>
  </si>
  <si>
    <t>201.00001.B0005.00</t>
  </si>
  <si>
    <t>201.00001.B0001.00</t>
  </si>
  <si>
    <t>201.00002.B0005.00</t>
  </si>
  <si>
    <t>201.00002.B0001.00</t>
  </si>
  <si>
    <t>201.00003.B0005.00</t>
  </si>
  <si>
    <t>201.00003.B0001.00</t>
  </si>
  <si>
    <t>201.00004.B0005.00</t>
  </si>
  <si>
    <t>201.00004.B0001.00</t>
  </si>
  <si>
    <t>201.00009.B0005.00</t>
  </si>
  <si>
    <t>201.00009.B0001.00</t>
  </si>
  <si>
    <t>201.00005.B0005.00</t>
  </si>
  <si>
    <t>201.00005.B0001.00</t>
  </si>
  <si>
    <t>201.00008.B0005.00</t>
  </si>
  <si>
    <t>201.00008.B0001.00</t>
  </si>
  <si>
    <t>201.00010.B0006.00</t>
  </si>
  <si>
    <t>201.00007.B0005.00</t>
  </si>
  <si>
    <t>201.00007.B0001.00</t>
  </si>
  <si>
    <t>990.00022.00000.00</t>
  </si>
  <si>
    <t>990.00020.00000.00</t>
  </si>
  <si>
    <t>990.00021.00000.00</t>
  </si>
  <si>
    <t>990.00023.00000.00</t>
  </si>
  <si>
    <t>134.00001.B0001.00</t>
  </si>
  <si>
    <t>134.00002.B0001.00</t>
  </si>
  <si>
    <t>220.00023.B0001.00</t>
  </si>
  <si>
    <t>134.00043.B0001.00</t>
  </si>
  <si>
    <t>134.00003.B0001.00</t>
  </si>
  <si>
    <t>134.00044.B0001.00</t>
  </si>
  <si>
    <t>134.00045.B0006.00</t>
  </si>
  <si>
    <t>134.00045.B0001.00</t>
  </si>
  <si>
    <t>134.00005.B0001.00</t>
  </si>
  <si>
    <t>134.00006.B0001.00</t>
  </si>
  <si>
    <t>134.00007.B0001.00</t>
  </si>
  <si>
    <t>134.00008.B0001.00</t>
  </si>
  <si>
    <t>134.00009.B0001.00</t>
  </si>
  <si>
    <t>134.00010.B0001.00</t>
  </si>
  <si>
    <t>134.00011.B0001.00</t>
  </si>
  <si>
    <t>134.00012.B0001.00</t>
  </si>
  <si>
    <t>134.00046.B0001.00</t>
  </si>
  <si>
    <t>134.00047.B0006.00</t>
  </si>
  <si>
    <t>134.00047.B0001.00</t>
  </si>
  <si>
    <t>134.00013.B0001.00</t>
  </si>
  <si>
    <t>134.00014.B0001.00</t>
  </si>
  <si>
    <t>134.00015.B0001.00</t>
  </si>
  <si>
    <t>134.00016.B0001.00</t>
  </si>
  <si>
    <t>134.00017.B0001.00</t>
  </si>
  <si>
    <t>134.00018.B0001.00</t>
  </si>
  <si>
    <t>134.00019.B0001.00</t>
  </si>
  <si>
    <t>134.00020.B0098.00</t>
  </si>
  <si>
    <t>134.00021.B0098.00</t>
  </si>
  <si>
    <t>134.00022.B0098.00</t>
  </si>
  <si>
    <t>220.00145.B0001.00</t>
  </si>
  <si>
    <t>220.00146.B0001.00</t>
  </si>
  <si>
    <t>543.00041.B0006.00</t>
  </si>
  <si>
    <t>543.00041.B0001.00</t>
  </si>
  <si>
    <t>543.00042.B0001.00</t>
  </si>
  <si>
    <t>543.00043.B0006.00</t>
  </si>
  <si>
    <t>543.00043.B0001.00</t>
  </si>
  <si>
    <t>543.00044.B0006.00</t>
  </si>
  <si>
    <t>543.00044.B0001.00</t>
  </si>
  <si>
    <t>543.00045.B0001.00</t>
  </si>
  <si>
    <t>134.00048.B0001.00</t>
  </si>
  <si>
    <t>134.00049.00000.00</t>
  </si>
  <si>
    <t>134.00004.B0006.00</t>
  </si>
  <si>
    <t>134.00050.B0006.00</t>
  </si>
  <si>
    <t>134.00051.B0001.00</t>
  </si>
  <si>
    <t>803.00009.B0004.00</t>
  </si>
  <si>
    <t>621.00007.B0006.00</t>
  </si>
  <si>
    <t>134.00052.B0001.00</t>
  </si>
  <si>
    <t>134.00029.B0001.00</t>
  </si>
  <si>
    <t>134.00030.B0001.00</t>
  </si>
  <si>
    <t>134.00031.B0001.00</t>
  </si>
  <si>
    <t>134.00032.B0001.00</t>
  </si>
  <si>
    <t>134.00033.B0001.00</t>
  </si>
  <si>
    <t>134.00023.B0001.00</t>
  </si>
  <si>
    <t>134.00024.B0001.00</t>
  </si>
  <si>
    <t>134.00025.B0001.00</t>
  </si>
  <si>
    <t>134.00026.B0001.00</t>
  </si>
  <si>
    <t>134.00027.B0001.00</t>
  </si>
  <si>
    <t>134.00028.B0001.00</t>
  </si>
  <si>
    <t>950.00006.B0001.00</t>
  </si>
  <si>
    <t>305.00003.B0001.00</t>
  </si>
  <si>
    <t>305.00004.B0001.00</t>
  </si>
  <si>
    <t>300.3420.48.MAL</t>
  </si>
  <si>
    <t>300.3420.35.MAL</t>
  </si>
  <si>
    <t>801.00001.B0001.00</t>
  </si>
  <si>
    <t>801.00002.B0001.00</t>
  </si>
  <si>
    <t>801.00003.B0001.00</t>
  </si>
  <si>
    <t>801.00005.B0001.00</t>
  </si>
  <si>
    <t>801.00006.B0001.00</t>
  </si>
  <si>
    <t>801.00007.B0001.00</t>
  </si>
  <si>
    <t>801.00008.B0001.00</t>
  </si>
  <si>
    <t>801.00009.B0001.00</t>
  </si>
  <si>
    <t>801.00010.B0004.00</t>
  </si>
  <si>
    <t>801.00013.00000.00</t>
  </si>
  <si>
    <t>801.00012.B0026.00</t>
  </si>
  <si>
    <t>801.00004.B0006.00</t>
  </si>
  <si>
    <t>130.00001.00000.00</t>
  </si>
  <si>
    <t>130.00002.B0096.00</t>
  </si>
  <si>
    <t>130.00002.B0091.00</t>
  </si>
  <si>
    <t>130.00002.B0092.00</t>
  </si>
  <si>
    <t>130.00002.B0095.00</t>
  </si>
  <si>
    <t>130.00002.B0089.00</t>
  </si>
  <si>
    <t>130.00002.B0094.00</t>
  </si>
  <si>
    <t>130.00002.B0004.00</t>
  </si>
  <si>
    <t>803.00008.B0004.00</t>
  </si>
  <si>
    <t>803.00010.B0026.00</t>
  </si>
  <si>
    <t>803.00011.B0004.00</t>
  </si>
  <si>
    <t>800.00018.00000.00</t>
  </si>
  <si>
    <t>800.00019.00000.00</t>
  </si>
  <si>
    <t>803.00012.B0026.00</t>
  </si>
  <si>
    <t>803.00013.B0026.00</t>
  </si>
  <si>
    <t>800.00037.B0026.00</t>
  </si>
  <si>
    <t>800.00020.B0096.00</t>
  </si>
  <si>
    <t>800.00020.B0091.00</t>
  </si>
  <si>
    <t>800.00020.B0092.00</t>
  </si>
  <si>
    <t>800.00020.B0097.00</t>
  </si>
  <si>
    <t>800.00020.B0095.00</t>
  </si>
  <si>
    <t>800.00020.B0089.00</t>
  </si>
  <si>
    <t>800.00020.B0093.00</t>
  </si>
  <si>
    <t>800.00020.B0094.00</t>
  </si>
  <si>
    <t>800.00020.B0090.00</t>
  </si>
  <si>
    <t>800.00021.B0096.00</t>
  </si>
  <si>
    <t>800.00021.B0091.00</t>
  </si>
  <si>
    <t>800.00021.B0092.00</t>
  </si>
  <si>
    <t>800.00021.B0097.00</t>
  </si>
  <si>
    <t>800.00021.B0095.00</t>
  </si>
  <si>
    <t>800.00021.B0089.00</t>
  </si>
  <si>
    <t>800.00021.B0093.00</t>
  </si>
  <si>
    <t>800.00021.B0094.00</t>
  </si>
  <si>
    <t>800.00021.B0090.00</t>
  </si>
  <si>
    <t>800.00022.B0096.00</t>
  </si>
  <si>
    <t>800.00022.B0091.00</t>
  </si>
  <si>
    <t>800.00022.B0092.00</t>
  </si>
  <si>
    <t>800.00022.B0097.00</t>
  </si>
  <si>
    <t>800.00022.B0095.00</t>
  </si>
  <si>
    <t>800.00022.B0089.00</t>
  </si>
  <si>
    <t>800.00022.B0093.00</t>
  </si>
  <si>
    <t>800.00022.B0094.00</t>
  </si>
  <si>
    <t>800.00022.B0090.00</t>
  </si>
  <si>
    <t>621.00004.B0096.00</t>
  </si>
  <si>
    <t>621.00004.B0091.00</t>
  </si>
  <si>
    <t>621.00004.B0092.00</t>
  </si>
  <si>
    <t>621.00004.B0097.00</t>
  </si>
  <si>
    <t>621.00004.B0095.00</t>
  </si>
  <si>
    <t>621.00004.B0089.00</t>
  </si>
  <si>
    <t>621.00004.B0093.00</t>
  </si>
  <si>
    <t>621.00004.B0094.00</t>
  </si>
  <si>
    <t>621.00004.B0090.00</t>
  </si>
  <si>
    <t>621.00005.B0096.00</t>
  </si>
  <si>
    <t>621.00005.B0091.00</t>
  </si>
  <si>
    <t>621.00005.B0092.00</t>
  </si>
  <si>
    <t>621.00005.B0097.00</t>
  </si>
  <si>
    <t>621.00005.B0095.00</t>
  </si>
  <si>
    <t>621.00005.B0089.00</t>
  </si>
  <si>
    <t>621.00005.B0093.00</t>
  </si>
  <si>
    <t>621.00005.B0094.00</t>
  </si>
  <si>
    <t>621.00005.B0090.00</t>
  </si>
  <si>
    <t>621.00002.B0096.00</t>
  </si>
  <si>
    <t>621.00002.B0091.00</t>
  </si>
  <si>
    <t>621.00002.B0092.00</t>
  </si>
  <si>
    <t>621.00002.B0097.00</t>
  </si>
  <si>
    <t>621.00002.B0095.00</t>
  </si>
  <si>
    <t>621.00002.B0089.00</t>
  </si>
  <si>
    <t>621.00002.B0093.00</t>
  </si>
  <si>
    <t>621.00002.B0094.00</t>
  </si>
  <si>
    <t>621.00002.B0090.00</t>
  </si>
  <si>
    <t>800.00039.B0096.00</t>
  </si>
  <si>
    <t>800.00039.B0091.00</t>
  </si>
  <si>
    <t>800.00039.B0092.00</t>
  </si>
  <si>
    <t>800.00039.B0097.00</t>
  </si>
  <si>
    <t>800.00039.B0095.00</t>
  </si>
  <si>
    <t>800.00039.B0089.00</t>
  </si>
  <si>
    <t>800.00039.B0093.00</t>
  </si>
  <si>
    <t>800.00039.B0094.00</t>
  </si>
  <si>
    <t>800.00039.B0090.00</t>
  </si>
  <si>
    <t>800.00038.00000.00</t>
  </si>
  <si>
    <t>578.00060.B0006.00</t>
  </si>
  <si>
    <t>578.00060.B0004.00</t>
  </si>
  <si>
    <t>990.00024.00000.00</t>
  </si>
  <si>
    <t>990.00025.00000.00</t>
  </si>
  <si>
    <t>990.00026.00000.00</t>
  </si>
  <si>
    <t>990.00027.00000.00</t>
  </si>
  <si>
    <t>578.00062.B0024.00</t>
  </si>
  <si>
    <t>578.00062.B0025.00</t>
  </si>
  <si>
    <t>950.00008.B0024.00</t>
  </si>
  <si>
    <t>950.00008.B0025.00</t>
  </si>
  <si>
    <t>301.00015.B0024.00</t>
  </si>
  <si>
    <t>301.00016.B0024.00</t>
  </si>
  <si>
    <t>301.00017.B0024.00</t>
  </si>
  <si>
    <t>301.00015.B0025.00</t>
  </si>
  <si>
    <t>301.00016.B0025.00</t>
  </si>
  <si>
    <t>301.00017.B0025.00</t>
  </si>
  <si>
    <t>578.00002.B0001.00</t>
  </si>
  <si>
    <t>578.00001.B0001.00</t>
  </si>
  <si>
    <t>578.00004.B0001.00</t>
  </si>
  <si>
    <t>578.00003.B0001.00</t>
  </si>
  <si>
    <t>578.00006.B0001.00</t>
  </si>
  <si>
    <t>578.00005.B0001.00</t>
  </si>
  <si>
    <t>578.00008.B0001.00</t>
  </si>
  <si>
    <t>578.00007.B0001.00</t>
  </si>
  <si>
    <t>578.00051.B0001.00</t>
  </si>
  <si>
    <t>578.00052.B0001.00</t>
  </si>
  <si>
    <t>578.00053.B0001.00</t>
  </si>
  <si>
    <t>578.00054.B0001.00</t>
  </si>
  <si>
    <t>578.00055.B0001.00</t>
  </si>
  <si>
    <t>578.00010.B0001.00</t>
  </si>
  <si>
    <t>578.00009.B0001.00</t>
  </si>
  <si>
    <t>578.00012.B0001.00</t>
  </si>
  <si>
    <t>578.00011.B0001.00</t>
  </si>
  <si>
    <t>578.00014.B0001.00</t>
  </si>
  <si>
    <t>578.00013.B0001.00</t>
  </si>
  <si>
    <t>578.00016.B0001.00</t>
  </si>
  <si>
    <t>578.00015.B0001.00</t>
  </si>
  <si>
    <t>578.00018.B0001.00</t>
  </si>
  <si>
    <t>578.00017.B0001.00</t>
  </si>
  <si>
    <t>578.00020.B0001.00</t>
  </si>
  <si>
    <t>578.00019.B0001.00</t>
  </si>
  <si>
    <t>578.00022.B0001.00</t>
  </si>
  <si>
    <t>578.00021.B0001.00</t>
  </si>
  <si>
    <t>578.00024.B0001.00</t>
  </si>
  <si>
    <t>578.00023.B0001.00</t>
  </si>
  <si>
    <t>578.00049.B0024.00</t>
  </si>
  <si>
    <t>578.00049.B0025.00</t>
  </si>
  <si>
    <t>578.00050.B0024.00</t>
  </si>
  <si>
    <t>578.00050.B0025.00</t>
  </si>
  <si>
    <t>578.00042.B0001.00</t>
  </si>
  <si>
    <t>578.00041.B0001.00</t>
  </si>
  <si>
    <t>578.00044.B0001.00</t>
  </si>
  <si>
    <t>578.00043.B0001.00</t>
  </si>
  <si>
    <t>578.00046.B0001.00</t>
  </si>
  <si>
    <t>578.00045.B0001.00</t>
  </si>
  <si>
    <t>578.00048.B0001.00</t>
  </si>
  <si>
    <t>578.00047.B0001.00</t>
  </si>
  <si>
    <t>LAUNDRY HAMPERS</t>
  </si>
  <si>
    <t>578.00056.B0024.00</t>
  </si>
  <si>
    <t>578.00057.B0024.00</t>
  </si>
  <si>
    <t>578.00058.B0024.00</t>
  </si>
  <si>
    <t>578.00056.B0025.00</t>
  </si>
  <si>
    <t>578.00057.B0025.00</t>
  </si>
  <si>
    <t>578.00058.B0025.00</t>
  </si>
  <si>
    <t>SPECIAL ORDER ITEMS:</t>
  </si>
  <si>
    <t>EZP</t>
  </si>
  <si>
    <t>300.6235.EZP</t>
  </si>
  <si>
    <t>Full Extension Slide 350mm</t>
  </si>
  <si>
    <t>300.3044.MG</t>
  </si>
  <si>
    <t>Signature Pole (Capped) 8 Ft</t>
  </si>
  <si>
    <t>230.00003.B0008.00</t>
  </si>
  <si>
    <t>230.00013.B0008.00</t>
  </si>
  <si>
    <t>230.00014.B0008.00</t>
  </si>
  <si>
    <t>230.00015.B0008.00</t>
  </si>
  <si>
    <t>230.00001.B0008.00</t>
  </si>
  <si>
    <t>230.00012.B0008.00</t>
  </si>
  <si>
    <t>200.00001.B0008.00</t>
  </si>
  <si>
    <t>200.00002.B0008.00</t>
  </si>
  <si>
    <t>200.00003.B0008.00</t>
  </si>
  <si>
    <t>200.00004.B0008.00</t>
  </si>
  <si>
    <t>200.00005.B0008.00</t>
  </si>
  <si>
    <t>200.00006.B0008.00</t>
  </si>
  <si>
    <t>200.00007.B0008.00</t>
  </si>
  <si>
    <t>200.00008.B0008.00</t>
  </si>
  <si>
    <t>200.00009.B0008.00</t>
  </si>
  <si>
    <t>200.00010.B0008.00</t>
  </si>
  <si>
    <t>200.00011.B0008.00</t>
  </si>
  <si>
    <t>526.00009.B0008.00</t>
  </si>
  <si>
    <t>526.00010.B0008.00</t>
  </si>
  <si>
    <t>526.00011.B0008.00</t>
  </si>
  <si>
    <t>526.00012.B0008.00</t>
  </si>
  <si>
    <t>526.00013.B0008.00</t>
  </si>
  <si>
    <t>526.00015.B0008.00</t>
  </si>
  <si>
    <t>526.00014.B0008.00</t>
  </si>
  <si>
    <t>220.00001.B0008.00</t>
  </si>
  <si>
    <t>220.00003.B0008.00</t>
  </si>
  <si>
    <t>220.00005.B0008.00</t>
  </si>
  <si>
    <t>220.00007.B0008.00</t>
  </si>
  <si>
    <t>220.00012.B0008.00</t>
  </si>
  <si>
    <t>220.00002.B0008.00</t>
  </si>
  <si>
    <t>220.00004.B0008.00</t>
  </si>
  <si>
    <t>220.00006.B0008.00</t>
  </si>
  <si>
    <t>220.00010.B0008.00</t>
  </si>
  <si>
    <t>220.00008.B0008.00</t>
  </si>
  <si>
    <t>220.00009.B0008.00</t>
  </si>
  <si>
    <t>220.00011.B0008.00</t>
  </si>
  <si>
    <t>220.00013.B0008.00</t>
  </si>
  <si>
    <t>201.00001.B0008.00</t>
  </si>
  <si>
    <t>201.00002.B0008.00</t>
  </si>
  <si>
    <t>201.00003.B0008.00</t>
  </si>
  <si>
    <t>201.00004.B0008.00</t>
  </si>
  <si>
    <t>201.00009.B0008.00</t>
  </si>
  <si>
    <t>201.00005.B0008.00</t>
  </si>
  <si>
    <t>201.00008.B0008.00</t>
  </si>
  <si>
    <t>201.00007.B0008.00</t>
  </si>
  <si>
    <t>305.00003.B0008.00</t>
  </si>
  <si>
    <t>305.00004.B0008.00</t>
  </si>
  <si>
    <t>220.00014.B0008.00</t>
  </si>
  <si>
    <t>220.00015.B0008.00</t>
  </si>
  <si>
    <t>220.00016.B0008.00</t>
  </si>
  <si>
    <t>220.00017.B0008.00</t>
  </si>
  <si>
    <t>220.00018.B0008.00</t>
  </si>
  <si>
    <t>220.00019.B0008.00</t>
  </si>
  <si>
    <t>578.00002.B0008.00</t>
  </si>
  <si>
    <t>578.00001.B0008.00</t>
  </si>
  <si>
    <t>578.00004.B0008.00</t>
  </si>
  <si>
    <t>578.00003.B0008.00</t>
  </si>
  <si>
    <t>578.00006.B0008.00</t>
  </si>
  <si>
    <t>578.00005.B0008.00</t>
  </si>
  <si>
    <t>578.00008.B0008.00</t>
  </si>
  <si>
    <t>578.00007.B0008.00</t>
  </si>
  <si>
    <t>578.00051.B0008.00</t>
  </si>
  <si>
    <t>578.00052.B0008.00</t>
  </si>
  <si>
    <t>578.00053.B0008.00</t>
  </si>
  <si>
    <t>578.00054.B0008.00</t>
  </si>
  <si>
    <t>578.00055.B0008.00</t>
  </si>
  <si>
    <t>578.00010.B0008.00</t>
  </si>
  <si>
    <t>578.00009.B0008.00</t>
  </si>
  <si>
    <t>578.00012.B0008.00</t>
  </si>
  <si>
    <t>578.00011.B0008.00</t>
  </si>
  <si>
    <t>578.00014.B0008.00</t>
  </si>
  <si>
    <t>578.00013.B0008.00</t>
  </si>
  <si>
    <t>578.00016.B0008.00</t>
  </si>
  <si>
    <t>578.00015.B0008.00</t>
  </si>
  <si>
    <t>578.00018.B0008.00</t>
  </si>
  <si>
    <t>578.00017.B0008.00</t>
  </si>
  <si>
    <t>578.00020.B0008.00</t>
  </si>
  <si>
    <t>578.00019.B0008.00</t>
  </si>
  <si>
    <t>578.00022.B0008.00</t>
  </si>
  <si>
    <t>578.00021.B0008.00</t>
  </si>
  <si>
    <t>578.00024.B0008.00</t>
  </si>
  <si>
    <t>578.00023.B0008.00</t>
  </si>
  <si>
    <t>578.00042.B0008.00</t>
  </si>
  <si>
    <t>578.00041.B0008.00</t>
  </si>
  <si>
    <t>578.00044.B0008.00</t>
  </si>
  <si>
    <t>578.00043.B0008.00</t>
  </si>
  <si>
    <t>578.00046.B0008.00</t>
  </si>
  <si>
    <t>578.00045.B0008.00</t>
  </si>
  <si>
    <t>578.00048.B0008.00</t>
  </si>
  <si>
    <t>578.00047.B0008.00</t>
  </si>
  <si>
    <t>300.3044.SG</t>
  </si>
  <si>
    <t>230.00003.B0009.00</t>
  </si>
  <si>
    <t>230.00013.B0009.00</t>
  </si>
  <si>
    <t>230.00014.B0009.00</t>
  </si>
  <si>
    <t>230.00015.B0009.00</t>
  </si>
  <si>
    <t>230.00001.B0009.00</t>
  </si>
  <si>
    <t>230.00012.B0009.00</t>
  </si>
  <si>
    <t>200.00001.B0009.00</t>
  </si>
  <si>
    <t>200.00002.B0009.00</t>
  </si>
  <si>
    <t>200.00003.B0009.00</t>
  </si>
  <si>
    <t>200.00004.B0009.00</t>
  </si>
  <si>
    <t>200.00005.B0009.00</t>
  </si>
  <si>
    <t>200.00006.B0009.00</t>
  </si>
  <si>
    <t>200.00007.B0009.00</t>
  </si>
  <si>
    <t>200.00008.B0009.00</t>
  </si>
  <si>
    <t>200.00009.B0009.00</t>
  </si>
  <si>
    <t>200.00010.B0009.00</t>
  </si>
  <si>
    <t>200.00011.B0009.00</t>
  </si>
  <si>
    <t>526.00009.B0009.00</t>
  </si>
  <si>
    <t>526.00010.B0009.00</t>
  </si>
  <si>
    <t>526.00011.B0009.00</t>
  </si>
  <si>
    <t>526.00012.B0009.00</t>
  </si>
  <si>
    <t>526.00013.B0009.00</t>
  </si>
  <si>
    <t>526.00015.B0009.00</t>
  </si>
  <si>
    <t>526.00014.B0009.00</t>
  </si>
  <si>
    <t>220.00001.B0009.00</t>
  </si>
  <si>
    <t>220.00003.B0009.00</t>
  </si>
  <si>
    <t>220.00005.B0009.00</t>
  </si>
  <si>
    <t>220.00007.B0009.00</t>
  </si>
  <si>
    <t>220.00012.B0009.00</t>
  </si>
  <si>
    <t>220.00002.B0009.00</t>
  </si>
  <si>
    <t>220.00004.B0009.00</t>
  </si>
  <si>
    <t>220.00006.B0009.00</t>
  </si>
  <si>
    <t>220.00010.B0009.00</t>
  </si>
  <si>
    <t>220.00008.B0009.00</t>
  </si>
  <si>
    <t>220.00009.B0009.00</t>
  </si>
  <si>
    <t>220.00011.B0009.00</t>
  </si>
  <si>
    <t>220.00013.B0009.00</t>
  </si>
  <si>
    <t>201.00001.B0009.00</t>
  </si>
  <si>
    <t>201.00002.B0009.00</t>
  </si>
  <si>
    <t>201.00003.B0009.00</t>
  </si>
  <si>
    <t>201.00004.B0009.00</t>
  </si>
  <si>
    <t>201.00009.B0009.00</t>
  </si>
  <si>
    <t>201.00005.B0009.00</t>
  </si>
  <si>
    <t>201.00008.B0009.00</t>
  </si>
  <si>
    <t>201.00007.B0009.00</t>
  </si>
  <si>
    <t>305.00003.B0009.00</t>
  </si>
  <si>
    <t>305.00004.B0009.00</t>
  </si>
  <si>
    <t>300.3420.48.SG</t>
  </si>
  <si>
    <t>300.3420.35.SG</t>
  </si>
  <si>
    <t>220.00014.B0009.00</t>
  </si>
  <si>
    <t>220.00015.B0009.00</t>
  </si>
  <si>
    <t>220.00016.B0009.00</t>
  </si>
  <si>
    <t>220.00017.B0009.00</t>
  </si>
  <si>
    <t>220.00018.B0009.00</t>
  </si>
  <si>
    <t>220.00019.B0009.00</t>
  </si>
  <si>
    <t>578.00002.B0009.00</t>
  </si>
  <si>
    <t>578.00001.B0009.00</t>
  </si>
  <si>
    <t>578.00004.B0009.00</t>
  </si>
  <si>
    <t>578.00003.B0009.00</t>
  </si>
  <si>
    <t>578.00006.B0009.00</t>
  </si>
  <si>
    <t>578.00005.B0009.00</t>
  </si>
  <si>
    <t>578.00008.B0009.00</t>
  </si>
  <si>
    <t>578.00007.B0009.00</t>
  </si>
  <si>
    <t>578.00051.B0009.00</t>
  </si>
  <si>
    <t>578.00052.B0009.00</t>
  </si>
  <si>
    <t>578.00053.B0009.00</t>
  </si>
  <si>
    <t>578.00054.B0009.00</t>
  </si>
  <si>
    <t>578.00055.B0009.00</t>
  </si>
  <si>
    <t>578.00010.B0009.00</t>
  </si>
  <si>
    <t>578.00009.B0009.00</t>
  </si>
  <si>
    <t>578.00012.B0009.00</t>
  </si>
  <si>
    <t>578.00011.B0009.00</t>
  </si>
  <si>
    <t>578.00014.B0009.00</t>
  </si>
  <si>
    <t>578.00013.B0009.00</t>
  </si>
  <si>
    <t>578.00016.B0009.00</t>
  </si>
  <si>
    <t>578.00015.B0009.00</t>
  </si>
  <si>
    <t>578.00018.B0009.00</t>
  </si>
  <si>
    <t>578.00017.B0009.00</t>
  </si>
  <si>
    <t>578.00020.B0009.00</t>
  </si>
  <si>
    <t>578.00019.B0009.00</t>
  </si>
  <si>
    <t>578.00022.B0009.00</t>
  </si>
  <si>
    <t>578.00021.B0009.00</t>
  </si>
  <si>
    <t>578.00024.B0009.00</t>
  </si>
  <si>
    <t>578.00023.B0009.00</t>
  </si>
  <si>
    <t>578.00042.B0009.00</t>
  </si>
  <si>
    <t>578.00041.B0009.00</t>
  </si>
  <si>
    <t>578.00044.B0009.00</t>
  </si>
  <si>
    <t>578.00043.B0009.00</t>
  </si>
  <si>
    <t>578.00046.B0009.00</t>
  </si>
  <si>
    <t>578.00045.B0009.00</t>
  </si>
  <si>
    <t>578.00048.B0009.00</t>
  </si>
  <si>
    <t>578.00047.B0009.00</t>
  </si>
  <si>
    <t>ENGAGE LAUNDRY &amp; PANT ORGANIZERS</t>
  </si>
  <si>
    <t>578.00026.B0001.00</t>
  </si>
  <si>
    <t>578.00025.B0001.00</t>
  </si>
  <si>
    <t>578.00028.B0001.00</t>
  </si>
  <si>
    <t>578.00027.B0001.00</t>
  </si>
  <si>
    <t>578.00030.B0001.00</t>
  </si>
  <si>
    <t>578.00029.B0001.00</t>
  </si>
  <si>
    <t>578.00032.B0001.00</t>
  </si>
  <si>
    <t>578.00031.B0001.00</t>
  </si>
  <si>
    <t>578.00026.B0008.00</t>
  </si>
  <si>
    <t>578.00025.B0008.00</t>
  </si>
  <si>
    <t>578.00028.B0008.00</t>
  </si>
  <si>
    <t>578.00027.B0008.00</t>
  </si>
  <si>
    <t>578.00030.B0008.00</t>
  </si>
  <si>
    <t>578.00029.B0008.00</t>
  </si>
  <si>
    <t>578.00032.B0008.00</t>
  </si>
  <si>
    <t>578.00031.B0008.00</t>
  </si>
  <si>
    <t>578.00026.B0009.00</t>
  </si>
  <si>
    <t>578.00025.B0009.00</t>
  </si>
  <si>
    <t>578.00028.B0009.00</t>
  </si>
  <si>
    <t>578.00027.B0009.00</t>
  </si>
  <si>
    <t>578.00030.B0009.00</t>
  </si>
  <si>
    <t>578.00029.B0009.00</t>
  </si>
  <si>
    <t>578.00032.B0009.00</t>
  </si>
  <si>
    <t>578.00031.B0009.00</t>
  </si>
  <si>
    <t>578.00034.B0001.00</t>
  </si>
  <si>
    <t>578.00033.B0001.00</t>
  </si>
  <si>
    <t>578.00036.B0001.00</t>
  </si>
  <si>
    <t>578.00035.B0001.00</t>
  </si>
  <si>
    <t>578.00038.B0001.00</t>
  </si>
  <si>
    <t>578.00037.B0001.00</t>
  </si>
  <si>
    <t>578.00040.B0001.00</t>
  </si>
  <si>
    <t>578.00039.B0001.00</t>
  </si>
  <si>
    <t>578.00034.B0008.00</t>
  </si>
  <si>
    <t>578.00033.B0008.00</t>
  </si>
  <si>
    <t>578.00036.B0008.00</t>
  </si>
  <si>
    <t>578.00035.B0008.00</t>
  </si>
  <si>
    <t>578.00038.B0008.00</t>
  </si>
  <si>
    <t>578.00037.B0008.00</t>
  </si>
  <si>
    <t>578.00040.B0008.00</t>
  </si>
  <si>
    <t>578.00039.B0008.00</t>
  </si>
  <si>
    <t>578.00034.B0009.00</t>
  </si>
  <si>
    <t>578.00033.B0009.00</t>
  </si>
  <si>
    <t>578.00036.B0009.00</t>
  </si>
  <si>
    <t>578.00035.B0009.00</t>
  </si>
  <si>
    <t>578.00038.B0009.00</t>
  </si>
  <si>
    <t>578.00037.B0009.00</t>
  </si>
  <si>
    <t>578.00040.B0009.00</t>
  </si>
  <si>
    <t>578.00039.B0009.00</t>
  </si>
  <si>
    <t>582.00001.B0001.00</t>
  </si>
  <si>
    <t>582.00002.B0001.00</t>
  </si>
  <si>
    <t>582.00003.B0001.00</t>
  </si>
  <si>
    <t>582.00001.B0008.00</t>
  </si>
  <si>
    <t>582.00002.B0008.00</t>
  </si>
  <si>
    <t>582.00003.B0008.00</t>
  </si>
  <si>
    <t>582.00001.B0009.00</t>
  </si>
  <si>
    <t>582.00002.B0009.00</t>
  </si>
  <si>
    <t>582.00003.B0009.00</t>
  </si>
  <si>
    <t>582.00004.B0001.00</t>
  </si>
  <si>
    <t>582.00005.B0001.00</t>
  </si>
  <si>
    <t>582.00006.B0001.00</t>
  </si>
  <si>
    <t>582.00004.B0008.00</t>
  </si>
  <si>
    <t>582.00005.B0008.00</t>
  </si>
  <si>
    <t>582.00006.B0008.00</t>
  </si>
  <si>
    <t>582.00004.B0009.00</t>
  </si>
  <si>
    <t>582.00005.B0009.00</t>
  </si>
  <si>
    <t>582.00006.B0009.00</t>
  </si>
  <si>
    <t>582.00007.B0001.00</t>
  </si>
  <si>
    <t>582.00008.B0001.00</t>
  </si>
  <si>
    <t>582.00009.B0001.00</t>
  </si>
  <si>
    <t>582.00007.B0008.00</t>
  </si>
  <si>
    <t>582.00008.B0008.00</t>
  </si>
  <si>
    <t>582.00009.B0008.00</t>
  </si>
  <si>
    <t>582.00007.B0009.00</t>
  </si>
  <si>
    <t>582.00008.B0009.00</t>
  </si>
  <si>
    <t>582.00009.B0009.00</t>
  </si>
  <si>
    <t>582.00010.B0001.00</t>
  </si>
  <si>
    <t>582.00011.B0001.00</t>
  </si>
  <si>
    <t>582.00012.B0001.00</t>
  </si>
  <si>
    <t>582.00010.B0008.00</t>
  </si>
  <si>
    <t>582.00011.B0008.00</t>
  </si>
  <si>
    <t>582.00012.B0008.00</t>
  </si>
  <si>
    <t>582.00010.B0009.00</t>
  </si>
  <si>
    <t>582.00011.B0009.00</t>
  </si>
  <si>
    <t>582.00012.B0009.00</t>
  </si>
  <si>
    <t>582.00013.B0001.00</t>
  </si>
  <si>
    <t>582.00014.B0001.00</t>
  </si>
  <si>
    <t>582.00015.B0001.00</t>
  </si>
  <si>
    <t>582.00013.B0008.00</t>
  </si>
  <si>
    <t>582.00014.B0008.00</t>
  </si>
  <si>
    <t>582.00015.B0008.00</t>
  </si>
  <si>
    <t>582.00013.B0009.00</t>
  </si>
  <si>
    <t>582.00014.B0009.00</t>
  </si>
  <si>
    <t>582.00015.B0009.00</t>
  </si>
  <si>
    <t>582.00016.B0001.00</t>
  </si>
  <si>
    <t>582.00017.B0001.00</t>
  </si>
  <si>
    <t>582.00018.B0001.00</t>
  </si>
  <si>
    <t>582.00016.B0008.00</t>
  </si>
  <si>
    <t>582.00017.B0008.00</t>
  </si>
  <si>
    <t>582.00018.B0008.00</t>
  </si>
  <si>
    <t>582.00016.B0009.00</t>
  </si>
  <si>
    <t>582.00017.B0009.00</t>
  </si>
  <si>
    <t>582.00018.B0009.00</t>
  </si>
  <si>
    <t>582.00019.B0001.00</t>
  </si>
  <si>
    <t>582.00020.B0001.00</t>
  </si>
  <si>
    <t>582.00021.B0001.00</t>
  </si>
  <si>
    <t>582.00019.B0008.00</t>
  </si>
  <si>
    <t>582.00020.B0008.00</t>
  </si>
  <si>
    <t>582.00021.B0008.00</t>
  </si>
  <si>
    <t>582.00019.B0009.00</t>
  </si>
  <si>
    <t>582.00020.B0009.00</t>
  </si>
  <si>
    <t>582.00021.B0009.00</t>
  </si>
  <si>
    <t>582.00022.B0001.00</t>
  </si>
  <si>
    <t>582.00023.B0001.00</t>
  </si>
  <si>
    <t>582.00024.B0001.00</t>
  </si>
  <si>
    <t>582.00022.B0008.00</t>
  </si>
  <si>
    <t>582.00023.B0008.00</t>
  </si>
  <si>
    <t>582.00024.B0008.00</t>
  </si>
  <si>
    <t>582.00022.B0009.00</t>
  </si>
  <si>
    <t>582.00023.B0009.00</t>
  </si>
  <si>
    <t>582.00024.B0009.00</t>
  </si>
  <si>
    <t>582.00025.B0001.00</t>
  </si>
  <si>
    <t>582.00026.B0001.00</t>
  </si>
  <si>
    <t>582.00027.B0001.00</t>
  </si>
  <si>
    <t>582.00025.B0008.00</t>
  </si>
  <si>
    <t>582.00026.B0008.00</t>
  </si>
  <si>
    <t>582.00027.B0008.00</t>
  </si>
  <si>
    <t>582.00025.B0009.00</t>
  </si>
  <si>
    <t>582.00026.B0009.00</t>
  </si>
  <si>
    <t>582.00027.B0009.00</t>
  </si>
  <si>
    <t>582.00028.B0001.00</t>
  </si>
  <si>
    <t>582.00029.B0001.00</t>
  </si>
  <si>
    <t>582.00030.B0001.00</t>
  </si>
  <si>
    <t>582.00028.B0008.00</t>
  </si>
  <si>
    <t>582.00029.B0008.00</t>
  </si>
  <si>
    <t>582.00030.B0008.00</t>
  </si>
  <si>
    <t>582.00028.B0009.00</t>
  </si>
  <si>
    <t>582.00029.B0009.00</t>
  </si>
  <si>
    <t>582.00030.B0009.00</t>
  </si>
  <si>
    <t>582.00031.B0001.00</t>
  </si>
  <si>
    <t>582.00032.B0001.00</t>
  </si>
  <si>
    <t>582.00033.B0001.00</t>
  </si>
  <si>
    <t>582.00031.B0008.00</t>
  </si>
  <si>
    <t>582.00032.B0008.00</t>
  </si>
  <si>
    <t>582.00033.B0008.00</t>
  </si>
  <si>
    <t>582.00031.B0009.00</t>
  </si>
  <si>
    <t>582.00032.B0009.00</t>
  </si>
  <si>
    <t>582.00033.B0009.00</t>
  </si>
  <si>
    <t>582.00034.B0001.00</t>
  </si>
  <si>
    <t>582.00035.B0001.00</t>
  </si>
  <si>
    <t>582.00036.B0001.00</t>
  </si>
  <si>
    <t>582.00034.B0008.00</t>
  </si>
  <si>
    <t>582.00035.B0008.00</t>
  </si>
  <si>
    <t>582.00036.B0008.00</t>
  </si>
  <si>
    <t>582.00034.B0009.00</t>
  </si>
  <si>
    <t>582.00035.B0009.00</t>
  </si>
  <si>
    <t>582.00036.B0009.00</t>
  </si>
  <si>
    <t>582.00037.B0001.00</t>
  </si>
  <si>
    <t>582.00038.B0001.00</t>
  </si>
  <si>
    <t>582.00039.B0001.00</t>
  </si>
  <si>
    <t>582.00037.B0008.00</t>
  </si>
  <si>
    <t>582.00038.B0008.00</t>
  </si>
  <si>
    <t>582.00039.B0008.00</t>
  </si>
  <si>
    <t>582.00037.B0009.00</t>
  </si>
  <si>
    <t>582.00038.B0009.00</t>
  </si>
  <si>
    <t>582.00039.B0009.00</t>
  </si>
  <si>
    <t>582.00040.B0001.00</t>
  </si>
  <si>
    <t>582.00041.B0001.00</t>
  </si>
  <si>
    <t>582.00042.B0001.00</t>
  </si>
  <si>
    <t>582.00040.B0008.00</t>
  </si>
  <si>
    <t>582.00041.B0008.00</t>
  </si>
  <si>
    <t>582.00042.B0008.00</t>
  </si>
  <si>
    <t>582.00040.B0009.00</t>
  </si>
  <si>
    <t>582.00041.B0009.00</t>
  </si>
  <si>
    <t>582.00042.B0009.00</t>
  </si>
  <si>
    <t>582.00043.B0001.00</t>
  </si>
  <si>
    <t>582.00044.B0001.00</t>
  </si>
  <si>
    <t>582.00045.B0001.00</t>
  </si>
  <si>
    <t>582.00043.B0008.00</t>
  </si>
  <si>
    <t>582.00044.B0008.00</t>
  </si>
  <si>
    <t>582.00045.B0008.00</t>
  </si>
  <si>
    <t>582.00043.B0009.00</t>
  </si>
  <si>
    <t>582.00044.B0009.00</t>
  </si>
  <si>
    <t>582.00045.B0009.00</t>
  </si>
  <si>
    <t>582.00046.B0001.00</t>
  </si>
  <si>
    <t>582.00047.B0001.00</t>
  </si>
  <si>
    <t>582.00048.B0001.00</t>
  </si>
  <si>
    <t>582.00046.B0008.00</t>
  </si>
  <si>
    <t>582.00047.B0008.00</t>
  </si>
  <si>
    <t>582.00048.B0008.00</t>
  </si>
  <si>
    <t>582.00046.B0009.00</t>
  </si>
  <si>
    <t>582.00047.B0009.00</t>
  </si>
  <si>
    <t>582.00048.B0009.00</t>
  </si>
  <si>
    <t>582.00049.B0001.00</t>
  </si>
  <si>
    <t>582.00050.B0001.00</t>
  </si>
  <si>
    <t>582.00051.B0001.00</t>
  </si>
  <si>
    <t>582.00049.B0008.00</t>
  </si>
  <si>
    <t>582.00050.B0008.00</t>
  </si>
  <si>
    <t>582.00051.B0008.00</t>
  </si>
  <si>
    <t>582.00049.B0009.00</t>
  </si>
  <si>
    <t>582.00050.B0009.00</t>
  </si>
  <si>
    <t>582.00051.B0009.00</t>
  </si>
  <si>
    <t>582.00052.B0001.00</t>
  </si>
  <si>
    <t>582.00053.B0001.00</t>
  </si>
  <si>
    <t>582.00054.B0001.00</t>
  </si>
  <si>
    <t>582.00052.B0008.00</t>
  </si>
  <si>
    <t>582.00053.B0008.00</t>
  </si>
  <si>
    <t>582.00054.B0008.00</t>
  </si>
  <si>
    <t>582.00052.B0009.00</t>
  </si>
  <si>
    <t>582.00053.B0009.00</t>
  </si>
  <si>
    <t>582.00054.B0009.00</t>
  </si>
  <si>
    <t>582.00055.B0001.00</t>
  </si>
  <si>
    <t>582.00056.B0001.00</t>
  </si>
  <si>
    <t>582.00057.B0001.00</t>
  </si>
  <si>
    <t>582.00055.B0008.00</t>
  </si>
  <si>
    <t>582.00056.B0008.00</t>
  </si>
  <si>
    <t>582.00057.B0008.00</t>
  </si>
  <si>
    <t>582.00055.B0009.00</t>
  </si>
  <si>
    <t>582.00056.B0009.00</t>
  </si>
  <si>
    <t>582.00057.B0009.00</t>
  </si>
  <si>
    <t>582.00058.B0001.00</t>
  </si>
  <si>
    <t>582.00059.B0001.00</t>
  </si>
  <si>
    <t>582.00060.B0001.00</t>
  </si>
  <si>
    <t>582.00058.B0008.00</t>
  </si>
  <si>
    <t>582.00059.B0008.00</t>
  </si>
  <si>
    <t>582.00060.B0008.00</t>
  </si>
  <si>
    <t>582.00058.B0009.00</t>
  </si>
  <si>
    <t>582.00059.B0009.00</t>
  </si>
  <si>
    <t>582.00060.B0009.00</t>
  </si>
  <si>
    <t>582.00061.B0001.00</t>
  </si>
  <si>
    <t>582.00062.B0001.00</t>
  </si>
  <si>
    <t>582.00063.B0001.00</t>
  </si>
  <si>
    <t>582.00061.B0008.00</t>
  </si>
  <si>
    <t>582.00062.B0008.00</t>
  </si>
  <si>
    <t>582.00063.B0008.00</t>
  </si>
  <si>
    <t>582.00061.B0009.00</t>
  </si>
  <si>
    <t>582.00062.B0009.00</t>
  </si>
  <si>
    <t>582.00063.B0009.00</t>
  </si>
  <si>
    <t>582.00064.B0001.00</t>
  </si>
  <si>
    <t>582.00065.B0001.00</t>
  </si>
  <si>
    <t>582.00066.B0001.00</t>
  </si>
  <si>
    <t>582.00064.B0008.00</t>
  </si>
  <si>
    <t>582.00065.B0008.00</t>
  </si>
  <si>
    <t>582.00066.B0008.00</t>
  </si>
  <si>
    <t>582.00064.B0009.00</t>
  </si>
  <si>
    <t>582.00065.B0009.00</t>
  </si>
  <si>
    <t>582.00066.B0009.00</t>
  </si>
  <si>
    <t>582.00067.B0001.00</t>
  </si>
  <si>
    <t>582.00068.B0001.00</t>
  </si>
  <si>
    <t>582.00069.B0001.00</t>
  </si>
  <si>
    <t>582.00067.B0008.00</t>
  </si>
  <si>
    <t>582.00068.B0008.00</t>
  </si>
  <si>
    <t>582.00069.B0008.00</t>
  </si>
  <si>
    <t>582.00067.B0009.00</t>
  </si>
  <si>
    <t>582.00068.B0009.00</t>
  </si>
  <si>
    <t>582.00069.B0009.00</t>
  </si>
  <si>
    <t>582.00070.B0001.00</t>
  </si>
  <si>
    <t>582.00071.B0001.00</t>
  </si>
  <si>
    <t>582.00072.B0001.00</t>
  </si>
  <si>
    <t>582.00070.B0008.00</t>
  </si>
  <si>
    <t>582.00071.B0008.00</t>
  </si>
  <si>
    <t>582.00072.B0008.00</t>
  </si>
  <si>
    <t>582.00070.B0009.00</t>
  </si>
  <si>
    <t>582.00071.B0009.00</t>
  </si>
  <si>
    <t>582.00072.B0009.00</t>
  </si>
  <si>
    <t>582.00073.B0001.00</t>
  </si>
  <si>
    <t>582.00074.B0001.00</t>
  </si>
  <si>
    <t>582.00075.B0001.00</t>
  </si>
  <si>
    <t>582.00073.B0008.00</t>
  </si>
  <si>
    <t>582.00074.B0008.00</t>
  </si>
  <si>
    <t>582.00075.B0008.00</t>
  </si>
  <si>
    <t>582.00073.B0009.00</t>
  </si>
  <si>
    <t>582.00074.B0009.00</t>
  </si>
  <si>
    <t>582.00075.B0009.00</t>
  </si>
  <si>
    <t>582.00076.B0001.00</t>
  </si>
  <si>
    <t>582.00077.B0001.00</t>
  </si>
  <si>
    <t>582.00078.B0001.00</t>
  </si>
  <si>
    <t>582.00076.B0008.00</t>
  </si>
  <si>
    <t>582.00077.B0008.00</t>
  </si>
  <si>
    <t>582.00078.B0008.00</t>
  </si>
  <si>
    <t>582.00076.B0009.00</t>
  </si>
  <si>
    <t>582.00077.B0009.00</t>
  </si>
  <si>
    <t>582.00078.B0009.00</t>
  </si>
  <si>
    <t>582.00079.B0001.00</t>
  </si>
  <si>
    <t>582.00080.B0001.00</t>
  </si>
  <si>
    <t>582.00081.B0001.00</t>
  </si>
  <si>
    <t>582.00079.B0008.00</t>
  </si>
  <si>
    <t>582.00080.B0008.00</t>
  </si>
  <si>
    <t>582.00081.B0008.00</t>
  </si>
  <si>
    <t>582.00079.B0009.00</t>
  </si>
  <si>
    <t>582.00080.B0009.00</t>
  </si>
  <si>
    <t>582.00081.B0009.00</t>
  </si>
  <si>
    <t>582.00082.B0001.00</t>
  </si>
  <si>
    <t>582.00083.B0001.00</t>
  </si>
  <si>
    <t>582.00084.B0001.00</t>
  </si>
  <si>
    <t>582.00082.B0008.00</t>
  </si>
  <si>
    <t>582.00083.B0008.00</t>
  </si>
  <si>
    <t>582.00084.B0008.00</t>
  </si>
  <si>
    <t>582.00082.B0009.00</t>
  </si>
  <si>
    <t>582.00083.B0009.00</t>
  </si>
  <si>
    <t>582.00084.B0009.00</t>
  </si>
  <si>
    <t>582.00085.B0001.00</t>
  </si>
  <si>
    <t>582.00086.B0001.00</t>
  </si>
  <si>
    <t>582.00087.B0001.00</t>
  </si>
  <si>
    <t>582.00085.B0008.00</t>
  </si>
  <si>
    <t>582.00086.B0008.00</t>
  </si>
  <si>
    <t>582.00087.B0008.00</t>
  </si>
  <si>
    <t>582.00085.B0009.00</t>
  </si>
  <si>
    <t>582.00086.B0009.00</t>
  </si>
  <si>
    <t>582.00087.B0009.00</t>
  </si>
  <si>
    <t>582.00088.B0001.00</t>
  </si>
  <si>
    <t>582.00089.B0001.00</t>
  </si>
  <si>
    <t>582.00090.B0001.00</t>
  </si>
  <si>
    <t>582.00088.B0008.00</t>
  </si>
  <si>
    <t>582.00089.B0008.00</t>
  </si>
  <si>
    <t>582.00090.B0008.00</t>
  </si>
  <si>
    <t>582.00088.B0009.00</t>
  </si>
  <si>
    <t>582.00089.B0009.00</t>
  </si>
  <si>
    <t>582.00090.B0009.00</t>
  </si>
  <si>
    <t>582.00091.B0001.00</t>
  </si>
  <si>
    <t>582.00092.B0001.00</t>
  </si>
  <si>
    <t>582.00093.B0001.00</t>
  </si>
  <si>
    <t>582.00091.B0008.00</t>
  </si>
  <si>
    <t>582.00092.B0008.00</t>
  </si>
  <si>
    <t>582.00093.B0008.00</t>
  </si>
  <si>
    <t>582.00091.B0009.00</t>
  </si>
  <si>
    <t>582.00092.B0009.00</t>
  </si>
  <si>
    <t>582.00093.B0009.00</t>
  </si>
  <si>
    <t>582.00094.B0001.00</t>
  </si>
  <si>
    <t>582.00095.B0001.00</t>
  </si>
  <si>
    <t>582.00096.B0001.00</t>
  </si>
  <si>
    <t>582.00094.B0008.00</t>
  </si>
  <si>
    <t>582.00095.B0008.00</t>
  </si>
  <si>
    <t>582.00096.B0008.00</t>
  </si>
  <si>
    <t>582.00094.B0009.00</t>
  </si>
  <si>
    <t>582.00095.B0009.00</t>
  </si>
  <si>
    <t>582.00096.B0009.00</t>
  </si>
  <si>
    <t>582.00097.B0001.00</t>
  </si>
  <si>
    <t>582.00098.B0001.00</t>
  </si>
  <si>
    <t>582.00099.B0001.00</t>
  </si>
  <si>
    <t>582.00097.B0008.00</t>
  </si>
  <si>
    <t>582.00098.B0008.00</t>
  </si>
  <si>
    <t>582.00099.B0008.00</t>
  </si>
  <si>
    <t>582.00097.B0009.00</t>
  </si>
  <si>
    <t>582.00098.B0009.00</t>
  </si>
  <si>
    <t>582.00099.B0009.00</t>
  </si>
  <si>
    <t>582.00100.B0001.00</t>
  </si>
  <si>
    <t>582.00101.B0001.00</t>
  </si>
  <si>
    <t>582.00102.B0001.00</t>
  </si>
  <si>
    <t>582.00100.B0008.00</t>
  </si>
  <si>
    <t>582.00101.B0008.00</t>
  </si>
  <si>
    <t>582.00102.B0008.00</t>
  </si>
  <si>
    <t>582.00100.B0009.00</t>
  </si>
  <si>
    <t>582.00101.B0009.00</t>
  </si>
  <si>
    <t>582.00102.B0009.00</t>
  </si>
  <si>
    <t>582.00103.B0001.00</t>
  </si>
  <si>
    <t>582.00104.B0001.00</t>
  </si>
  <si>
    <t>582.00105.B0001.00</t>
  </si>
  <si>
    <t>582.00103.B0008.00</t>
  </si>
  <si>
    <t>582.00104.B0008.00</t>
  </si>
  <si>
    <t>582.00105.B0008.00</t>
  </si>
  <si>
    <t>582.00103.B0009.00</t>
  </si>
  <si>
    <t>582.00104.B0009.00</t>
  </si>
  <si>
    <t>582.00105.B0009.00</t>
  </si>
  <si>
    <t>582.00106.B0001.00</t>
  </si>
  <si>
    <t>582.00107.B0001.00</t>
  </si>
  <si>
    <t>582.00108.B0001.00</t>
  </si>
  <si>
    <t>582.00106.B0008.00</t>
  </si>
  <si>
    <t>582.00107.B0008.00</t>
  </si>
  <si>
    <t>582.00108.B0008.00</t>
  </si>
  <si>
    <t>582.00106.B0009.00</t>
  </si>
  <si>
    <t>582.00107.B0009.00</t>
  </si>
  <si>
    <t>582.00108.B0009.00</t>
  </si>
  <si>
    <t>582.00109.B0001.00</t>
  </si>
  <si>
    <t>582.00110.B0001.00</t>
  </si>
  <si>
    <t>582.00111.B0001.00</t>
  </si>
  <si>
    <t>582.00109.B0008.00</t>
  </si>
  <si>
    <t>582.00110.B0008.00</t>
  </si>
  <si>
    <t>582.00111.B0008.00</t>
  </si>
  <si>
    <t>582.00109.B0009.00</t>
  </si>
  <si>
    <t>582.00110.B0009.00</t>
  </si>
  <si>
    <t>582.00111.B0009.00</t>
  </si>
  <si>
    <t>582.00112.B0001.00</t>
  </si>
  <si>
    <t>582.00113.B0001.00</t>
  </si>
  <si>
    <t>582.00114.B0001.00</t>
  </si>
  <si>
    <t>582.00112.B0008.00</t>
  </si>
  <si>
    <t>582.00113.B0008.00</t>
  </si>
  <si>
    <t>582.00114.B0008.00</t>
  </si>
  <si>
    <t>582.00112.B0009.00</t>
  </si>
  <si>
    <t>582.00113.B0009.00</t>
  </si>
  <si>
    <t>582.00114.B0009.00</t>
  </si>
  <si>
    <t>582.00115.B0001.00</t>
  </si>
  <si>
    <t>582.00116.B0001.00</t>
  </si>
  <si>
    <t>582.00117.B0001.00</t>
  </si>
  <si>
    <t>582.00115.B0008.00</t>
  </si>
  <si>
    <t>582.00116.B0008.00</t>
  </si>
  <si>
    <t>582.00117.B0008.00</t>
  </si>
  <si>
    <t>582.00115.B0009.00</t>
  </si>
  <si>
    <t>582.00116.B0009.00</t>
  </si>
  <si>
    <t>582.00117.B0009.00</t>
  </si>
  <si>
    <t>582.00118.B0001.00</t>
  </si>
  <si>
    <t>582.00119.B0001.00</t>
  </si>
  <si>
    <t>582.00120.B0001.00</t>
  </si>
  <si>
    <t>582.00118.B0008.00</t>
  </si>
  <si>
    <t>582.00119.B0008.00</t>
  </si>
  <si>
    <t>582.00120.B0008.00</t>
  </si>
  <si>
    <t>582.00118.B0009.00</t>
  </si>
  <si>
    <t>582.00119.B0009.00</t>
  </si>
  <si>
    <t>582.00120.B0009.00</t>
  </si>
  <si>
    <t>582.00121.B0001.00</t>
  </si>
  <si>
    <t>582.00122.B0001.00</t>
  </si>
  <si>
    <t>582.00123.B0001.00</t>
  </si>
  <si>
    <t>582.00121.B0008.00</t>
  </si>
  <si>
    <t>582.00122.B0008.00</t>
  </si>
  <si>
    <t>582.00123.B0008.00</t>
  </si>
  <si>
    <t>582.00121.B0009.00</t>
  </si>
  <si>
    <t>582.00122.B0009.00</t>
  </si>
  <si>
    <t>582.00123.B0009.00</t>
  </si>
  <si>
    <t>582.00124.B0001.00</t>
  </si>
  <si>
    <t>582.00125.B0001.00</t>
  </si>
  <si>
    <t>582.00126.B0001.00</t>
  </si>
  <si>
    <t>582.00124.B0008.00</t>
  </si>
  <si>
    <t>582.00125.B0008.00</t>
  </si>
  <si>
    <t>582.00126.B0008.00</t>
  </si>
  <si>
    <t>582.00124.B0009.00</t>
  </si>
  <si>
    <t>582.00125.B0009.00</t>
  </si>
  <si>
    <t>582.00126.B0009.00</t>
  </si>
  <si>
    <t>582.00127.B0001.00</t>
  </si>
  <si>
    <t>582.00127.B0008.00</t>
  </si>
  <si>
    <t>582.00127.B0009.00</t>
  </si>
  <si>
    <t>582.00128.B0001.00</t>
  </si>
  <si>
    <t>582.00128.B0008.00</t>
  </si>
  <si>
    <t>582.00128.B0009.00</t>
  </si>
  <si>
    <t>582.00129.B0001.00</t>
  </si>
  <si>
    <t>582.00129.B0008.00</t>
  </si>
  <si>
    <t>582.00129.B0009.00</t>
  </si>
  <si>
    <t>582.00130.B0001.00</t>
  </si>
  <si>
    <t>582.00130.B0008.00</t>
  </si>
  <si>
    <t>582.00130.B0009.00</t>
  </si>
  <si>
    <t>582.00131.B0001.00</t>
  </si>
  <si>
    <t>582.00132.B0001.00</t>
  </si>
  <si>
    <t>582.00133.B0001.00</t>
  </si>
  <si>
    <t>582.00131.B0008.00</t>
  </si>
  <si>
    <t>582.00132.B0008.00</t>
  </si>
  <si>
    <t>582.00133.B0008.00</t>
  </si>
  <si>
    <t>582.00131.B0009.00</t>
  </si>
  <si>
    <t>582.00132.B0009.00</t>
  </si>
  <si>
    <t>582.00133.B0009.00</t>
  </si>
  <si>
    <t>582.00134.B0001.00</t>
  </si>
  <si>
    <t>582.00135.B0001.00</t>
  </si>
  <si>
    <t>582.00136.B0001.00</t>
  </si>
  <si>
    <t>582.00134.B0008.00</t>
  </si>
  <si>
    <t>582.00135.B0008.00</t>
  </si>
  <si>
    <t>582.00136.B0008.00</t>
  </si>
  <si>
    <t>582.00134.B0009.00</t>
  </si>
  <si>
    <t>582.00135.B0009.00</t>
  </si>
  <si>
    <t>582.00136.B0009.00</t>
  </si>
  <si>
    <t>582.00137.B0001.00</t>
  </si>
  <si>
    <t>582.00138.B0001.00</t>
  </si>
  <si>
    <t>582.00139.B0001.00</t>
  </si>
  <si>
    <t>582.00137.B0008.00</t>
  </si>
  <si>
    <t>582.00138.B0008.00</t>
  </si>
  <si>
    <t>582.00139.B0008.00</t>
  </si>
  <si>
    <t>582.00137.B0009.00</t>
  </si>
  <si>
    <t>582.00138.B0009.00</t>
  </si>
  <si>
    <t>582.00139.B0009.00</t>
  </si>
  <si>
    <t>582.00140.B0001.00</t>
  </si>
  <si>
    <t>582.00141.B0001.00</t>
  </si>
  <si>
    <t>582.00142.B0001.00</t>
  </si>
  <si>
    <t>582.00140.B0008.00</t>
  </si>
  <si>
    <t>582.00141.B0008.00</t>
  </si>
  <si>
    <t>582.00142.B0008.00</t>
  </si>
  <si>
    <t>582.00140.B0009.00</t>
  </si>
  <si>
    <t>582.00141.B0009.00</t>
  </si>
  <si>
    <t>582.00142.B0009.00</t>
  </si>
  <si>
    <t>582.00143.B0001.00</t>
  </si>
  <si>
    <t>582.00144.B0001.00</t>
  </si>
  <si>
    <t>582.00145.B0001.00</t>
  </si>
  <si>
    <t>582.00143.B0008.00</t>
  </si>
  <si>
    <t>582.00144.B0008.00</t>
  </si>
  <si>
    <t>582.00145.B0008.00</t>
  </si>
  <si>
    <t>582.00143.B0009.00</t>
  </si>
  <si>
    <t>582.00144.B0009.00</t>
  </si>
  <si>
    <t>582.00145.B0009.00</t>
  </si>
  <si>
    <t>582.00146.B0001.00</t>
  </si>
  <si>
    <t>582.00147.B0001.00</t>
  </si>
  <si>
    <t>582.00148.B0001.00</t>
  </si>
  <si>
    <t>582.00146.B0008.00</t>
  </si>
  <si>
    <t>582.00147.B0008.00</t>
  </si>
  <si>
    <t>582.00148.B0008.00</t>
  </si>
  <si>
    <t>582.00146.B0009.00</t>
  </si>
  <si>
    <t>582.00147.B0009.00</t>
  </si>
  <si>
    <t>582.00148.B0009.00</t>
  </si>
  <si>
    <t>582.00149.B0001.00</t>
  </si>
  <si>
    <t>582.00150.B0001.00</t>
  </si>
  <si>
    <t>582.00151.B0001.00</t>
  </si>
  <si>
    <t>582.00149.B0008.00</t>
  </si>
  <si>
    <t>582.00150.B0008.00</t>
  </si>
  <si>
    <t>582.00151.B0008.00</t>
  </si>
  <si>
    <t>582.00149.B0009.00</t>
  </si>
  <si>
    <t>582.00150.B0009.00</t>
  </si>
  <si>
    <t>582.00151.B0009.00</t>
  </si>
  <si>
    <t>582.00152.B0001.00</t>
  </si>
  <si>
    <t>582.00153.B0001.00</t>
  </si>
  <si>
    <t>582.00154.B0001.00</t>
  </si>
  <si>
    <t>582.00152.B0008.00</t>
  </si>
  <si>
    <t>582.00153.B0008.00</t>
  </si>
  <si>
    <t>582.00154.B0008.00</t>
  </si>
  <si>
    <t>582.00152.B0009.00</t>
  </si>
  <si>
    <t>582.00153.B0009.00</t>
  </si>
  <si>
    <t>582.00154.B0009.00</t>
  </si>
  <si>
    <t>582.00155.B0001.00</t>
  </si>
  <si>
    <t>582.00156.B0001.00</t>
  </si>
  <si>
    <t>582.00157.B0001.00</t>
  </si>
  <si>
    <t>582.00155.B0008.00</t>
  </si>
  <si>
    <t>582.00156.B0008.00</t>
  </si>
  <si>
    <t>582.00157.B0008.00</t>
  </si>
  <si>
    <t>582.00155.B0009.00</t>
  </si>
  <si>
    <t>582.00156.B0009.00</t>
  </si>
  <si>
    <t>582.00157.B0009.00</t>
  </si>
  <si>
    <t>582.00158.B0001.00</t>
  </si>
  <si>
    <t>582.00159.B0001.00</t>
  </si>
  <si>
    <t>582.00160.B0001.00</t>
  </si>
  <si>
    <t>582.00158.B0008.00</t>
  </si>
  <si>
    <t>582.00159.B0008.00</t>
  </si>
  <si>
    <t>582.00160.B0008.00</t>
  </si>
  <si>
    <t>582.00158.B0009.00</t>
  </si>
  <si>
    <t>582.00159.B0009.00</t>
  </si>
  <si>
    <t>582.00160.B0009.00</t>
  </si>
  <si>
    <t>582.00161.B0001.00</t>
  </si>
  <si>
    <t>582.00162.B0001.00</t>
  </si>
  <si>
    <t>582.00163.B0001.00</t>
  </si>
  <si>
    <t>582.00161.B0008.00</t>
  </si>
  <si>
    <t>582.00162.B0008.00</t>
  </si>
  <si>
    <t>582.00163.B0008.00</t>
  </si>
  <si>
    <t>582.00161.B0009.00</t>
  </si>
  <si>
    <t>582.00162.B0009.00</t>
  </si>
  <si>
    <t>582.00163.B0009.00</t>
  </si>
  <si>
    <t>582.00164.B0001.00</t>
  </si>
  <si>
    <t>582.00165.B0001.00</t>
  </si>
  <si>
    <t>582.00166.B0001.00</t>
  </si>
  <si>
    <t>582.00164.B0008.00</t>
  </si>
  <si>
    <t>582.00165.B0008.00</t>
  </si>
  <si>
    <t>582.00166.B0008.00</t>
  </si>
  <si>
    <t>582.00164.B0009.00</t>
  </si>
  <si>
    <t>582.00165.B0009.00</t>
  </si>
  <si>
    <t>582.00166.B0009.00</t>
  </si>
  <si>
    <t>582.00167.B0001.00</t>
  </si>
  <si>
    <t>582.00168.B0001.00</t>
  </si>
  <si>
    <t>582.00169.B0001.00</t>
  </si>
  <si>
    <t>582.00167.B0008.00</t>
  </si>
  <si>
    <t>582.00168.B0008.00</t>
  </si>
  <si>
    <t>582.00169.B0008.00</t>
  </si>
  <si>
    <t>582.00167.B0009.00</t>
  </si>
  <si>
    <t>582.00168.B0009.00</t>
  </si>
  <si>
    <t>582.00169.B0009.00</t>
  </si>
  <si>
    <t>582.00170.B0001.00</t>
  </si>
  <si>
    <t>582.00171.B0001.00</t>
  </si>
  <si>
    <t>582.00172.B0001.00</t>
  </si>
  <si>
    <t>582.00170.B0008.00</t>
  </si>
  <si>
    <t>582.00171.B0008.00</t>
  </si>
  <si>
    <t>582.00172.B0008.00</t>
  </si>
  <si>
    <t>582.00170.B0009.00</t>
  </si>
  <si>
    <t>582.00171.B0009.00</t>
  </si>
  <si>
    <t>582.00172.B0009.00</t>
  </si>
  <si>
    <t>582.00173.B0001.00</t>
  </si>
  <si>
    <t>582.00174.B0001.00</t>
  </si>
  <si>
    <t>582.00175.B0001.00</t>
  </si>
  <si>
    <t>582.00173.B0008.00</t>
  </si>
  <si>
    <t>582.00174.B0008.00</t>
  </si>
  <si>
    <t>582.00175.B0008.00</t>
  </si>
  <si>
    <t>582.00173.B0009.00</t>
  </si>
  <si>
    <t>582.00174.B0009.00</t>
  </si>
  <si>
    <t>582.00175.B0009.00</t>
  </si>
  <si>
    <t>582.00176.B0001.00</t>
  </si>
  <si>
    <t>582.00177.B0001.00</t>
  </si>
  <si>
    <t>582.00178.B0001.00</t>
  </si>
  <si>
    <t>582.00176.B0008.00</t>
  </si>
  <si>
    <t>582.00177.B0008.00</t>
  </si>
  <si>
    <t>582.00178.B0008.00</t>
  </si>
  <si>
    <t>582.00176.B0009.00</t>
  </si>
  <si>
    <t>582.00177.B0009.00</t>
  </si>
  <si>
    <t>582.00178.B0009.00</t>
  </si>
  <si>
    <t>582.00179.B0001.00</t>
  </si>
  <si>
    <t>582.00180.B0001.00</t>
  </si>
  <si>
    <t>582.00181.B0001.00</t>
  </si>
  <si>
    <t>582.00179.B0008.00</t>
  </si>
  <si>
    <t>582.00180.B0008.00</t>
  </si>
  <si>
    <t>582.00181.B0008.00</t>
  </si>
  <si>
    <t>582.00179.B0009.00</t>
  </si>
  <si>
    <t>582.00180.B0009.00</t>
  </si>
  <si>
    <t>582.00181.B0009.00</t>
  </si>
  <si>
    <t>582.00182.B0001.00</t>
  </si>
  <si>
    <t>582.00183.B0001.00</t>
  </si>
  <si>
    <t>582.00184.B0001.00</t>
  </si>
  <si>
    <t>582.00182.B0008.00</t>
  </si>
  <si>
    <t>582.00183.B0008.00</t>
  </si>
  <si>
    <t>582.00184.B0008.00</t>
  </si>
  <si>
    <t>582.00182.B0009.00</t>
  </si>
  <si>
    <t>582.00183.B0009.00</t>
  </si>
  <si>
    <t>582.00184.B0009.00</t>
  </si>
  <si>
    <t>582.00185.B0001.00</t>
  </si>
  <si>
    <t>582.00186.B0001.00</t>
  </si>
  <si>
    <t>582.00187.B0001.00</t>
  </si>
  <si>
    <t>582.00185.B0008.00</t>
  </si>
  <si>
    <t>582.00186.B0008.00</t>
  </si>
  <si>
    <t>582.00187.B0008.00</t>
  </si>
  <si>
    <t>582.00185.B0009.00</t>
  </si>
  <si>
    <t>582.00186.B0009.00</t>
  </si>
  <si>
    <t>582.00187.B0009.00</t>
  </si>
  <si>
    <t>582.00188.B0001.00</t>
  </si>
  <si>
    <t>582.00189.B0001.00</t>
  </si>
  <si>
    <t>582.00190.B0001.00</t>
  </si>
  <si>
    <t>582.00188.B0008.00</t>
  </si>
  <si>
    <t>582.00189.B0008.00</t>
  </si>
  <si>
    <t>582.00190.B0008.00</t>
  </si>
  <si>
    <t>582.00188.B0009.00</t>
  </si>
  <si>
    <t>582.00189.B0009.00</t>
  </si>
  <si>
    <t>582.00190.B0009.00</t>
  </si>
  <si>
    <t>582.00191.B0001.00</t>
  </si>
  <si>
    <t>582.00192.B0001.00</t>
  </si>
  <si>
    <t>582.00193.B0001.00</t>
  </si>
  <si>
    <t>582.00191.B0008.00</t>
  </si>
  <si>
    <t>582.00192.B0008.00</t>
  </si>
  <si>
    <t>582.00193.B0008.00</t>
  </si>
  <si>
    <t>582.00191.B0009.00</t>
  </si>
  <si>
    <t>582.00192.B0009.00</t>
  </si>
  <si>
    <t>582.00193.B0009.00</t>
  </si>
  <si>
    <t>582.00194.B0001.00</t>
  </si>
  <si>
    <t>582.00195.B0001.00</t>
  </si>
  <si>
    <t>582.00196.B0001.00</t>
  </si>
  <si>
    <t>582.00194.B0008.00</t>
  </si>
  <si>
    <t>582.00195.B0008.00</t>
  </si>
  <si>
    <t>582.00196.B0008.00</t>
  </si>
  <si>
    <t>582.00194.B0009.00</t>
  </si>
  <si>
    <t>582.00195.B0009.00</t>
  </si>
  <si>
    <t>582.00196.B0009.00</t>
  </si>
  <si>
    <t>582.00197.B0001.00</t>
  </si>
  <si>
    <t>582.00198.B0001.00</t>
  </si>
  <si>
    <t>582.00199.B0001.00</t>
  </si>
  <si>
    <t>582.00197.B0008.00</t>
  </si>
  <si>
    <t>582.00198.B0008.00</t>
  </si>
  <si>
    <t>582.00199.B0008.00</t>
  </si>
  <si>
    <t>582.00197.B0009.00</t>
  </si>
  <si>
    <t>582.00198.B0009.00</t>
  </si>
  <si>
    <t>582.00199.B0009.00</t>
  </si>
  <si>
    <t>582.00200.B0001.00</t>
  </si>
  <si>
    <t>582.00201.B0001.00</t>
  </si>
  <si>
    <t>582.00202.B0001.00</t>
  </si>
  <si>
    <t>582.00200.B0008.00</t>
  </si>
  <si>
    <t>582.00201.B0008.00</t>
  </si>
  <si>
    <t>582.00202.B0008.00</t>
  </si>
  <si>
    <t>582.00200.B0009.00</t>
  </si>
  <si>
    <t>582.00201.B0009.00</t>
  </si>
  <si>
    <t>582.00202.B0009.00</t>
  </si>
  <si>
    <t>582.00203.B0001.00</t>
  </si>
  <si>
    <t>582.00204.B0001.00</t>
  </si>
  <si>
    <t>582.00205.B0001.00</t>
  </si>
  <si>
    <t>582.00203.B0008.00</t>
  </si>
  <si>
    <t>582.00204.B0008.00</t>
  </si>
  <si>
    <t>582.00205.B0008.00</t>
  </si>
  <si>
    <t>582.00203.B0009.00</t>
  </si>
  <si>
    <t>582.00204.B0009.00</t>
  </si>
  <si>
    <t>582.00205.B0009.00</t>
  </si>
  <si>
    <t>582.00206.B0001.00</t>
  </si>
  <si>
    <t>582.00207.B0001.00</t>
  </si>
  <si>
    <t>582.00208.B0001.00</t>
  </si>
  <si>
    <t>582.00206.B0008.00</t>
  </si>
  <si>
    <t>582.00207.B0008.00</t>
  </si>
  <si>
    <t>582.00208.B0008.00</t>
  </si>
  <si>
    <t>582.00206.B0009.00</t>
  </si>
  <si>
    <t>582.00207.B0009.00</t>
  </si>
  <si>
    <t>582.00208.B0009.00</t>
  </si>
  <si>
    <t>582.00209.B0001.00</t>
  </si>
  <si>
    <t>582.00210.B0001.00</t>
  </si>
  <si>
    <t>582.00211.B0001.00</t>
  </si>
  <si>
    <t>582.00209.B0008.00</t>
  </si>
  <si>
    <t>582.00210.B0008.00</t>
  </si>
  <si>
    <t>582.00211.B0008.00</t>
  </si>
  <si>
    <t>582.00209.B0009.00</t>
  </si>
  <si>
    <t>582.00210.B0009.00</t>
  </si>
  <si>
    <t>582.00211.B0009.00</t>
  </si>
  <si>
    <t>582.00212.B0001.00</t>
  </si>
  <si>
    <t>582.00213.B0001.00</t>
  </si>
  <si>
    <t>582.00214.B0001.00</t>
  </si>
  <si>
    <t>582.00212.B0008.00</t>
  </si>
  <si>
    <t>582.00213.B0008.00</t>
  </si>
  <si>
    <t>582.00214.B0008.00</t>
  </si>
  <si>
    <t>582.00212.B0009.00</t>
  </si>
  <si>
    <t>582.00213.B0009.00</t>
  </si>
  <si>
    <t>582.00214.B0009.00</t>
  </si>
  <si>
    <t>582.00215.B0001.00</t>
  </si>
  <si>
    <t>582.00216.B0001.00</t>
  </si>
  <si>
    <t>582.00217.B0001.00</t>
  </si>
  <si>
    <t>582.00215.B0008.00</t>
  </si>
  <si>
    <t>582.00216.B0008.00</t>
  </si>
  <si>
    <t>582.00217.B0008.00</t>
  </si>
  <si>
    <t>582.00215.B0009.00</t>
  </si>
  <si>
    <t>582.00216.B0009.00</t>
  </si>
  <si>
    <t>582.00217.B0009.00</t>
  </si>
  <si>
    <t>582.00218.B0001.00</t>
  </si>
  <si>
    <t>582.00219.B0001.00</t>
  </si>
  <si>
    <t>582.00220.B0001.00</t>
  </si>
  <si>
    <t>582.00218.B0008.00</t>
  </si>
  <si>
    <t>582.00219.B0008.00</t>
  </si>
  <si>
    <t>582.00220.B0008.00</t>
  </si>
  <si>
    <t>582.00218.B0009.00</t>
  </si>
  <si>
    <t>582.00219.B0009.00</t>
  </si>
  <si>
    <t>582.00220.B0009.00</t>
  </si>
  <si>
    <t>582.00221.B0001.00</t>
  </si>
  <si>
    <t>582.00222.B0001.00</t>
  </si>
  <si>
    <t>582.00223.B0001.00</t>
  </si>
  <si>
    <t>582.00221.B0008.00</t>
  </si>
  <si>
    <t>582.00222.B0008.00</t>
  </si>
  <si>
    <t>582.00223.B0008.00</t>
  </si>
  <si>
    <t>582.00221.B0009.00</t>
  </si>
  <si>
    <t>582.00222.B0009.00</t>
  </si>
  <si>
    <t>582.00223.B0009.00</t>
  </si>
  <si>
    <t>582.00224.B0001.00</t>
  </si>
  <si>
    <t>582.00225.B0001.00</t>
  </si>
  <si>
    <t>582.00226.B0001.00</t>
  </si>
  <si>
    <t>582.00224.B0008.00</t>
  </si>
  <si>
    <t>582.00225.B0008.00</t>
  </si>
  <si>
    <t>582.00226.B0008.00</t>
  </si>
  <si>
    <t>582.00224.B0009.00</t>
  </si>
  <si>
    <t>582.00225.B0009.00</t>
  </si>
  <si>
    <t>582.00226.B0009.00</t>
  </si>
  <si>
    <t>582.00235.B0001.00</t>
  </si>
  <si>
    <t>582.00236.B0001.00</t>
  </si>
  <si>
    <t>582.00237.B0001.00</t>
  </si>
  <si>
    <t>582.00235.B0008.00</t>
  </si>
  <si>
    <t>582.00236.B0008.00</t>
  </si>
  <si>
    <t>582.00237.B0008.00</t>
  </si>
  <si>
    <t>582.00235.B0009.00</t>
  </si>
  <si>
    <t>582.00236.B0009.00</t>
  </si>
  <si>
    <t>582.00237.B0009.00</t>
  </si>
  <si>
    <t>582.00238.B0001.00</t>
  </si>
  <si>
    <t>582.00239.B0001.00</t>
  </si>
  <si>
    <t>582.00240.B0001.00</t>
  </si>
  <si>
    <t>582.00238.B0008.00</t>
  </si>
  <si>
    <t>582.00239.B0008.00</t>
  </si>
  <si>
    <t>582.00240.B0008.00</t>
  </si>
  <si>
    <t>582.00238.B0009.00</t>
  </si>
  <si>
    <t>582.00239.B0009.00</t>
  </si>
  <si>
    <t>582.00240.B0009.00</t>
  </si>
  <si>
    <t>582.00241.B0001.00</t>
  </si>
  <si>
    <t>582.00242.B0001.00</t>
  </si>
  <si>
    <t>582.00243.B0001.00</t>
  </si>
  <si>
    <t>582.00241.B0008.00</t>
  </si>
  <si>
    <t>582.00242.B0008.00</t>
  </si>
  <si>
    <t>582.00243.B0008.00</t>
  </si>
  <si>
    <t>582.00241.B0009.00</t>
  </si>
  <si>
    <t>582.00242.B0009.00</t>
  </si>
  <si>
    <t>582.00243.B0009.00</t>
  </si>
  <si>
    <t>582.00244.B0001.00</t>
  </si>
  <si>
    <t>582.00245.B0001.00</t>
  </si>
  <si>
    <t>582.00246.B0001.00</t>
  </si>
  <si>
    <t>582.00244.B0008.00</t>
  </si>
  <si>
    <t>582.00245.B0008.00</t>
  </si>
  <si>
    <t>582.00246.B0008.00</t>
  </si>
  <si>
    <t>582.00244.B0009.00</t>
  </si>
  <si>
    <t>582.00245.B0009.00</t>
  </si>
  <si>
    <t>582.00246.B0009.00</t>
  </si>
  <si>
    <t>582.00247.B0001.00</t>
  </si>
  <si>
    <t>582.00248.B0001.00</t>
  </si>
  <si>
    <t>582.00249.B0001.00</t>
  </si>
  <si>
    <t>582.00247.B0008.00</t>
  </si>
  <si>
    <t>582.00248.B0008.00</t>
  </si>
  <si>
    <t>582.00249.B0008.00</t>
  </si>
  <si>
    <t>582.00247.B0009.00</t>
  </si>
  <si>
    <t>582.00248.B0009.00</t>
  </si>
  <si>
    <t>582.00249.B0009.00</t>
  </si>
  <si>
    <t>582.00250.B0001.00</t>
  </si>
  <si>
    <t>582.00251.B0001.00</t>
  </si>
  <si>
    <t>582.00252.B0001.00</t>
  </si>
  <si>
    <t>582.00250.B0008.00</t>
  </si>
  <si>
    <t>582.00251.B0008.00</t>
  </si>
  <si>
    <t>582.00252.B0008.00</t>
  </si>
  <si>
    <t>582.00250.B0009.00</t>
  </si>
  <si>
    <t>582.00251.B0009.00</t>
  </si>
  <si>
    <t>582.00252.B0009.00</t>
  </si>
  <si>
    <t>582.00253.B0001.00</t>
  </si>
  <si>
    <t>582.00254.B0001.00</t>
  </si>
  <si>
    <t>582.00255.B0001.00</t>
  </si>
  <si>
    <t>582.00253.B0008.00</t>
  </si>
  <si>
    <t>582.00254.B0008.00</t>
  </si>
  <si>
    <t>582.00255.B0008.00</t>
  </si>
  <si>
    <t>582.00253.B0009.00</t>
  </si>
  <si>
    <t>582.00254.B0009.00</t>
  </si>
  <si>
    <t>582.00255.B0009.00</t>
  </si>
  <si>
    <t>582.00256.B0001.00</t>
  </si>
  <si>
    <t>582.00257.B0001.00</t>
  </si>
  <si>
    <t>582.00258.B0001.00</t>
  </si>
  <si>
    <t>582.00256.B0008.00</t>
  </si>
  <si>
    <t>582.00257.B0008.00</t>
  </si>
  <si>
    <t>582.00258.B0008.00</t>
  </si>
  <si>
    <t>582.00256.B0009.00</t>
  </si>
  <si>
    <t>582.00257.B0009.00</t>
  </si>
  <si>
    <t>582.00258.B0009.00</t>
  </si>
  <si>
    <t>582.00259.B0001.00</t>
  </si>
  <si>
    <t>582.00260.B0001.00</t>
  </si>
  <si>
    <t>582.00261.B0001.00</t>
  </si>
  <si>
    <t>582.00259.B0008.00</t>
  </si>
  <si>
    <t>582.00260.B0008.00</t>
  </si>
  <si>
    <t>582.00261.B0008.00</t>
  </si>
  <si>
    <t>582.00259.B0009.00</t>
  </si>
  <si>
    <t>582.00260.B0009.00</t>
  </si>
  <si>
    <t>582.00261.B0009.00</t>
  </si>
  <si>
    <t>582.00262.B0001.00</t>
  </si>
  <si>
    <t>582.00263.B0001.00</t>
  </si>
  <si>
    <t>582.00264.B0001.00</t>
  </si>
  <si>
    <t>582.00262.B0008.00</t>
  </si>
  <si>
    <t>582.00263.B0008.00</t>
  </si>
  <si>
    <t>582.00264.B0008.00</t>
  </si>
  <si>
    <t>582.00262.B0009.00</t>
  </si>
  <si>
    <t>582.00263.B0009.00</t>
  </si>
  <si>
    <t>582.00264.B0009.00</t>
  </si>
  <si>
    <t>582.00265.B0001.00</t>
  </si>
  <si>
    <t>582.00266.B0001.00</t>
  </si>
  <si>
    <t>582.00267.B0001.00</t>
  </si>
  <si>
    <t>582.00265.B0008.00</t>
  </si>
  <si>
    <t>582.00266.B0008.00</t>
  </si>
  <si>
    <t>582.00267.B0008.00</t>
  </si>
  <si>
    <t>582.00265.B0009.00</t>
  </si>
  <si>
    <t>582.00266.B0009.00</t>
  </si>
  <si>
    <t>582.00267.B0009.00</t>
  </si>
  <si>
    <t>582.00268.B0001.00</t>
  </si>
  <si>
    <t>582.00269.B0001.00</t>
  </si>
  <si>
    <t>582.00270.B0001.00</t>
  </si>
  <si>
    <t>582.00268.B0008.00</t>
  </si>
  <si>
    <t>582.00269.B0008.00</t>
  </si>
  <si>
    <t>582.00270.B0008.00</t>
  </si>
  <si>
    <t>582.00268.B0009.00</t>
  </si>
  <si>
    <t>582.00269.B0009.00</t>
  </si>
  <si>
    <t>582.00270.B0009.00</t>
  </si>
  <si>
    <t>582.00271.B0001.00</t>
  </si>
  <si>
    <t>582.00272.B0001.00</t>
  </si>
  <si>
    <t>582.00273.B0001.00</t>
  </si>
  <si>
    <t>582.00271.B0008.00</t>
  </si>
  <si>
    <t>582.00272.B0008.00</t>
  </si>
  <si>
    <t>582.00273.B0008.00</t>
  </si>
  <si>
    <t>582.00271.B0009.00</t>
  </si>
  <si>
    <t>582.00272.B0009.00</t>
  </si>
  <si>
    <t>582.00273.B0009.00</t>
  </si>
  <si>
    <t>582.00274.B0001.00</t>
  </si>
  <si>
    <t>582.00275.B0001.00</t>
  </si>
  <si>
    <t>582.00276.B0001.00</t>
  </si>
  <si>
    <t>582.00274.B0008.00</t>
  </si>
  <si>
    <t>582.00275.B0008.00</t>
  </si>
  <si>
    <t>582.00276.B0008.00</t>
  </si>
  <si>
    <t>582.00274.B0009.00</t>
  </si>
  <si>
    <t>582.00275.B0009.00</t>
  </si>
  <si>
    <t>582.00276.B0009.00</t>
  </si>
  <si>
    <t>582.00277.B0001.00</t>
  </si>
  <si>
    <t>582.00278.B0001.00</t>
  </si>
  <si>
    <t>582.00279.B0001.00</t>
  </si>
  <si>
    <t>582.00277.B0008.00</t>
  </si>
  <si>
    <t>582.00278.B0008.00</t>
  </si>
  <si>
    <t>582.00279.B0008.00</t>
  </si>
  <si>
    <t>582.00277.B0009.00</t>
  </si>
  <si>
    <t>582.00278.B0009.00</t>
  </si>
  <si>
    <t>582.00279.B0009.00</t>
  </si>
  <si>
    <t>582.00280.B0001.00</t>
  </si>
  <si>
    <t>582.00281.B0001.00</t>
  </si>
  <si>
    <t>582.00282.B0001.00</t>
  </si>
  <si>
    <t>582.00280.B0008.00</t>
  </si>
  <si>
    <t>582.00281.B0008.00</t>
  </si>
  <si>
    <t>582.00282.B0008.00</t>
  </si>
  <si>
    <t>582.00280.B0009.00</t>
  </si>
  <si>
    <t>582.00281.B0009.00</t>
  </si>
  <si>
    <t>582.00282.B0009.00</t>
  </si>
  <si>
    <t>582.00283.B0001.00</t>
  </si>
  <si>
    <t>582.00283.B0008.00</t>
  </si>
  <si>
    <t>582.00283.B0009.00</t>
  </si>
  <si>
    <t>582.00284.B0001.00</t>
  </si>
  <si>
    <t>582.00284.B0008.00</t>
  </si>
  <si>
    <t>582.00284.B0009.00</t>
  </si>
  <si>
    <t>582.00285.B0001.00</t>
  </si>
  <si>
    <t>582.00285.B0008.00</t>
  </si>
  <si>
    <t>582.00285.B0009.00</t>
  </si>
  <si>
    <t>582.00286.B0001.00</t>
  </si>
  <si>
    <t>582.00286.B0008.00</t>
  </si>
  <si>
    <t>582.00286.B0009.00</t>
  </si>
  <si>
    <t>582.00287.B0001.00</t>
  </si>
  <si>
    <t>582.00287.B0008.00</t>
  </si>
  <si>
    <t>582.00287.B0009.00</t>
  </si>
  <si>
    <t>582.00288.B0001.00</t>
  </si>
  <si>
    <t>582.00288.B0008.00</t>
  </si>
  <si>
    <t>582.00288.B0009.00</t>
  </si>
  <si>
    <t>582.00289.B0001.00</t>
  </si>
  <si>
    <t>582.00289.B0008.00</t>
  </si>
  <si>
    <t>582.00289.B0009.00</t>
  </si>
  <si>
    <t>582.00290.B0001.00</t>
  </si>
  <si>
    <t>582.00290.B0008.00</t>
  </si>
  <si>
    <t>582.00290.B0009.00</t>
  </si>
  <si>
    <t>582.00227.A0142.00</t>
  </si>
  <si>
    <t>582.00228.A0142.00</t>
  </si>
  <si>
    <t>582.00229.A0142.00</t>
  </si>
  <si>
    <t>582.00230.A0142.00</t>
  </si>
  <si>
    <t>582.00231.A0142.00</t>
  </si>
  <si>
    <t>582.00232.A0142.00</t>
  </si>
  <si>
    <t>582.00233.A0142.00</t>
  </si>
  <si>
    <t>582.00234.A0142.00</t>
  </si>
  <si>
    <t>220.00020.B0001.00</t>
  </si>
  <si>
    <t>220.00020.B0008.00</t>
  </si>
  <si>
    <t>220.00020.B0009.00</t>
  </si>
  <si>
    <t>220.00021.B0001.00</t>
  </si>
  <si>
    <t>220.00021.B0008.00</t>
  </si>
  <si>
    <t>220.00021.B0009.00</t>
  </si>
  <si>
    <t>220.00022.B0001.00</t>
  </si>
  <si>
    <t>220.00022.B0008.00</t>
  </si>
  <si>
    <t>220.00022.B0009.00</t>
  </si>
  <si>
    <t>950.00009.B0142.00</t>
  </si>
  <si>
    <t>950.00009.B0141.00</t>
  </si>
  <si>
    <t>950.00009.B0143.00</t>
  </si>
  <si>
    <t>ILLUMINATED GLASS SHELF</t>
  </si>
  <si>
    <t>520.00333.B0001.00</t>
  </si>
  <si>
    <t>520.00335.B0001.00</t>
  </si>
  <si>
    <t>520.00337.B0001.00</t>
  </si>
  <si>
    <t>520.00339.B0001.00</t>
  </si>
  <si>
    <t>520.00593.B0001.00</t>
  </si>
  <si>
    <t>520.00595.B0001.00</t>
  </si>
  <si>
    <t>520.00597.B0001.00</t>
  </si>
  <si>
    <t>520.00599.B0001.00</t>
  </si>
  <si>
    <t>520.00333.B0008.00</t>
  </si>
  <si>
    <t>520.00335.B0008.00</t>
  </si>
  <si>
    <t>520.00337.B0008.00</t>
  </si>
  <si>
    <t>520.00339.B0008.00</t>
  </si>
  <si>
    <t>520.00593.B0008.00</t>
  </si>
  <si>
    <t>520.00595.B0008.00</t>
  </si>
  <si>
    <t>520.00597.B0008.00</t>
  </si>
  <si>
    <t>520.00599.B0008.00</t>
  </si>
  <si>
    <t>520.00333.B0009.00</t>
  </si>
  <si>
    <t>520.00335.B0009.00</t>
  </si>
  <si>
    <t>520.00337.B0009.00</t>
  </si>
  <si>
    <t>520.00339.B0009.00</t>
  </si>
  <si>
    <t>520.00593.B0009.00</t>
  </si>
  <si>
    <t>520.00595.B0009.00</t>
  </si>
  <si>
    <t>520.00597.B0009.00</t>
  </si>
  <si>
    <t>520.00599.B0009.00</t>
  </si>
  <si>
    <t>520.00334.B0001.00</t>
  </si>
  <si>
    <t>520.00336.B0001.00</t>
  </si>
  <si>
    <t>520.00338.B0001.00</t>
  </si>
  <si>
    <t>520.00340.B0001.00</t>
  </si>
  <si>
    <t>520.00594.B0001.00</t>
  </si>
  <si>
    <t>520.00596.B0001.00</t>
  </si>
  <si>
    <t>520.00598.B0001.00</t>
  </si>
  <si>
    <t>520.00600.B0001.00</t>
  </si>
  <si>
    <t>520.00334.B0008.00</t>
  </si>
  <si>
    <t>520.00336.B0008.00</t>
  </si>
  <si>
    <t>520.00338.B0008.00</t>
  </si>
  <si>
    <t>520.00340.B0008.00</t>
  </si>
  <si>
    <t>520.00594.B0008.00</t>
  </si>
  <si>
    <t>520.00596.B0008.00</t>
  </si>
  <si>
    <t>520.00598.B0008.00</t>
  </si>
  <si>
    <t>520.00600.B0008.00</t>
  </si>
  <si>
    <t>520.00334.B0009.00</t>
  </si>
  <si>
    <t>520.00336.B0009.00</t>
  </si>
  <si>
    <t>520.00338.B0009.00</t>
  </si>
  <si>
    <t>520.00340.B0009.00</t>
  </si>
  <si>
    <t>520.00594.B0009.00</t>
  </si>
  <si>
    <t>520.00596.B0009.00</t>
  </si>
  <si>
    <t>520.00598.B0009.00</t>
  </si>
  <si>
    <t>520.00600.B0009.00</t>
  </si>
  <si>
    <t>526.00016.B0001.00</t>
  </si>
  <si>
    <t>526.00016.B0008.00</t>
  </si>
  <si>
    <t>526.00016.B0009.00</t>
  </si>
  <si>
    <t>526.00017.B0001.00</t>
  </si>
  <si>
    <t>526.00017.B0008.00</t>
  </si>
  <si>
    <t>526.00017.B0009.00</t>
  </si>
  <si>
    <t>526.00018.B0001.00</t>
  </si>
  <si>
    <t>526.00018.B0008.00</t>
  </si>
  <si>
    <t>526.00018.B0009.00</t>
  </si>
  <si>
    <t>526.00019.B0001.00</t>
  </si>
  <si>
    <t>526.00019.B0008.00</t>
  </si>
  <si>
    <t>526.00019.B0009.00</t>
  </si>
  <si>
    <t>MADDOX WALL MOUNT ORGANIZER</t>
  </si>
  <si>
    <t>201.00011.B0001.00</t>
  </si>
  <si>
    <t>201.00011.B0008.00</t>
  </si>
  <si>
    <t>201.00011.B0009.00</t>
  </si>
  <si>
    <t>201.00012.B0001.00</t>
  </si>
  <si>
    <t>201.00012.B0008.00</t>
  </si>
  <si>
    <t>201.00012.B0009.00</t>
  </si>
  <si>
    <t>201.00013.B0001.00</t>
  </si>
  <si>
    <t>201.00013.B0008.00</t>
  </si>
  <si>
    <t>201.00013.B0009.00</t>
  </si>
  <si>
    <t>201.00014.B0143.00</t>
  </si>
  <si>
    <t>201.00014.B0142.00</t>
  </si>
  <si>
    <t>201.00014.B0141.00</t>
  </si>
  <si>
    <t>201.00017.B0143.00</t>
  </si>
  <si>
    <t>201.00017.B0142.00</t>
  </si>
  <si>
    <t>201.00017.B0141.00</t>
  </si>
  <si>
    <t>201.00020.B0143.00</t>
  </si>
  <si>
    <t>201.00020.B0142.00</t>
  </si>
  <si>
    <t>201.00020.B0141.00</t>
  </si>
  <si>
    <t>201.00023.B0143.00</t>
  </si>
  <si>
    <t>201.00023.B0142.00</t>
  </si>
  <si>
    <t>201.00023.B0141.00</t>
  </si>
  <si>
    <t>201.00015.B0143.00</t>
  </si>
  <si>
    <t>201.00015.B0142.00</t>
  </si>
  <si>
    <t>201.00015.B0141.00</t>
  </si>
  <si>
    <t>201.00018.B0143.00</t>
  </si>
  <si>
    <t>201.00018.B0142.00</t>
  </si>
  <si>
    <t>201.00018.B0141.00</t>
  </si>
  <si>
    <t>201.00021.B0143.00</t>
  </si>
  <si>
    <t>201.00021.B0142.00</t>
  </si>
  <si>
    <t>201.00021.B0141.00</t>
  </si>
  <si>
    <t>201.00024.B0143.00</t>
  </si>
  <si>
    <t>201.00024.B0142.00</t>
  </si>
  <si>
    <t>201.00024.B0141.00</t>
  </si>
  <si>
    <t>201.00016.B0143.00</t>
  </si>
  <si>
    <t>201.00016.B0142.00</t>
  </si>
  <si>
    <t>201.00016.B0141.00</t>
  </si>
  <si>
    <t>201.00019.B0143.00</t>
  </si>
  <si>
    <t>201.00019.B0142.00</t>
  </si>
  <si>
    <t>201.00019.B0141.00</t>
  </si>
  <si>
    <t>201.00022.B0143.00</t>
  </si>
  <si>
    <t>201.00022.B0142.00</t>
  </si>
  <si>
    <t>201.00022.B0141.00</t>
  </si>
  <si>
    <t>201.00025.B0143.00</t>
  </si>
  <si>
    <t>201.00025.B0142.00</t>
  </si>
  <si>
    <t>201.00025.B0141.00</t>
  </si>
  <si>
    <t>310.8201.05.MAL</t>
  </si>
  <si>
    <t>310.8201.05.MG</t>
  </si>
  <si>
    <t>310.8201.05.SG</t>
  </si>
  <si>
    <t>201.00027.B0001.00</t>
  </si>
  <si>
    <t>201.00027.B0008.00</t>
  </si>
  <si>
    <t>201.00027.B0009.00</t>
  </si>
  <si>
    <t>582.00291.B0001.00</t>
  </si>
  <si>
    <t>582.00292.B0001.00</t>
  </si>
  <si>
    <t>582.00293.B0001.00</t>
  </si>
  <si>
    <t>582.00291.B0008.00</t>
  </si>
  <si>
    <t>582.00292.B0008.00</t>
  </si>
  <si>
    <t>582.00293.B0008.00</t>
  </si>
  <si>
    <t>582.00291.B0009.00</t>
  </si>
  <si>
    <t>582.00292.B0009.00</t>
  </si>
  <si>
    <t>582.00293.B0009.00</t>
  </si>
  <si>
    <t>582.00294.B0001.00</t>
  </si>
  <si>
    <t>582.00295.B0001.00</t>
  </si>
  <si>
    <t>582.00296.B0001.00</t>
  </si>
  <si>
    <t>582.00294.B0008.00</t>
  </si>
  <si>
    <t>582.00295.B0008.00</t>
  </si>
  <si>
    <t>582.00296.B0008.00</t>
  </si>
  <si>
    <t>582.00294.B0009.00</t>
  </si>
  <si>
    <t>582.00295.B0009.00</t>
  </si>
  <si>
    <t>582.00296.B0009.00</t>
  </si>
  <si>
    <t>582.00297.B0001.00</t>
  </si>
  <si>
    <t>582.00298.B0001.00</t>
  </si>
  <si>
    <t>582.00299.B0001.00</t>
  </si>
  <si>
    <t>582.00297.B0008.00</t>
  </si>
  <si>
    <t>582.00298.B0008.00</t>
  </si>
  <si>
    <t>582.00299.B0008.00</t>
  </si>
  <si>
    <t>582.00297.B0009.00</t>
  </si>
  <si>
    <t>582.00298.B0009.00</t>
  </si>
  <si>
    <t>582.00299.B0009.00</t>
  </si>
  <si>
    <t>582.00300.B0001.00</t>
  </si>
  <si>
    <t>582.00301.B0001.00</t>
  </si>
  <si>
    <t>582.00302.B0001.00</t>
  </si>
  <si>
    <t>582.00300.B0008.00</t>
  </si>
  <si>
    <t>582.00301.B0008.00</t>
  </si>
  <si>
    <t>582.00302.B0008.00</t>
  </si>
  <si>
    <t>582.00300.B0009.00</t>
  </si>
  <si>
    <t>582.00301.B0009.00</t>
  </si>
  <si>
    <t>582.00302.B0009.00</t>
  </si>
  <si>
    <t>582.00303.B0001.00</t>
  </si>
  <si>
    <t>582.00304.B0001.00</t>
  </si>
  <si>
    <t>582.00305.B0001.00</t>
  </si>
  <si>
    <t>582.00303.B0008.00</t>
  </si>
  <si>
    <t>582.00304.B0008.00</t>
  </si>
  <si>
    <t>582.00305.B0008.00</t>
  </si>
  <si>
    <t>582.00303.B0009.00</t>
  </si>
  <si>
    <t>582.00304.B0009.00</t>
  </si>
  <si>
    <t>582.00305.B0009.00</t>
  </si>
  <si>
    <t>582.00306.B0001.00</t>
  </si>
  <si>
    <t>582.00307.B0001.00</t>
  </si>
  <si>
    <t>582.00308.B0001.00</t>
  </si>
  <si>
    <t>582.00306.B0008.00</t>
  </si>
  <si>
    <t>582.00307.B0008.00</t>
  </si>
  <si>
    <t>582.00308.B0008.00</t>
  </si>
  <si>
    <t>582.00306.B0009.00</t>
  </si>
  <si>
    <t>582.00307.B0009.00</t>
  </si>
  <si>
    <t>582.00308.B0009.00</t>
  </si>
  <si>
    <t>582.00309.B0001.00</t>
  </si>
  <si>
    <t>582.00310.B0001.00</t>
  </si>
  <si>
    <t>582.00311.B0001.00</t>
  </si>
  <si>
    <t>582.00309.B0008.00</t>
  </si>
  <si>
    <t>582.00310.B0008.00</t>
  </si>
  <si>
    <t>582.00311.B0008.00</t>
  </si>
  <si>
    <t>582.00309.B0009.00</t>
  </si>
  <si>
    <t>582.00310.B0009.00</t>
  </si>
  <si>
    <t>582.00311.B0009.00</t>
  </si>
  <si>
    <t>582.00312.B0001.00</t>
  </si>
  <si>
    <t>582.00313.B0001.00</t>
  </si>
  <si>
    <t>582.00314.B0001.00</t>
  </si>
  <si>
    <t>582.00312.B0008.00</t>
  </si>
  <si>
    <t>582.00313.B0008.00</t>
  </si>
  <si>
    <t>582.00314.B0008.00</t>
  </si>
  <si>
    <t>582.00312.B0009.00</t>
  </si>
  <si>
    <t>582.00313.B0009.00</t>
  </si>
  <si>
    <t>582.00314.B0009.00</t>
  </si>
  <si>
    <t>582.00315.B0001.00</t>
  </si>
  <si>
    <t>582.00316.B0001.00</t>
  </si>
  <si>
    <t>582.00317.B0001.00</t>
  </si>
  <si>
    <t>582.00315.B0008.00</t>
  </si>
  <si>
    <t>582.00316.B0008.00</t>
  </si>
  <si>
    <t>582.00317.B0008.00</t>
  </si>
  <si>
    <t>582.00315.B0009.00</t>
  </si>
  <si>
    <t>582.00316.B0009.00</t>
  </si>
  <si>
    <t>582.00317.B0009.00</t>
  </si>
  <si>
    <t>582.00318.B0001.00</t>
  </si>
  <si>
    <t>582.00319.B0001.00</t>
  </si>
  <si>
    <t>582.00320.B0001.00</t>
  </si>
  <si>
    <t>582.00318.B0008.00</t>
  </si>
  <si>
    <t>582.00319.B0008.00</t>
  </si>
  <si>
    <t>582.00320.B0008.00</t>
  </si>
  <si>
    <t>582.00318.B0009.00</t>
  </si>
  <si>
    <t>582.00319.B0009.00</t>
  </si>
  <si>
    <t>582.00320.B0009.00</t>
  </si>
  <si>
    <t>582.00321.B0001.00</t>
  </si>
  <si>
    <t>582.00322.B0001.00</t>
  </si>
  <si>
    <t>582.00323.B0001.00</t>
  </si>
  <si>
    <t>582.00321.B0008.00</t>
  </si>
  <si>
    <t>582.00322.B0008.00</t>
  </si>
  <si>
    <t>582.00323.B0008.00</t>
  </si>
  <si>
    <t>582.00321.B0009.00</t>
  </si>
  <si>
    <t>582.00322.B0009.00</t>
  </si>
  <si>
    <t>582.00323.B0009.00</t>
  </si>
  <si>
    <t>582.00324.B0001.00</t>
  </si>
  <si>
    <t>582.00325.B0001.00</t>
  </si>
  <si>
    <t>582.00326.B0001.00</t>
  </si>
  <si>
    <t>582.00324.B0008.00</t>
  </si>
  <si>
    <t>582.00325.B0008.00</t>
  </si>
  <si>
    <t>582.00326.B0008.00</t>
  </si>
  <si>
    <t>582.00324.B0009.00</t>
  </si>
  <si>
    <t>582.00325.B0009.00</t>
  </si>
  <si>
    <t>582.00326.B0009.00</t>
  </si>
  <si>
    <t>582.00327.B0001.00</t>
  </si>
  <si>
    <t>582.00328.B0001.00</t>
  </si>
  <si>
    <t>582.00329.B0001.00</t>
  </si>
  <si>
    <t>582.00327.B0008.00</t>
  </si>
  <si>
    <t>582.00328.B0008.00</t>
  </si>
  <si>
    <t>582.00329.B0008.00</t>
  </si>
  <si>
    <t>582.00327.B0009.00</t>
  </si>
  <si>
    <t>582.00328.B0009.00</t>
  </si>
  <si>
    <t>582.00329.B0009.00</t>
  </si>
  <si>
    <t>582.00330.B0001.00</t>
  </si>
  <si>
    <t>582.00331.B0001.00</t>
  </si>
  <si>
    <t>582.00332.B0001.00</t>
  </si>
  <si>
    <t>582.00330.B0008.00</t>
  </si>
  <si>
    <t>582.00331.B0008.00</t>
  </si>
  <si>
    <t>582.00332.B0008.00</t>
  </si>
  <si>
    <t>582.00330.B0009.00</t>
  </si>
  <si>
    <t>582.00331.B0009.00</t>
  </si>
  <si>
    <t>582.00332.B0009.00</t>
  </si>
  <si>
    <t>582.00333.B0001.00</t>
  </si>
  <si>
    <t>582.00334.B0001.00</t>
  </si>
  <si>
    <t>582.00335.B0001.00</t>
  </si>
  <si>
    <t>582.00333.B0008.00</t>
  </si>
  <si>
    <t>582.00334.B0008.00</t>
  </si>
  <si>
    <t>582.00335.B0008.00</t>
  </si>
  <si>
    <t>582.00333.B0009.00</t>
  </si>
  <si>
    <t>582.00334.B0009.00</t>
  </si>
  <si>
    <t>582.00335.B0009.00</t>
  </si>
  <si>
    <t>582.00336.B0001.00</t>
  </si>
  <si>
    <t>582.00337.B0001.00</t>
  </si>
  <si>
    <t>582.00338.B0001.00</t>
  </si>
  <si>
    <t>582.00336.B0008.00</t>
  </si>
  <si>
    <t>582.00337.B0008.00</t>
  </si>
  <si>
    <t>582.00338.B0008.00</t>
  </si>
  <si>
    <t>582.00336.B0009.00</t>
  </si>
  <si>
    <t>582.00337.B0009.00</t>
  </si>
  <si>
    <t>582.00338.B0009.00</t>
  </si>
  <si>
    <t>582.00339.B0001.00</t>
  </si>
  <si>
    <t>582.00340.B0001.00</t>
  </si>
  <si>
    <t>582.00341.B0001.00</t>
  </si>
  <si>
    <t>582.00339.B0008.00</t>
  </si>
  <si>
    <t>582.00340.B0008.00</t>
  </si>
  <si>
    <t>582.00341.B0008.00</t>
  </si>
  <si>
    <t>582.00339.B0009.00</t>
  </si>
  <si>
    <t>582.00340.B0009.00</t>
  </si>
  <si>
    <t>582.00341.B0009.00</t>
  </si>
  <si>
    <t>582.00342.B0001.00</t>
  </si>
  <si>
    <t>582.00343.B0001.00</t>
  </si>
  <si>
    <t>582.00344.B0001.00</t>
  </si>
  <si>
    <t>582.00342.B0008.00</t>
  </si>
  <si>
    <t>582.00343.B0008.00</t>
  </si>
  <si>
    <t>582.00344.B0008.00</t>
  </si>
  <si>
    <t>582.00342.B0009.00</t>
  </si>
  <si>
    <t>582.00343.B0009.00</t>
  </si>
  <si>
    <t>582.00344.B0009.00</t>
  </si>
  <si>
    <t>582.00345.B0001.00</t>
  </si>
  <si>
    <t>582.00346.B0001.00</t>
  </si>
  <si>
    <t>582.00347.B0001.00</t>
  </si>
  <si>
    <t>582.00345.B0008.00</t>
  </si>
  <si>
    <t>582.00346.B0008.00</t>
  </si>
  <si>
    <t>582.00347.B0008.00</t>
  </si>
  <si>
    <t>582.00345.B0009.00</t>
  </si>
  <si>
    <t>582.00346.B0009.00</t>
  </si>
  <si>
    <t>582.00347.B0009.00</t>
  </si>
  <si>
    <t>582.00348.B0001.00</t>
  </si>
  <si>
    <t>582.00349.B0001.00</t>
  </si>
  <si>
    <t>582.00350.B0001.00</t>
  </si>
  <si>
    <t>582.00348.B0008.00</t>
  </si>
  <si>
    <t>582.00349.B0008.00</t>
  </si>
  <si>
    <t>582.00350.B0008.00</t>
  </si>
  <si>
    <t>582.00348.B0009.00</t>
  </si>
  <si>
    <t>582.00349.B0009.00</t>
  </si>
  <si>
    <t>582.00350.B0009.00</t>
  </si>
  <si>
    <t>582.00351.B0001.00</t>
  </si>
  <si>
    <t>582.00352.B0001.00</t>
  </si>
  <si>
    <t>582.00353.B0001.00</t>
  </si>
  <si>
    <t>582.00351.B0008.00</t>
  </si>
  <si>
    <t>582.00352.B0008.00</t>
  </si>
  <si>
    <t>582.00353.B0008.00</t>
  </si>
  <si>
    <t>582.00351.B0009.00</t>
  </si>
  <si>
    <t>582.00352.B0009.00</t>
  </si>
  <si>
    <t>582.00353.B0009.00</t>
  </si>
  <si>
    <t>582.00354.B0001.00</t>
  </si>
  <si>
    <t>582.00355.B0001.00</t>
  </si>
  <si>
    <t>582.00356.B0001.00</t>
  </si>
  <si>
    <t>582.00354.B0008.00</t>
  </si>
  <si>
    <t>582.00355.B0008.00</t>
  </si>
  <si>
    <t>582.00356.B0008.00</t>
  </si>
  <si>
    <t>582.00354.B0009.00</t>
  </si>
  <si>
    <t>582.00355.B0009.00</t>
  </si>
  <si>
    <t>582.00356.B0009.00</t>
  </si>
  <si>
    <t>582.00357.B0001.00</t>
  </si>
  <si>
    <t>582.00358.B0001.00</t>
  </si>
  <si>
    <t>582.00359.B0001.00</t>
  </si>
  <si>
    <t>582.00357.B0008.00</t>
  </si>
  <si>
    <t>582.00358.B0008.00</t>
  </si>
  <si>
    <t>582.00359.B0008.00</t>
  </si>
  <si>
    <t>582.00357.B0009.00</t>
  </si>
  <si>
    <t>582.00358.B0009.00</t>
  </si>
  <si>
    <t>582.00359.B0009.00</t>
  </si>
  <si>
    <t>582.00360.B0001.00</t>
  </si>
  <si>
    <t>582.00361.B0001.00</t>
  </si>
  <si>
    <t>582.00362.B0001.00</t>
  </si>
  <si>
    <t>582.00360.B0008.00</t>
  </si>
  <si>
    <t>582.00361.B0008.00</t>
  </si>
  <si>
    <t>582.00362.B0008.00</t>
  </si>
  <si>
    <t>582.00360.B0009.00</t>
  </si>
  <si>
    <t>582.00361.B0009.00</t>
  </si>
  <si>
    <t>582.00362.B0009.00</t>
  </si>
  <si>
    <t>582.00363.B0001.00</t>
  </si>
  <si>
    <t>582.00364.B0001.00</t>
  </si>
  <si>
    <t>582.00365.B0001.00</t>
  </si>
  <si>
    <t>582.00363.B0008.00</t>
  </si>
  <si>
    <t>582.00364.B0008.00</t>
  </si>
  <si>
    <t>582.00365.B0008.00</t>
  </si>
  <si>
    <t>582.00363.B0009.00</t>
  </si>
  <si>
    <t>582.00364.B0009.00</t>
  </si>
  <si>
    <t>582.00365.B0009.00</t>
  </si>
  <si>
    <t>582.00366.B0001.00</t>
  </si>
  <si>
    <t>582.00367.B0001.00</t>
  </si>
  <si>
    <t>582.00368.B0001.00</t>
  </si>
  <si>
    <t>582.00366.B0008.00</t>
  </si>
  <si>
    <t>582.00367.B0008.00</t>
  </si>
  <si>
    <t>582.00368.B0008.00</t>
  </si>
  <si>
    <t>582.00366.B0009.00</t>
  </si>
  <si>
    <t>582.00367.B0009.00</t>
  </si>
  <si>
    <t>582.00368.B0009.00</t>
  </si>
  <si>
    <t>582.00369.B0001.00</t>
  </si>
  <si>
    <t>582.00370.B0001.00</t>
  </si>
  <si>
    <t>582.00371.B0001.00</t>
  </si>
  <si>
    <t>582.00369.B0008.00</t>
  </si>
  <si>
    <t>582.00370.B0008.00</t>
  </si>
  <si>
    <t>582.00371.B0008.00</t>
  </si>
  <si>
    <t>582.00369.B0009.00</t>
  </si>
  <si>
    <t>582.00370.B0009.00</t>
  </si>
  <si>
    <t>582.00371.B0009.00</t>
  </si>
  <si>
    <t>582.00372.B0001.00</t>
  </si>
  <si>
    <t>582.00373.B0001.00</t>
  </si>
  <si>
    <t>582.00374.B0001.00</t>
  </si>
  <si>
    <t>582.00372.B0008.00</t>
  </si>
  <si>
    <t>582.00373.B0008.00</t>
  </si>
  <si>
    <t>582.00374.B0008.00</t>
  </si>
  <si>
    <t>582.00372.B0009.00</t>
  </si>
  <si>
    <t>582.00373.B0009.00</t>
  </si>
  <si>
    <t>582.00374.B0009.00</t>
  </si>
  <si>
    <t>582.00375.B0001.00</t>
  </si>
  <si>
    <t>582.00376.B0001.00</t>
  </si>
  <si>
    <t>582.00377.B0001.00</t>
  </si>
  <si>
    <t>582.00375.B0008.00</t>
  </si>
  <si>
    <t>582.00376.B0008.00</t>
  </si>
  <si>
    <t>582.00377.B0008.00</t>
  </si>
  <si>
    <t>582.00375.B0009.00</t>
  </si>
  <si>
    <t>582.00376.B0009.00</t>
  </si>
  <si>
    <t>582.00377.B0009.00</t>
  </si>
  <si>
    <t>582.00378.B0001.00</t>
  </si>
  <si>
    <t>582.00379.B0001.00</t>
  </si>
  <si>
    <t>582.00380.B0001.00</t>
  </si>
  <si>
    <t>582.00378.B0008.00</t>
  </si>
  <si>
    <t>582.00379.B0008.00</t>
  </si>
  <si>
    <t>582.00380.B0008.00</t>
  </si>
  <si>
    <t>582.00378.B0009.00</t>
  </si>
  <si>
    <t>582.00379.B0009.00</t>
  </si>
  <si>
    <t>582.00380.B0009.00</t>
  </si>
  <si>
    <t>582.00381.B0001.00</t>
  </si>
  <si>
    <t>582.00382.B0001.00</t>
  </si>
  <si>
    <t>582.00383.B0001.00</t>
  </si>
  <si>
    <t>582.00381.B0008.00</t>
  </si>
  <si>
    <t>582.00382.B0008.00</t>
  </si>
  <si>
    <t>582.00383.B0008.00</t>
  </si>
  <si>
    <t>582.00381.B0009.00</t>
  </si>
  <si>
    <t>582.00382.B0009.00</t>
  </si>
  <si>
    <t>582.00383.B0009.00</t>
  </si>
  <si>
    <t>582.00384.B0001.00</t>
  </si>
  <si>
    <t>582.00385.B0001.00</t>
  </si>
  <si>
    <t>582.00386.B0001.00</t>
  </si>
  <si>
    <t>582.00384.B0008.00</t>
  </si>
  <si>
    <t>582.00385.B0008.00</t>
  </si>
  <si>
    <t>582.00386.B0008.00</t>
  </si>
  <si>
    <t>582.00384.B0009.00</t>
  </si>
  <si>
    <t>582.00385.B0009.00</t>
  </si>
  <si>
    <t>582.00386.B0009.00</t>
  </si>
  <si>
    <t>582.00387.B0001.00</t>
  </si>
  <si>
    <t>582.00388.B0001.00</t>
  </si>
  <si>
    <t>582.00389.B0001.00</t>
  </si>
  <si>
    <t>582.00387.B0008.00</t>
  </si>
  <si>
    <t>582.00388.B0008.00</t>
  </si>
  <si>
    <t>582.00389.B0008.00</t>
  </si>
  <si>
    <t>582.00387.B0009.00</t>
  </si>
  <si>
    <t>582.00388.B0009.00</t>
  </si>
  <si>
    <t>582.00389.B0009.00</t>
  </si>
  <si>
    <t>582.00390.B0001.00</t>
  </si>
  <si>
    <t>582.00391.B0001.00</t>
  </si>
  <si>
    <t>582.00392.B0001.00</t>
  </si>
  <si>
    <t>582.00390.B0008.00</t>
  </si>
  <si>
    <t>582.00391.B0008.00</t>
  </si>
  <si>
    <t>582.00392.B0008.00</t>
  </si>
  <si>
    <t>582.00390.B0009.00</t>
  </si>
  <si>
    <t>582.00391.B0009.00</t>
  </si>
  <si>
    <t>582.00392.B0009.00</t>
  </si>
  <si>
    <t>582.00393.B0001.00</t>
  </si>
  <si>
    <t>582.00394.B0001.00</t>
  </si>
  <si>
    <t>582.00395.B0001.00</t>
  </si>
  <si>
    <t>582.00393.B0008.00</t>
  </si>
  <si>
    <t>582.00394.B0008.00</t>
  </si>
  <si>
    <t>582.00395.B0008.00</t>
  </si>
  <si>
    <t>582.00393.B0009.00</t>
  </si>
  <si>
    <t>582.00394.B0009.00</t>
  </si>
  <si>
    <t>582.00395.B0009.00</t>
  </si>
  <si>
    <t>582.00396.B0001.00</t>
  </si>
  <si>
    <t>582.00397.B0001.00</t>
  </si>
  <si>
    <t>582.00398.B0001.00</t>
  </si>
  <si>
    <t>582.00396.B0008.00</t>
  </si>
  <si>
    <t>582.00397.B0008.00</t>
  </si>
  <si>
    <t>582.00398.B0008.00</t>
  </si>
  <si>
    <t>582.00396.B0009.00</t>
  </si>
  <si>
    <t>582.00397.B0009.00</t>
  </si>
  <si>
    <t>582.00398.B0009.00</t>
  </si>
  <si>
    <t>582.00399.B0001.00</t>
  </si>
  <si>
    <t>582.00400.B0001.00</t>
  </si>
  <si>
    <t>582.00401.B0001.00</t>
  </si>
  <si>
    <t>582.00399.B0008.00</t>
  </si>
  <si>
    <t>582.00400.B0008.00</t>
  </si>
  <si>
    <t>582.00401.B0008.00</t>
  </si>
  <si>
    <t>582.00399.B0009.00</t>
  </si>
  <si>
    <t>582.00400.B0009.00</t>
  </si>
  <si>
    <t>582.00401.B0009.00</t>
  </si>
  <si>
    <t>582.00402.B0001.00</t>
  </si>
  <si>
    <t>582.00403.B0001.00</t>
  </si>
  <si>
    <t>582.00404.B0001.00</t>
  </si>
  <si>
    <t>582.00402.B0008.00</t>
  </si>
  <si>
    <t>582.00403.B0008.00</t>
  </si>
  <si>
    <t>582.00404.B0008.00</t>
  </si>
  <si>
    <t>582.00402.B0009.00</t>
  </si>
  <si>
    <t>582.00403.B0009.00</t>
  </si>
  <si>
    <t>582.00404.B0009.00</t>
  </si>
  <si>
    <t>582.00405.B0001.00</t>
  </si>
  <si>
    <t>582.00406.B0001.00</t>
  </si>
  <si>
    <t>582.00407.B0001.00</t>
  </si>
  <si>
    <t>582.00405.B0008.00</t>
  </si>
  <si>
    <t>582.00406.B0008.00</t>
  </si>
  <si>
    <t>582.00407.B0008.00</t>
  </si>
  <si>
    <t>582.00405.B0009.00</t>
  </si>
  <si>
    <t>582.00406.B0009.00</t>
  </si>
  <si>
    <t>582.00407.B0009.00</t>
  </si>
  <si>
    <t>582.00408.B0001.00</t>
  </si>
  <si>
    <t>582.00409.B0001.00</t>
  </si>
  <si>
    <t>582.00410.B0001.00</t>
  </si>
  <si>
    <t>582.00408.B0008.00</t>
  </si>
  <si>
    <t>582.00409.B0008.00</t>
  </si>
  <si>
    <t>582.00410.B0008.00</t>
  </si>
  <si>
    <t>582.00408.B0009.00</t>
  </si>
  <si>
    <t>582.00409.B0009.00</t>
  </si>
  <si>
    <t>582.00410.B0009.00</t>
  </si>
  <si>
    <t>582.00411.B0001.00</t>
  </si>
  <si>
    <t>582.00412.B0001.00</t>
  </si>
  <si>
    <t>582.00413.B0001.00</t>
  </si>
  <si>
    <t>582.00411.B0008.00</t>
  </si>
  <si>
    <t>582.00412.B0008.00</t>
  </si>
  <si>
    <t>582.00413.B0008.00</t>
  </si>
  <si>
    <t>582.00411.B0009.00</t>
  </si>
  <si>
    <t>582.00412.B0009.00</t>
  </si>
  <si>
    <t>582.00413.B0009.00</t>
  </si>
  <si>
    <t>582.00414.B0001.00</t>
  </si>
  <si>
    <t>582.00415.B0001.00</t>
  </si>
  <si>
    <t>582.00416.B0001.00</t>
  </si>
  <si>
    <t>582.00414.B0008.00</t>
  </si>
  <si>
    <t>582.00415.B0008.00</t>
  </si>
  <si>
    <t>582.00416.B0008.00</t>
  </si>
  <si>
    <t>582.00414.B0009.00</t>
  </si>
  <si>
    <t>582.00415.B0009.00</t>
  </si>
  <si>
    <t>582.00416.B0009.00</t>
  </si>
  <si>
    <t>582.00417.B0001.00</t>
  </si>
  <si>
    <t>582.00417.B0008.00</t>
  </si>
  <si>
    <t>582.00417.B0009.00</t>
  </si>
  <si>
    <t>582.00418.B0001.00</t>
  </si>
  <si>
    <t>582.00418.B0008.00</t>
  </si>
  <si>
    <t>582.00418.B0009.00</t>
  </si>
  <si>
    <t>582.00419.B0001.00</t>
  </si>
  <si>
    <t>582.00419.B0008.00</t>
  </si>
  <si>
    <t>582.00419.B0009.00</t>
  </si>
  <si>
    <t>582.00420.B0001.00</t>
  </si>
  <si>
    <t>582.00420.B0008.00</t>
  </si>
  <si>
    <t>582.00420.B0009.00</t>
  </si>
  <si>
    <t>582.00421.B0001.00</t>
  </si>
  <si>
    <t>582.00422.B0001.00</t>
  </si>
  <si>
    <t>582.00423.B0001.00</t>
  </si>
  <si>
    <t>582.00421.B0008.00</t>
  </si>
  <si>
    <t>582.00422.B0008.00</t>
  </si>
  <si>
    <t>582.00423.B0008.00</t>
  </si>
  <si>
    <t>582.00421.B0009.00</t>
  </si>
  <si>
    <t>582.00422.B0009.00</t>
  </si>
  <si>
    <t>582.00423.B0009.00</t>
  </si>
  <si>
    <t>582.00424.B0001.00</t>
  </si>
  <si>
    <t>582.00425.B0001.00</t>
  </si>
  <si>
    <t>582.00426.B0001.00</t>
  </si>
  <si>
    <t>582.00424.B0008.00</t>
  </si>
  <si>
    <t>582.00425.B0008.00</t>
  </si>
  <si>
    <t>582.00426.B0008.00</t>
  </si>
  <si>
    <t>582.00424.B0009.00</t>
  </si>
  <si>
    <t>582.00425.B0009.00</t>
  </si>
  <si>
    <t>582.00426.B0009.00</t>
  </si>
  <si>
    <t>582.00427.B0001.00</t>
  </si>
  <si>
    <t>582.00428.B0001.00</t>
  </si>
  <si>
    <t>582.00429.B0001.00</t>
  </si>
  <si>
    <t>582.00427.B0008.00</t>
  </si>
  <si>
    <t>582.00428.B0008.00</t>
  </si>
  <si>
    <t>582.00429.B0008.00</t>
  </si>
  <si>
    <t>582.00427.B0009.00</t>
  </si>
  <si>
    <t>582.00428.B0009.00</t>
  </si>
  <si>
    <t>582.00429.B0009.00</t>
  </si>
  <si>
    <t>582.00430.B0001.00</t>
  </si>
  <si>
    <t>582.00431.B0001.00</t>
  </si>
  <si>
    <t>582.00432.B0001.00</t>
  </si>
  <si>
    <t>582.00430.B0008.00</t>
  </si>
  <si>
    <t>582.00431.B0008.00</t>
  </si>
  <si>
    <t>582.00432.B0008.00</t>
  </si>
  <si>
    <t>582.00430.B0009.00</t>
  </si>
  <si>
    <t>582.00431.B0009.00</t>
  </si>
  <si>
    <t>582.00432.B0009.00</t>
  </si>
  <si>
    <t>582.00433.B0001.00</t>
  </si>
  <si>
    <t>582.00434.B0001.00</t>
  </si>
  <si>
    <t>582.00435.B0001.00</t>
  </si>
  <si>
    <t>582.00433.B0008.00</t>
  </si>
  <si>
    <t>582.00434.B0008.00</t>
  </si>
  <si>
    <t>582.00435.B0008.00</t>
  </si>
  <si>
    <t>582.00433.B0009.00</t>
  </si>
  <si>
    <t>582.00434.B0009.00</t>
  </si>
  <si>
    <t>582.00435.B0009.00</t>
  </si>
  <si>
    <t>582.00436.B0001.00</t>
  </si>
  <si>
    <t>582.00437.B0001.00</t>
  </si>
  <si>
    <t>582.00438.B0001.00</t>
  </si>
  <si>
    <t>582.00436.B0008.00</t>
  </si>
  <si>
    <t>582.00437.B0008.00</t>
  </si>
  <si>
    <t>582.00438.B0008.00</t>
  </si>
  <si>
    <t>582.00436.B0009.00</t>
  </si>
  <si>
    <t>582.00437.B0009.00</t>
  </si>
  <si>
    <t>582.00438.B0009.00</t>
  </si>
  <si>
    <t>582.00439.B0001.00</t>
  </si>
  <si>
    <t>582.00440.B0001.00</t>
  </si>
  <si>
    <t>582.00441.B0001.00</t>
  </si>
  <si>
    <t>582.00439.B0008.00</t>
  </si>
  <si>
    <t>582.00440.B0008.00</t>
  </si>
  <si>
    <t>582.00441.B0008.00</t>
  </si>
  <si>
    <t>582.00439.B0009.00</t>
  </si>
  <si>
    <t>582.00440.B0009.00</t>
  </si>
  <si>
    <t>582.00441.B0009.00</t>
  </si>
  <si>
    <t>582.00442.B0001.00</t>
  </si>
  <si>
    <t>582.00443.B0001.00</t>
  </si>
  <si>
    <t>582.00444.B0001.00</t>
  </si>
  <si>
    <t>582.00442.B0008.00</t>
  </si>
  <si>
    <t>582.00443.B0008.00</t>
  </si>
  <si>
    <t>582.00444.B0008.00</t>
  </si>
  <si>
    <t>582.00442.B0009.00</t>
  </si>
  <si>
    <t>582.00443.B0009.00</t>
  </si>
  <si>
    <t>582.00444.B0009.00</t>
  </si>
  <si>
    <t>582.00445.B0001.00</t>
  </si>
  <si>
    <t>582.00446.B0001.00</t>
  </si>
  <si>
    <t>582.00447.B0001.00</t>
  </si>
  <si>
    <t>582.00445.B0008.00</t>
  </si>
  <si>
    <t>582.00446.B0008.00</t>
  </si>
  <si>
    <t>582.00447.B0008.00</t>
  </si>
  <si>
    <t>582.00445.B0009.00</t>
  </si>
  <si>
    <t>582.00446.B0009.00</t>
  </si>
  <si>
    <t>582.00447.B0009.00</t>
  </si>
  <si>
    <t>582.00448.B0001.00</t>
  </si>
  <si>
    <t>582.00449.B0001.00</t>
  </si>
  <si>
    <t>582.00450.B0001.00</t>
  </si>
  <si>
    <t>582.00448.B0008.00</t>
  </si>
  <si>
    <t>582.00449.B0008.00</t>
  </si>
  <si>
    <t>582.00450.B0008.00</t>
  </si>
  <si>
    <t>582.00448.B0009.00</t>
  </si>
  <si>
    <t>582.00449.B0009.00</t>
  </si>
  <si>
    <t>582.00450.B0009.00</t>
  </si>
  <si>
    <t>582.00451.B0001.00</t>
  </si>
  <si>
    <t>582.00452.B0001.00</t>
  </si>
  <si>
    <t>582.00453.B0001.00</t>
  </si>
  <si>
    <t>582.00451.B0008.00</t>
  </si>
  <si>
    <t>582.00452.B0008.00</t>
  </si>
  <si>
    <t>582.00453.B0008.00</t>
  </si>
  <si>
    <t>582.00451.B0009.00</t>
  </si>
  <si>
    <t>582.00452.B0009.00</t>
  </si>
  <si>
    <t>582.00453.B0009.00</t>
  </si>
  <si>
    <t>582.00454.B0001.00</t>
  </si>
  <si>
    <t>582.00455.B0001.00</t>
  </si>
  <si>
    <t>582.00456.B0001.00</t>
  </si>
  <si>
    <t>582.00454.B0008.00</t>
  </si>
  <si>
    <t>582.00455.B0008.00</t>
  </si>
  <si>
    <t>582.00456.B0008.00</t>
  </si>
  <si>
    <t>582.00454.B0009.00</t>
  </si>
  <si>
    <t>582.00455.B0009.00</t>
  </si>
  <si>
    <t>582.00456.B0009.00</t>
  </si>
  <si>
    <t>582.00457.B0001.00</t>
  </si>
  <si>
    <t>582.00458.B0001.00</t>
  </si>
  <si>
    <t>582.00459.B0001.00</t>
  </si>
  <si>
    <t>582.00457.B0008.00</t>
  </si>
  <si>
    <t>582.00458.B0008.00</t>
  </si>
  <si>
    <t>582.00459.B0008.00</t>
  </si>
  <si>
    <t>582.00457.B0009.00</t>
  </si>
  <si>
    <t>582.00458.B0009.00</t>
  </si>
  <si>
    <t>582.00459.B0009.00</t>
  </si>
  <si>
    <t>582.00460.B0001.00</t>
  </si>
  <si>
    <t>582.00461.B0001.00</t>
  </si>
  <si>
    <t>582.00462.B0001.00</t>
  </si>
  <si>
    <t>582.00460.B0008.00</t>
  </si>
  <si>
    <t>582.00461.B0008.00</t>
  </si>
  <si>
    <t>582.00462.B0008.00</t>
  </si>
  <si>
    <t>582.00460.B0009.00</t>
  </si>
  <si>
    <t>582.00461.B0009.00</t>
  </si>
  <si>
    <t>582.00462.B0009.00</t>
  </si>
  <si>
    <t>582.00463.B0001.00</t>
  </si>
  <si>
    <t>582.00464.B0001.00</t>
  </si>
  <si>
    <t>582.00465.B0001.00</t>
  </si>
  <si>
    <t>582.00463.B0008.00</t>
  </si>
  <si>
    <t>582.00464.B0008.00</t>
  </si>
  <si>
    <t>582.00465.B0008.00</t>
  </si>
  <si>
    <t>582.00463.B0009.00</t>
  </si>
  <si>
    <t>582.00464.B0009.00</t>
  </si>
  <si>
    <t>582.00465.B0009.00</t>
  </si>
  <si>
    <t>582.00466.B0001.00</t>
  </si>
  <si>
    <t>582.00467.B0001.00</t>
  </si>
  <si>
    <t>582.00468.B0001.00</t>
  </si>
  <si>
    <t>582.00466.B0008.00</t>
  </si>
  <si>
    <t>582.00467.B0008.00</t>
  </si>
  <si>
    <t>582.00468.B0008.00</t>
  </si>
  <si>
    <t>582.00466.B0009.00</t>
  </si>
  <si>
    <t>582.00467.B0009.00</t>
  </si>
  <si>
    <t>582.00468.B0009.00</t>
  </si>
  <si>
    <t>582.00469.B0001.00</t>
  </si>
  <si>
    <t>582.00470.B0001.00</t>
  </si>
  <si>
    <t>582.00471.B0001.00</t>
  </si>
  <si>
    <t>582.00469.B0008.00</t>
  </si>
  <si>
    <t>582.00470.B0008.00</t>
  </si>
  <si>
    <t>582.00471.B0008.00</t>
  </si>
  <si>
    <t>582.00469.B0009.00</t>
  </si>
  <si>
    <t>582.00470.B0009.00</t>
  </si>
  <si>
    <t>582.00471.B0009.00</t>
  </si>
  <si>
    <t>582.00472.B0001.00</t>
  </si>
  <si>
    <t>582.00473.B0001.00</t>
  </si>
  <si>
    <t>582.00474.B0001.00</t>
  </si>
  <si>
    <t>582.00472.B0008.00</t>
  </si>
  <si>
    <t>582.00473.B0008.00</t>
  </si>
  <si>
    <t>582.00474.B0008.00</t>
  </si>
  <si>
    <t>582.00472.B0009.00</t>
  </si>
  <si>
    <t>582.00473.B0009.00</t>
  </si>
  <si>
    <t>582.00474.B0009.00</t>
  </si>
  <si>
    <t>582.00475.B0001.00</t>
  </si>
  <si>
    <t>582.00476.B0001.00</t>
  </si>
  <si>
    <t>582.00477.B0001.00</t>
  </si>
  <si>
    <t>582.00475.B0008.00</t>
  </si>
  <si>
    <t>582.00476.B0008.00</t>
  </si>
  <si>
    <t>582.00477.B0008.00</t>
  </si>
  <si>
    <t>582.00475.B0009.00</t>
  </si>
  <si>
    <t>582.00476.B0009.00</t>
  </si>
  <si>
    <t>582.00477.B0009.00</t>
  </si>
  <si>
    <t>582.00478.B0001.00</t>
  </si>
  <si>
    <t>582.00479.B0001.00</t>
  </si>
  <si>
    <t>582.00480.B0001.00</t>
  </si>
  <si>
    <t>582.00478.B0008.00</t>
  </si>
  <si>
    <t>582.00479.B0008.00</t>
  </si>
  <si>
    <t>582.00480.B0008.00</t>
  </si>
  <si>
    <t>582.00478.B0009.00</t>
  </si>
  <si>
    <t>582.00479.B0009.00</t>
  </si>
  <si>
    <t>582.00480.B0009.00</t>
  </si>
  <si>
    <t>582.00481.B0001.00</t>
  </si>
  <si>
    <t>582.00482.B0001.00</t>
  </si>
  <si>
    <t>582.00483.B0001.00</t>
  </si>
  <si>
    <t>582.00481.B0008.00</t>
  </si>
  <si>
    <t>582.00482.B0008.00</t>
  </si>
  <si>
    <t>582.00483.B0008.00</t>
  </si>
  <si>
    <t>582.00481.B0009.00</t>
  </si>
  <si>
    <t>582.00482.B0009.00</t>
  </si>
  <si>
    <t>582.00483.B0009.00</t>
  </si>
  <si>
    <t>582.00484.B0001.00</t>
  </si>
  <si>
    <t>582.00485.B0001.00</t>
  </si>
  <si>
    <t>582.00486.B0001.00</t>
  </si>
  <si>
    <t>582.00484.B0008.00</t>
  </si>
  <si>
    <t>582.00485.B0008.00</t>
  </si>
  <si>
    <t>582.00486.B0008.00</t>
  </si>
  <si>
    <t>582.00484.B0009.00</t>
  </si>
  <si>
    <t>582.00485.B0009.00</t>
  </si>
  <si>
    <t>582.00486.B0009.00</t>
  </si>
  <si>
    <t>582.00487.B0001.00</t>
  </si>
  <si>
    <t>582.00488.B0001.00</t>
  </si>
  <si>
    <t>582.00489.B0001.00</t>
  </si>
  <si>
    <t>582.00487.B0008.00</t>
  </si>
  <si>
    <t>582.00488.B0008.00</t>
  </si>
  <si>
    <t>582.00489.B0008.00</t>
  </si>
  <si>
    <t>582.00487.B0009.00</t>
  </si>
  <si>
    <t>582.00488.B0009.00</t>
  </si>
  <si>
    <t>582.00489.B0009.00</t>
  </si>
  <si>
    <t>582.00490.B0001.00</t>
  </si>
  <si>
    <t>582.00491.B0001.00</t>
  </si>
  <si>
    <t>582.00492.B0001.00</t>
  </si>
  <si>
    <t>582.00490.B0008.00</t>
  </si>
  <si>
    <t>582.00491.B0008.00</t>
  </si>
  <si>
    <t>582.00492.B0008.00</t>
  </si>
  <si>
    <t>582.00490.B0009.00</t>
  </si>
  <si>
    <t>582.00491.B0009.00</t>
  </si>
  <si>
    <t>582.00492.B0009.00</t>
  </si>
  <si>
    <t>582.00493.B0001.00</t>
  </si>
  <si>
    <t>582.00494.B0001.00</t>
  </si>
  <si>
    <t>582.00495.B0001.00</t>
  </si>
  <si>
    <t>582.00493.B0008.00</t>
  </si>
  <si>
    <t>582.00494.B0008.00</t>
  </si>
  <si>
    <t>582.00495.B0008.00</t>
  </si>
  <si>
    <t>582.00493.B0009.00</t>
  </si>
  <si>
    <t>582.00494.B0009.00</t>
  </si>
  <si>
    <t>582.00495.B0009.00</t>
  </si>
  <si>
    <t>582.00496.B0001.00</t>
  </si>
  <si>
    <t>582.00497.B0001.00</t>
  </si>
  <si>
    <t>582.00498.B0001.00</t>
  </si>
  <si>
    <t>582.00496.B0008.00</t>
  </si>
  <si>
    <t>582.00497.B0008.00</t>
  </si>
  <si>
    <t>582.00498.B0008.00</t>
  </si>
  <si>
    <t>582.00496.B0009.00</t>
  </si>
  <si>
    <t>582.00497.B0009.00</t>
  </si>
  <si>
    <t>582.00498.B0009.00</t>
  </si>
  <si>
    <t>582.00499.B0001.00</t>
  </si>
  <si>
    <t>582.00500.B0001.00</t>
  </si>
  <si>
    <t>582.00501.B0001.00</t>
  </si>
  <si>
    <t>582.00499.B0008.00</t>
  </si>
  <si>
    <t>582.00500.B0008.00</t>
  </si>
  <si>
    <t>582.00501.B0008.00</t>
  </si>
  <si>
    <t>582.00499.B0009.00</t>
  </si>
  <si>
    <t>582.00500.B0009.00</t>
  </si>
  <si>
    <t>582.00501.B0009.00</t>
  </si>
  <si>
    <t>582.00502.B0001.00</t>
  </si>
  <si>
    <t>582.00503.B0001.00</t>
  </si>
  <si>
    <t>582.00504.B0001.00</t>
  </si>
  <si>
    <t>582.00502.B0008.00</t>
  </si>
  <si>
    <t>582.00503.B0008.00</t>
  </si>
  <si>
    <t>582.00504.B0008.00</t>
  </si>
  <si>
    <t>582.00502.B0009.00</t>
  </si>
  <si>
    <t>582.00503.B0009.00</t>
  </si>
  <si>
    <t>582.00504.B0009.00</t>
  </si>
  <si>
    <t>582.00505.B0001.00</t>
  </si>
  <si>
    <t>582.00506.B0001.00</t>
  </si>
  <si>
    <t>582.00507.B0001.00</t>
  </si>
  <si>
    <t>582.00505.B0008.00</t>
  </si>
  <si>
    <t>582.00506.B0008.00</t>
  </si>
  <si>
    <t>582.00507.B0008.00</t>
  </si>
  <si>
    <t>582.00505.B0009.00</t>
  </si>
  <si>
    <t>582.00506.B0009.00</t>
  </si>
  <si>
    <t>582.00507.B0009.00</t>
  </si>
  <si>
    <t>582.00508.B0001.00</t>
  </si>
  <si>
    <t>582.00509.B0001.00</t>
  </si>
  <si>
    <t>582.00510.B0001.00</t>
  </si>
  <si>
    <t>582.00508.B0008.00</t>
  </si>
  <si>
    <t>582.00509.B0008.00</t>
  </si>
  <si>
    <t>582.00510.B0008.00</t>
  </si>
  <si>
    <t>582.00508.B0009.00</t>
  </si>
  <si>
    <t>582.00509.B0009.00</t>
  </si>
  <si>
    <t>582.00510.B0009.00</t>
  </si>
  <si>
    <t>582.00511.B0001.00</t>
  </si>
  <si>
    <t>582.00512.B0001.00</t>
  </si>
  <si>
    <t>582.00513.B0001.00</t>
  </si>
  <si>
    <t>582.00511.B0008.00</t>
  </si>
  <si>
    <t>582.00512.B0008.00</t>
  </si>
  <si>
    <t>582.00513.B0008.00</t>
  </si>
  <si>
    <t>582.00511.B0009.00</t>
  </si>
  <si>
    <t>582.00512.B0009.00</t>
  </si>
  <si>
    <t>582.00513.B0009.00</t>
  </si>
  <si>
    <t>582.00514.B0001.00</t>
  </si>
  <si>
    <t>582.00515.B0001.00</t>
  </si>
  <si>
    <t>582.00516.B0001.00</t>
  </si>
  <si>
    <t>582.00514.B0008.00</t>
  </si>
  <si>
    <t>582.00515.B0008.00</t>
  </si>
  <si>
    <t>582.00516.B0008.00</t>
  </si>
  <si>
    <t>582.00514.B0009.00</t>
  </si>
  <si>
    <t>582.00515.B0009.00</t>
  </si>
  <si>
    <t>582.00516.B0009.00</t>
  </si>
  <si>
    <t>582.00517.B0001.00</t>
  </si>
  <si>
    <t>582.00518.B0001.00</t>
  </si>
  <si>
    <t>582.00519.B0001.00</t>
  </si>
  <si>
    <t>582.00517.B0008.00</t>
  </si>
  <si>
    <t>582.00518.B0008.00</t>
  </si>
  <si>
    <t>582.00519.B0008.00</t>
  </si>
  <si>
    <t>582.00517.B0009.00</t>
  </si>
  <si>
    <t>582.00518.B0009.00</t>
  </si>
  <si>
    <t>582.00519.B0009.00</t>
  </si>
  <si>
    <t>582.00520.B0001.00</t>
  </si>
  <si>
    <t>582.00521.B0001.00</t>
  </si>
  <si>
    <t>582.00522.B0001.00</t>
  </si>
  <si>
    <t>582.00520.B0008.00</t>
  </si>
  <si>
    <t>582.00521.B0008.00</t>
  </si>
  <si>
    <t>582.00522.B0008.00</t>
  </si>
  <si>
    <t>582.00520.B0009.00</t>
  </si>
  <si>
    <t>582.00521.B0009.00</t>
  </si>
  <si>
    <t>582.00522.B0009.00</t>
  </si>
  <si>
    <t>582.00523.B0001.00</t>
  </si>
  <si>
    <t>582.00524.B0001.00</t>
  </si>
  <si>
    <t>582.00525.B0001.00</t>
  </si>
  <si>
    <t>582.00523.B0008.00</t>
  </si>
  <si>
    <t>582.00524.B0008.00</t>
  </si>
  <si>
    <t>582.00525.B0008.00</t>
  </si>
  <si>
    <t>582.00523.B0009.00</t>
  </si>
  <si>
    <t>582.00524.B0009.00</t>
  </si>
  <si>
    <t>582.00525.B0009.00</t>
  </si>
  <si>
    <t>582.00526.B0001.00</t>
  </si>
  <si>
    <t>582.00527.B0001.00</t>
  </si>
  <si>
    <t>582.00528.B0001.00</t>
  </si>
  <si>
    <t>582.00526.B0008.00</t>
  </si>
  <si>
    <t>582.00527.B0008.00</t>
  </si>
  <si>
    <t>582.00528.B0008.00</t>
  </si>
  <si>
    <t>582.00526.B0009.00</t>
  </si>
  <si>
    <t>582.00527.B0009.00</t>
  </si>
  <si>
    <t>582.00528.B0009.00</t>
  </si>
  <si>
    <t>582.00529.B0001.00</t>
  </si>
  <si>
    <t>582.00530.B0001.00</t>
  </si>
  <si>
    <t>582.00531.B0001.00</t>
  </si>
  <si>
    <t>582.00529.B0008.00</t>
  </si>
  <si>
    <t>582.00530.B0008.00</t>
  </si>
  <si>
    <t>582.00531.B0008.00</t>
  </si>
  <si>
    <t>582.00529.B0009.00</t>
  </si>
  <si>
    <t>582.00530.B0009.00</t>
  </si>
  <si>
    <t>582.00531.B0009.00</t>
  </si>
  <si>
    <t>582.00532.B0001.00</t>
  </si>
  <si>
    <t>582.00533.B0001.00</t>
  </si>
  <si>
    <t>582.00534.B0001.00</t>
  </si>
  <si>
    <t>582.00532.B0008.00</t>
  </si>
  <si>
    <t>582.00533.B0008.00</t>
  </si>
  <si>
    <t>582.00534.B0008.00</t>
  </si>
  <si>
    <t>582.00532.B0009.00</t>
  </si>
  <si>
    <t>582.00533.B0009.00</t>
  </si>
  <si>
    <t>582.00534.B0009.00</t>
  </si>
  <si>
    <t>582.00535.B0001.00</t>
  </si>
  <si>
    <t>582.00536.B0001.00</t>
  </si>
  <si>
    <t>582.00537.B0001.00</t>
  </si>
  <si>
    <t>582.00535.B0008.00</t>
  </si>
  <si>
    <t>582.00536.B0008.00</t>
  </si>
  <si>
    <t>582.00537.B0008.00</t>
  </si>
  <si>
    <t>582.00535.B0009.00</t>
  </si>
  <si>
    <t>582.00536.B0009.00</t>
  </si>
  <si>
    <t>582.00537.B0009.00</t>
  </si>
  <si>
    <t>582.00538.B0001.00</t>
  </si>
  <si>
    <t>582.00539.B0001.00</t>
  </si>
  <si>
    <t>582.00540.B0001.00</t>
  </si>
  <si>
    <t>582.00538.B0008.00</t>
  </si>
  <si>
    <t>582.00539.B0008.00</t>
  </si>
  <si>
    <t>582.00540.B0008.00</t>
  </si>
  <si>
    <t>582.00538.B0009.00</t>
  </si>
  <si>
    <t>582.00539.B0009.00</t>
  </si>
  <si>
    <t>582.00540.B0009.00</t>
  </si>
  <si>
    <t>582.00541.B0001.00</t>
  </si>
  <si>
    <t>582.00542.B0001.00</t>
  </si>
  <si>
    <t>582.00543.B0001.00</t>
  </si>
  <si>
    <t>582.00541.B0008.00</t>
  </si>
  <si>
    <t>582.00542.B0008.00</t>
  </si>
  <si>
    <t>582.00543.B0008.00</t>
  </si>
  <si>
    <t>582.00541.B0009.00</t>
  </si>
  <si>
    <t>582.00542.B0009.00</t>
  </si>
  <si>
    <t>582.00543.B0009.00</t>
  </si>
  <si>
    <t>582.00544.B0001.00</t>
  </si>
  <si>
    <t>582.00545.B0001.00</t>
  </si>
  <si>
    <t>582.00546.B0001.00</t>
  </si>
  <si>
    <t>582.00544.B0008.00</t>
  </si>
  <si>
    <t>582.00545.B0008.00</t>
  </si>
  <si>
    <t>582.00546.B0008.00</t>
  </si>
  <si>
    <t>582.00544.B0009.00</t>
  </si>
  <si>
    <t>582.00545.B0009.00</t>
  </si>
  <si>
    <t>582.00546.B0009.00</t>
  </si>
  <si>
    <t>582.00547.B0001.00</t>
  </si>
  <si>
    <t>582.00548.B0001.00</t>
  </si>
  <si>
    <t>582.00549.B0001.00</t>
  </si>
  <si>
    <t>582.00547.B0008.00</t>
  </si>
  <si>
    <t>582.00548.B0008.00</t>
  </si>
  <si>
    <t>582.00549.B0008.00</t>
  </si>
  <si>
    <t>582.00547.B0009.00</t>
  </si>
  <si>
    <t>582.00548.B0009.00</t>
  </si>
  <si>
    <t>582.00549.B0009.00</t>
  </si>
  <si>
    <t>582.00550.B0001.00</t>
  </si>
  <si>
    <t>582.00551.B0001.00</t>
  </si>
  <si>
    <t>582.00552.B0001.00</t>
  </si>
  <si>
    <t>582.00550.B0008.00</t>
  </si>
  <si>
    <t>582.00551.B0008.00</t>
  </si>
  <si>
    <t>582.00552.B0008.00</t>
  </si>
  <si>
    <t>582.00550.B0009.00</t>
  </si>
  <si>
    <t>582.00551.B0009.00</t>
  </si>
  <si>
    <t>582.00552.B0009.00</t>
  </si>
  <si>
    <t>582.00553.B0001.00</t>
  </si>
  <si>
    <t>582.00554.B0001.00</t>
  </si>
  <si>
    <t>582.00555.B0001.00</t>
  </si>
  <si>
    <t>582.00553.B0008.00</t>
  </si>
  <si>
    <t>582.00554.B0008.00</t>
  </si>
  <si>
    <t>582.00555.B0008.00</t>
  </si>
  <si>
    <t>582.00553.B0009.00</t>
  </si>
  <si>
    <t>582.00554.B0009.00</t>
  </si>
  <si>
    <t>582.00555.B0009.00</t>
  </si>
  <si>
    <t>582.00556.B0001.00</t>
  </si>
  <si>
    <t>582.00557.B0001.00</t>
  </si>
  <si>
    <t>582.00558.B0001.00</t>
  </si>
  <si>
    <t>582.00556.B0008.00</t>
  </si>
  <si>
    <t>582.00557.B0008.00</t>
  </si>
  <si>
    <t>582.00558.B0008.00</t>
  </si>
  <si>
    <t>582.00556.B0009.00</t>
  </si>
  <si>
    <t>582.00557.B0009.00</t>
  </si>
  <si>
    <t>582.00558.B0009.00</t>
  </si>
  <si>
    <t>582.00559.B0001.00</t>
  </si>
  <si>
    <t>582.00560.B0001.00</t>
  </si>
  <si>
    <t>582.00561.B0001.00</t>
  </si>
  <si>
    <t>582.00559.B0008.00</t>
  </si>
  <si>
    <t>582.00560.B0008.00</t>
  </si>
  <si>
    <t>582.00561.B0008.00</t>
  </si>
  <si>
    <t>582.00559.B0009.00</t>
  </si>
  <si>
    <t>582.00560.B0009.00</t>
  </si>
  <si>
    <t>582.00561.B0009.00</t>
  </si>
  <si>
    <t>582.00562.B0001.00</t>
  </si>
  <si>
    <t>582.00563.B0001.00</t>
  </si>
  <si>
    <t>582.00564.B0001.00</t>
  </si>
  <si>
    <t>582.00562.B0008.00</t>
  </si>
  <si>
    <t>582.00563.B0008.00</t>
  </si>
  <si>
    <t>582.00564.B0008.00</t>
  </si>
  <si>
    <t>582.00562.B0009.00</t>
  </si>
  <si>
    <t>582.00563.B0009.00</t>
  </si>
  <si>
    <t>582.00564.B0009.00</t>
  </si>
  <si>
    <t>582.00565.B0001.00</t>
  </si>
  <si>
    <t>582.00565.B0008.00</t>
  </si>
  <si>
    <t>582.00565.B0009.00</t>
  </si>
  <si>
    <t>582.00566.B0001.00</t>
  </si>
  <si>
    <t>582.00566.B0008.00</t>
  </si>
  <si>
    <t>582.00566.B0009.00</t>
  </si>
  <si>
    <t>582.00567.B0001.00</t>
  </si>
  <si>
    <t>582.00567.B0008.00</t>
  </si>
  <si>
    <t>582.00567.B0009.00</t>
  </si>
  <si>
    <t>582.00568.B0001.00</t>
  </si>
  <si>
    <t>582.00568.B0008.00</t>
  </si>
  <si>
    <t>582.00568.B0009.00</t>
  </si>
  <si>
    <t>582.00569.B0001.00</t>
  </si>
  <si>
    <t>582.00569.B0008.00</t>
  </si>
  <si>
    <t>582.00569.B0009.00</t>
  </si>
  <si>
    <t>582.00570.B0001.00</t>
  </si>
  <si>
    <t>582.00570.B0008.00</t>
  </si>
  <si>
    <t>582.00570.B0009.00</t>
  </si>
  <si>
    <t>582.00571.B0001.00</t>
  </si>
  <si>
    <t>582.00571.B0008.00</t>
  </si>
  <si>
    <t>582.00571.B0009.00</t>
  </si>
  <si>
    <t>582.00572.B0001.00</t>
  </si>
  <si>
    <t>582.00572.B0008.00</t>
  </si>
  <si>
    <t>582.00572.B0009.00</t>
  </si>
  <si>
    <t>200.00013.B0060.00</t>
  </si>
  <si>
    <t>200.00014.B0060.00</t>
  </si>
  <si>
    <t>200.00015.B0060.00</t>
  </si>
  <si>
    <t>204.00013.B0060.00</t>
  </si>
  <si>
    <t>204.00014.B0060.00</t>
  </si>
  <si>
    <t>204.00015.B0060.00</t>
  </si>
  <si>
    <t>230.00003.B0060.00</t>
  </si>
  <si>
    <t>230.00013.B0060.00</t>
  </si>
  <si>
    <t>230.00014.B0060.00</t>
  </si>
  <si>
    <t>230.00001.B0060.00</t>
  </si>
  <si>
    <t>230.00012.B0060.00</t>
  </si>
  <si>
    <t>200.00001.B0060.00</t>
  </si>
  <si>
    <t>200.00002.B0060.00</t>
  </si>
  <si>
    <t>200.00003.B0060.00</t>
  </si>
  <si>
    <t>200.00004.B0060.00</t>
  </si>
  <si>
    <t>200.00005.B0060.00</t>
  </si>
  <si>
    <t>200.00006.B0060.00</t>
  </si>
  <si>
    <t>200.00007.B0060.00</t>
  </si>
  <si>
    <t>200.00008.B0060.00</t>
  </si>
  <si>
    <t>200.00009.B0060.00</t>
  </si>
  <si>
    <t>200.00010.B0060.00</t>
  </si>
  <si>
    <t>200.00011.B0060.00</t>
  </si>
  <si>
    <t>526.00009.B0060.00</t>
  </si>
  <si>
    <t>526.00010.B0060.00</t>
  </si>
  <si>
    <t>526.00011.B0060.00</t>
  </si>
  <si>
    <t>526.00012.B0060.00</t>
  </si>
  <si>
    <t>526.00013.B0060.00</t>
  </si>
  <si>
    <t>526.00015.B0060.00</t>
  </si>
  <si>
    <t>526.00014.B0060.00</t>
  </si>
  <si>
    <t>220.00010.B0060.00</t>
  </si>
  <si>
    <t>220.00008.B0060.00</t>
  </si>
  <si>
    <t>220.00009.B0060.00</t>
  </si>
  <si>
    <t>220.00005.B0060.00</t>
  </si>
  <si>
    <t>220.00007.B0060.00</t>
  </si>
  <si>
    <t>220.00012.B0060.00</t>
  </si>
  <si>
    <t>220.00011.B0060.00</t>
  </si>
  <si>
    <t>220.00013.B0060.00</t>
  </si>
  <si>
    <t>220.00001.B0060.00</t>
  </si>
  <si>
    <t>220.00003.B0060.00</t>
  </si>
  <si>
    <t>220.00002.B0060.00</t>
  </si>
  <si>
    <t>220.00004.B0060.00</t>
  </si>
  <si>
    <t>220.00006.B0060.00</t>
  </si>
  <si>
    <t>220.00014.B0060.00</t>
  </si>
  <si>
    <t>220.00015.B0060.00</t>
  </si>
  <si>
    <t>220.00016.B0060.00</t>
  </si>
  <si>
    <t>220.00017.B0060.00</t>
  </si>
  <si>
    <t>220.00018.B0060.00</t>
  </si>
  <si>
    <t>220.00019.B0060.00</t>
  </si>
  <si>
    <t>201.00006.B0060.00</t>
  </si>
  <si>
    <t>201.00001.B0060.00</t>
  </si>
  <si>
    <t>201.00002.B0060.00</t>
  </si>
  <si>
    <t>201.00003.B0060.00</t>
  </si>
  <si>
    <t>201.00004.B0060.00</t>
  </si>
  <si>
    <t>201.00009.B0060.00</t>
  </si>
  <si>
    <t>201.00005.B0060.00</t>
  </si>
  <si>
    <t>201.00008.B0060.00</t>
  </si>
  <si>
    <t>201.00007.B0060.00</t>
  </si>
  <si>
    <t>305.00003.B0060.00</t>
  </si>
  <si>
    <t>305.00004.B0060.00</t>
  </si>
  <si>
    <t>578.00002.B0060.00</t>
  </si>
  <si>
    <t>578.00004.B0060.00</t>
  </si>
  <si>
    <t>578.00006.B0060.00</t>
  </si>
  <si>
    <t>578.00008.B0060.00</t>
  </si>
  <si>
    <t>578.00001.B0060.00</t>
  </si>
  <si>
    <t>578.00003.B0060.00</t>
  </si>
  <si>
    <t>578.00005.B0060.00</t>
  </si>
  <si>
    <t>578.00007.B0060.00</t>
  </si>
  <si>
    <t>578.00051.B0060.00</t>
  </si>
  <si>
    <t>578.00052.B0060.00</t>
  </si>
  <si>
    <t>578.00053.B0060.00</t>
  </si>
  <si>
    <t>578.00054.B0060.00</t>
  </si>
  <si>
    <t>578.00055.B0060.00</t>
  </si>
  <si>
    <t>578.00010.B0060.00</t>
  </si>
  <si>
    <t>578.00012.B0060.00</t>
  </si>
  <si>
    <t>578.00014.B0060.00</t>
  </si>
  <si>
    <t>578.00016.B0060.00</t>
  </si>
  <si>
    <t>578.00018.B0060.00</t>
  </si>
  <si>
    <t>578.00020.B0060.00</t>
  </si>
  <si>
    <t>578.00022.B0060.00</t>
  </si>
  <si>
    <t>578.00024.B0060.00</t>
  </si>
  <si>
    <t>578.00042.B0060.00</t>
  </si>
  <si>
    <t>578.00044.B0060.00</t>
  </si>
  <si>
    <t>578.00046.B0060.00</t>
  </si>
  <si>
    <t>578.00048.B0060.00</t>
  </si>
  <si>
    <t>578.00026.B0060.00</t>
  </si>
  <si>
    <t>578.00028.B0060.00</t>
  </si>
  <si>
    <t>578.00030.B0060.00</t>
  </si>
  <si>
    <t>578.00032.B0060.00</t>
  </si>
  <si>
    <t>578.00034.B0060.00</t>
  </si>
  <si>
    <t>578.00036.B0060.00</t>
  </si>
  <si>
    <t>578.00038.B0060.00</t>
  </si>
  <si>
    <t>578.00040.B0060.00</t>
  </si>
  <si>
    <t>578.00009.B0060.00</t>
  </si>
  <si>
    <t>578.00011.B0060.00</t>
  </si>
  <si>
    <t>578.00013.B0060.00</t>
  </si>
  <si>
    <t>578.00015.B0060.00</t>
  </si>
  <si>
    <t>578.00017.B0060.00</t>
  </si>
  <si>
    <t>578.00019.B0060.00</t>
  </si>
  <si>
    <t>578.00021.B0060.00</t>
  </si>
  <si>
    <t>578.00023.B0060.00</t>
  </si>
  <si>
    <t>578.00041.B0060.00</t>
  </si>
  <si>
    <t>578.00043.B0060.00</t>
  </si>
  <si>
    <t>578.00045.B0060.00</t>
  </si>
  <si>
    <t>578.00047.B0060.00</t>
  </si>
  <si>
    <t>578.00025.B0060.00</t>
  </si>
  <si>
    <t>578.00027.B0060.00</t>
  </si>
  <si>
    <t>578.00029.B0060.00</t>
  </si>
  <si>
    <t>578.00031.B0060.00</t>
  </si>
  <si>
    <t>578.00033.B0060.00</t>
  </si>
  <si>
    <t>578.00035.B0060.00</t>
  </si>
  <si>
    <t>578.00037.B0060.00</t>
  </si>
  <si>
    <t>578.00039.B0060.00</t>
  </si>
  <si>
    <t>520.00333.B0060.00</t>
  </si>
  <si>
    <t>520.00335.B0060.00</t>
  </si>
  <si>
    <t>520.00337.B0060.00</t>
  </si>
  <si>
    <t>520.00339.B0060.00</t>
  </si>
  <si>
    <t>520.00593.B0060.00</t>
  </si>
  <si>
    <t>520.00595.B0060.00</t>
  </si>
  <si>
    <t>520.00597.B0060.00</t>
  </si>
  <si>
    <t>520.00599.B0060.00</t>
  </si>
  <si>
    <t>520.00334.B0060.00</t>
  </si>
  <si>
    <t>520.00336.B0060.00</t>
  </si>
  <si>
    <t>520.00338.B0060.00</t>
  </si>
  <si>
    <t>520.00340.B0060.00</t>
  </si>
  <si>
    <t>520.00594.B0060.00</t>
  </si>
  <si>
    <t>520.00596.B0060.00</t>
  </si>
  <si>
    <t>520.00598.B0060.00</t>
  </si>
  <si>
    <t>520.00600.B0060.00</t>
  </si>
  <si>
    <t>526.00016.B0060.00</t>
  </si>
  <si>
    <t>526.00017.B0060.00</t>
  </si>
  <si>
    <t>526.00018.B0060.00</t>
  </si>
  <si>
    <t>526.00019.B0060.00</t>
  </si>
  <si>
    <t>201.00011.B0060.00</t>
  </si>
  <si>
    <t>201.00012.B0060.00</t>
  </si>
  <si>
    <t>201.00013.B0060.00</t>
  </si>
  <si>
    <t>310.8201.05.MNL</t>
  </si>
  <si>
    <t>201.00027.B0060.00</t>
  </si>
  <si>
    <t>300.3044.MNL</t>
  </si>
  <si>
    <t>300.3039.MNL</t>
  </si>
  <si>
    <t>300.3160.MNL</t>
  </si>
  <si>
    <t>300.3175.MNL</t>
  </si>
  <si>
    <t>300.3420.48.MNL</t>
  </si>
  <si>
    <t>300.3420.35.MNL</t>
  </si>
  <si>
    <t>00000</t>
  </si>
  <si>
    <t>00018</t>
  </si>
  <si>
    <t>00014</t>
  </si>
  <si>
    <t>00024</t>
  </si>
  <si>
    <t>00012</t>
  </si>
  <si>
    <t>00036</t>
  </si>
  <si>
    <t>00030</t>
  </si>
  <si>
    <t>RAW</t>
  </si>
  <si>
    <t>00022</t>
  </si>
  <si>
    <t>GLV</t>
  </si>
  <si>
    <t>00004</t>
  </si>
  <si>
    <t>00005</t>
  </si>
  <si>
    <t>00007</t>
  </si>
  <si>
    <t>00011</t>
  </si>
  <si>
    <t xml:space="preserve">     </t>
  </si>
  <si>
    <t>00003</t>
  </si>
  <si>
    <t>00020</t>
  </si>
  <si>
    <t>00015</t>
  </si>
  <si>
    <t>00001</t>
  </si>
  <si>
    <t>00013</t>
  </si>
  <si>
    <t>00023</t>
  </si>
  <si>
    <t>00035</t>
  </si>
  <si>
    <t>00047</t>
  </si>
  <si>
    <r>
      <t>Enter Order Lines Below (COPY/PASTE choose</t>
    </r>
    <r>
      <rPr>
        <b/>
        <sz val="14"/>
        <color theme="1"/>
        <rFont val="Calibri"/>
        <family val="2"/>
        <scheme val="minor"/>
      </rPr>
      <t xml:space="preserve"> 'Paste As Values'</t>
    </r>
    <r>
      <rPr>
        <b/>
        <sz val="11"/>
        <color theme="1"/>
        <rFont val="Calibri"/>
        <family val="2"/>
        <scheme val="minor"/>
      </rPr>
      <t>)</t>
    </r>
  </si>
  <si>
    <r>
      <t>Modern Handle 128mm</t>
    </r>
    <r>
      <rPr>
        <b/>
        <sz val="14"/>
        <rFont val="Arial"/>
        <family val="2"/>
      </rPr>
      <t xml:space="preserve"> with 2 pc 8/32x1" screw</t>
    </r>
  </si>
  <si>
    <t>310.8218.05.MAL</t>
  </si>
  <si>
    <t>Wall Mount Organizer, Shoe Hook, Matte Aluminum</t>
  </si>
  <si>
    <t>310.8218.05.MG</t>
  </si>
  <si>
    <t>Wall Mount Organizer, Shoe Hook, Gold</t>
  </si>
  <si>
    <t>310.8218.05.SG</t>
  </si>
  <si>
    <t>Wall Mount Organizer, Shoe Hook, Graphite</t>
  </si>
  <si>
    <t>Modern Handle 128mm with 2 pc 8/32x1" screw</t>
  </si>
  <si>
    <t>310.8218.05.MNL</t>
  </si>
  <si>
    <t>300.3216.256.CR</t>
  </si>
  <si>
    <r>
      <t xml:space="preserve">Modern Handle 256mm </t>
    </r>
    <r>
      <rPr>
        <b/>
        <sz val="14"/>
        <rFont val="Arial"/>
        <family val="2"/>
      </rPr>
      <t>with 2 pc 8/32x1" screw</t>
    </r>
  </si>
  <si>
    <t>300.3216.256.MAL</t>
  </si>
  <si>
    <t>300.3216.256.MNL</t>
  </si>
  <si>
    <t>300.3216.256.MG</t>
  </si>
  <si>
    <t>300.3216.256.SG</t>
  </si>
  <si>
    <t>Modern Handle 256mm with 2 pc 8/32x1" screw</t>
  </si>
  <si>
    <r>
      <t>Modern Handle 128mm with 2</t>
    </r>
    <r>
      <rPr>
        <b/>
        <sz val="14"/>
        <rFont val="Arial"/>
        <family val="2"/>
      </rPr>
      <t xml:space="preserve"> pc 8/32x1" screw</t>
    </r>
  </si>
  <si>
    <t>EVERSTYLE DRAWERS AND BASKETS w/Decorative Hardware</t>
  </si>
  <si>
    <t>Wall Mount Organizer, Shoe Hook, Matte Nickel</t>
  </si>
  <si>
    <t>*Ground, Free Freight &gt; $3500</t>
  </si>
  <si>
    <t>300.3216.256</t>
  </si>
  <si>
    <t>300.3240.256.MNL</t>
  </si>
  <si>
    <t>T-Bar Handle, 256mm W, 192mm CTC, Matte Nickel</t>
  </si>
  <si>
    <t>300.3240.256.CR</t>
  </si>
  <si>
    <t>T-Bar Handle, 256mm W, 192mm CTC, Chrome</t>
  </si>
  <si>
    <t>300.3240.416.MNL</t>
  </si>
  <si>
    <t>T-Bar Handle, 416mm W, 352mm CTC, Matte Nickel</t>
  </si>
  <si>
    <t>300.3240.416.CR</t>
  </si>
  <si>
    <t>T-Bar Handle, 416mm W, 352mm CTC, Chrome</t>
  </si>
  <si>
    <t>300.3240.576.MNL</t>
  </si>
  <si>
    <t>T-Bar Handle, 576mm W, 512mm CTC, Matte Nickel</t>
  </si>
  <si>
    <t>300.3240.576.CR</t>
  </si>
  <si>
    <t>T-Bar Handle, 576mm W, 512mm CTC, Chrome</t>
  </si>
  <si>
    <t>310.8520.WH</t>
  </si>
  <si>
    <t>Wall Mount Organizer, Pencil Holder, White</t>
  </si>
  <si>
    <t>310.8521.WH</t>
  </si>
  <si>
    <t>Wall Mount Organizer, Paper Tray, White</t>
  </si>
  <si>
    <t>310.8522.3.WH</t>
  </si>
  <si>
    <t>Wall Mount Organizer, Pencil Tray with Containers, White</t>
  </si>
  <si>
    <t>310.8524.WH</t>
  </si>
  <si>
    <t>Wall Mount Organizer, Tablet Stand with Glass whiteboard, White</t>
  </si>
  <si>
    <t>310.8207.MAL</t>
  </si>
  <si>
    <t>Wall Mount Organizer, Extension Attachment (set of 4) - Matte Aluminum</t>
  </si>
  <si>
    <t>310.8207.MNL</t>
  </si>
  <si>
    <t>Wall Mount Organizer, Extension Attachment (set of 4) - Matte Nickel</t>
  </si>
  <si>
    <t>310.8207.MG</t>
  </si>
  <si>
    <t>310.8207.SG</t>
  </si>
  <si>
    <t>Wall Mount Organizer, Extension Attachment (set of 4) - Graphite</t>
  </si>
  <si>
    <t>300.3030.CR</t>
  </si>
  <si>
    <t>Round Pole Cups, Chrome (Pairs)</t>
  </si>
  <si>
    <t>300.3030.MAL</t>
  </si>
  <si>
    <t>Round Pole Cups, Matte Aluminum  (Pairs)</t>
  </si>
  <si>
    <t>90.2109.18.BLK</t>
  </si>
  <si>
    <t>Everstyle Drawer Front</t>
  </si>
  <si>
    <t>90.2109.24.BLK</t>
  </si>
  <si>
    <t>90.2109.30.BLK</t>
  </si>
  <si>
    <t>90.2109.36.BLK</t>
  </si>
  <si>
    <t>90.973.CR</t>
  </si>
  <si>
    <t>Color Sample, aluminum, Chrome</t>
  </si>
  <si>
    <t>90.973.MAL</t>
  </si>
  <si>
    <t>Color Sample, aluminum, Matte Aluminum</t>
  </si>
  <si>
    <t>90.973.MG</t>
  </si>
  <si>
    <t>Color Sample, aluminum, Gold</t>
  </si>
  <si>
    <t>90.973.MNL</t>
  </si>
  <si>
    <t>Color Sample, aluminum, Matte Nickel</t>
  </si>
  <si>
    <t>90.973.SG</t>
  </si>
  <si>
    <t>Color Sample, aluminum, Graphite</t>
  </si>
  <si>
    <t>90.975.CC.CR</t>
  </si>
  <si>
    <t>Color Sample, zinc, with CC logo, Chrome</t>
  </si>
  <si>
    <t>90.975.CC.MAL</t>
  </si>
  <si>
    <t>Color Sample, zinc, with CC logo, Matte Aluminum</t>
  </si>
  <si>
    <t>90.975.CC.MG</t>
  </si>
  <si>
    <t>Color Sample, zinc, with CC logo, Gold</t>
  </si>
  <si>
    <t>90.975.CC.MNL</t>
  </si>
  <si>
    <t>Color Sample, zinc, with CC logo, Matte Nickel</t>
  </si>
  <si>
    <t>90.975.CC.SG</t>
  </si>
  <si>
    <t>Color Sample, zinc, with CC logo, Graphite</t>
  </si>
  <si>
    <t>Wall Mount Organizer, Extension Attachment (set of 4) - Gold</t>
  </si>
  <si>
    <t>310.2335.OYS.MAL</t>
  </si>
  <si>
    <t>Everstyle Ring Holder OYS / MAL</t>
  </si>
  <si>
    <t>310.2335.OYS.MG</t>
  </si>
  <si>
    <t>Everstyle Ring Holder OYS / MG</t>
  </si>
  <si>
    <t>310.2335.OYS.SG</t>
  </si>
  <si>
    <t>Everstyle Ring Holder OYS / SG</t>
  </si>
  <si>
    <t>310.2335.PWT.MAL</t>
  </si>
  <si>
    <t>Everstyle Ring Holder PWT / MAL</t>
  </si>
  <si>
    <t>310.2335.PWT.MG</t>
  </si>
  <si>
    <t>Everstyle Ring Holder PWT / MG</t>
  </si>
  <si>
    <t>310.2335.PWT.SG</t>
  </si>
  <si>
    <t>Everstyle Ring Holder PWT / SG</t>
  </si>
  <si>
    <t>310.2335.WIN.MAL</t>
  </si>
  <si>
    <t>Everstyle Ring Holder WIN / MAL</t>
  </si>
  <si>
    <t>310.2335.WIN.MG</t>
  </si>
  <si>
    <t>Everstyle Ring Holder WIN / MG</t>
  </si>
  <si>
    <t>310.2335.WIN.SG</t>
  </si>
  <si>
    <t>Everstyle Ring Holder WIN / SG</t>
  </si>
  <si>
    <t>310.2336.OYS</t>
  </si>
  <si>
    <t xml:space="preserve">Everstyle Watch Holder OYS </t>
  </si>
  <si>
    <t>310.2336.PWT</t>
  </si>
  <si>
    <t>Everstyle Watch Holder PWT</t>
  </si>
  <si>
    <t>310.2336.WIN</t>
  </si>
  <si>
    <t>Everstyle Watch Holder WIN</t>
  </si>
  <si>
    <t>310.2110.OYS.MAL</t>
  </si>
  <si>
    <t>Everstyle Divider OYS / MAL</t>
  </si>
  <si>
    <t>310.2110.OYS.MG</t>
  </si>
  <si>
    <t>Everstyle Divider OYS / MG</t>
  </si>
  <si>
    <t>310.2110.OYS.SG</t>
  </si>
  <si>
    <t>Everstyle Divider OYS / SG</t>
  </si>
  <si>
    <t>310.2110.PWT.MAL</t>
  </si>
  <si>
    <t>Everstyle Divider PWT / MAL</t>
  </si>
  <si>
    <t>310.2110.PWT.MG</t>
  </si>
  <si>
    <t>Everstyle Divider PWT / MG</t>
  </si>
  <si>
    <t>310.2110.PWT.SG</t>
  </si>
  <si>
    <t>Everstyle Divider PWT / SG</t>
  </si>
  <si>
    <t>310.2110.WIN.MAL</t>
  </si>
  <si>
    <t>Everstyle Divider WIN / MAL</t>
  </si>
  <si>
    <t>310.2110.WIN.MG</t>
  </si>
  <si>
    <t>Everstyle Divider WIN / MG</t>
  </si>
  <si>
    <t>310.2110.WIN.SG</t>
  </si>
  <si>
    <t>Everstyle Divider WIN / SG</t>
  </si>
  <si>
    <t>310.2111.OYS.MAL</t>
  </si>
  <si>
    <t>Everstyle Mini Slider OYS / MAL</t>
  </si>
  <si>
    <t>310.2111.OYS.MG</t>
  </si>
  <si>
    <t>Everstyle Mini Slider OYS / MG</t>
  </si>
  <si>
    <t>310.2111.OYS.SG</t>
  </si>
  <si>
    <t>Everstyle Mini Slider OYS / SG</t>
  </si>
  <si>
    <t>310.2111.PWT.MAL</t>
  </si>
  <si>
    <t>Everstyle Mini Slider PWT / MAL</t>
  </si>
  <si>
    <t>310.2111.PWT.MG</t>
  </si>
  <si>
    <t>Everstyle Mini Slider PWT / MG</t>
  </si>
  <si>
    <t>310.2111.PWT.SG</t>
  </si>
  <si>
    <t>Everstyle Mini Slider PWT / SG</t>
  </si>
  <si>
    <t>310.2111.WIN.MAL</t>
  </si>
  <si>
    <t>Everstyle Mini Slider WIN / MAL</t>
  </si>
  <si>
    <t>310.2111.WIN.MG</t>
  </si>
  <si>
    <t>Everstyle Mini Slider WIN / MG</t>
  </si>
  <si>
    <t>310.2111.WIN.SG</t>
  </si>
  <si>
    <t>Everstyle Mini Slider WIN / SG</t>
  </si>
  <si>
    <t>Global Logistic Surcharge Excempt</t>
  </si>
  <si>
    <t>x</t>
  </si>
  <si>
    <t>300.3150.18.BLK</t>
  </si>
  <si>
    <t>300.3150.24.BLK</t>
  </si>
  <si>
    <t>300.3150.30.BLK</t>
  </si>
  <si>
    <t>Utility Hook 14"  Heavy Duty</t>
  </si>
  <si>
    <t>Everstyle Glass Front - short 18" W</t>
  </si>
  <si>
    <t>Everstyle Glass Front - short 24" W</t>
  </si>
  <si>
    <t>Everstyle Glass Front - short 30" W</t>
  </si>
  <si>
    <t>Everstyle Glass Front - short 36" W</t>
  </si>
  <si>
    <t>Everstyle Glass Front - tall 18" W</t>
  </si>
  <si>
    <t>Everstyle Glass Front - tall 24" W</t>
  </si>
  <si>
    <t>Everstyle Glass Front - tall 30" W</t>
  </si>
  <si>
    <t>Everstyle Glass Front - tall 36" W</t>
  </si>
  <si>
    <t>300.3108.BLK</t>
  </si>
  <si>
    <t>300.3110.BLK</t>
  </si>
  <si>
    <t>300.3130.BLK</t>
  </si>
  <si>
    <t>300.3148.BLK</t>
  </si>
  <si>
    <t>300.3140.BLK</t>
  </si>
  <si>
    <t>300.3143.BLK</t>
  </si>
  <si>
    <t>300.3044.BLK</t>
  </si>
  <si>
    <t>300.3045.BLK</t>
  </si>
  <si>
    <t>300.3036.BLK</t>
  </si>
  <si>
    <t>300.3038.BLK</t>
  </si>
  <si>
    <t>300.3039.BLK</t>
  </si>
  <si>
    <t>300.3047.BLK</t>
  </si>
  <si>
    <t>300.3037.BLK</t>
  </si>
  <si>
    <t>310.3000.12.BLK</t>
  </si>
  <si>
    <t>310.3010.12.BLK</t>
  </si>
  <si>
    <t>310.3020.12.BLK</t>
  </si>
  <si>
    <t>310.3080.12.BLK</t>
  </si>
  <si>
    <t>310.3000.14.BLK</t>
  </si>
  <si>
    <t>310.3010.14.BLK</t>
  </si>
  <si>
    <t>310.3020.14.BLK</t>
  </si>
  <si>
    <t>310.3080.14.BLK</t>
  </si>
  <si>
    <t>310.3000.18.BLK</t>
  </si>
  <si>
    <t>310.3010.18.BLK</t>
  </si>
  <si>
    <t>310.3080.18.BLK</t>
  </si>
  <si>
    <t>300.3162.BLK</t>
  </si>
  <si>
    <t>300.3164.BLK</t>
  </si>
  <si>
    <t>300.3166.BLK</t>
  </si>
  <si>
    <t>300.3168.BLK</t>
  </si>
  <si>
    <t>300.3171.BLK</t>
  </si>
  <si>
    <t>300.3160.BLK</t>
  </si>
  <si>
    <t>300.3170.BLK</t>
  </si>
  <si>
    <t>300.3169.BLK</t>
  </si>
  <si>
    <t>300.3175.BLK</t>
  </si>
  <si>
    <t>300.3212.000.BLK</t>
  </si>
  <si>
    <t>300.3213.016.BLK</t>
  </si>
  <si>
    <t>300.3214.000.BLK</t>
  </si>
  <si>
    <t>300.3215.000.BLK</t>
  </si>
  <si>
    <t>300.3217.016.BLK</t>
  </si>
  <si>
    <t>300.3212.160.BLK</t>
  </si>
  <si>
    <t>300.3213.160.BLK</t>
  </si>
  <si>
    <t>300.3214.128.BLK</t>
  </si>
  <si>
    <t>300.3215.096.BLK</t>
  </si>
  <si>
    <t>300.3215.128.BLK</t>
  </si>
  <si>
    <t>300.3215.192.BLK</t>
  </si>
  <si>
    <t>300.3216.128.BLK</t>
  </si>
  <si>
    <t>Modern Handle 128 mm with 2 pc 8/32x1" screw</t>
  </si>
  <si>
    <t>300.3217.128.BLK</t>
  </si>
  <si>
    <t>300.3226.075.BLK</t>
  </si>
  <si>
    <t>300.3226.225.BLK</t>
  </si>
  <si>
    <t>300.3226.469.BLK</t>
  </si>
  <si>
    <t>300.3226.622.BLK</t>
  </si>
  <si>
    <t>300.3226.774.BLK</t>
  </si>
  <si>
    <t>300.3226.927.BLK</t>
  </si>
  <si>
    <t>300.3092.BLK</t>
  </si>
  <si>
    <t>300.3190.BLK</t>
  </si>
  <si>
    <t>300.3191.BLK</t>
  </si>
  <si>
    <t>300.3192.BLK</t>
  </si>
  <si>
    <t>300.3193.BLK</t>
  </si>
  <si>
    <t>300.3194.BLK</t>
  </si>
  <si>
    <t>300.3195.BLK</t>
  </si>
  <si>
    <t>300.3196.BLK</t>
  </si>
  <si>
    <t>300.3097.BLK</t>
  </si>
  <si>
    <t>300.3430.BLK</t>
  </si>
  <si>
    <t>300.3430.35.BLK</t>
  </si>
  <si>
    <t>Mirror 3 ft - Full Rotation</t>
  </si>
  <si>
    <t>300.3420.48.BLK</t>
  </si>
  <si>
    <t>300.3420.35.BLK</t>
  </si>
  <si>
    <t>300.3606.BLK</t>
  </si>
  <si>
    <t>300.3607.BLK</t>
  </si>
  <si>
    <t>300.3608.BLK</t>
  </si>
  <si>
    <t>300.3615.BLK</t>
  </si>
  <si>
    <t>300.3616.BLK</t>
  </si>
  <si>
    <t>300.3625.BLK</t>
  </si>
  <si>
    <t>310.6110.18.BEA.BLK</t>
  </si>
  <si>
    <t>310.6110.18.SLA.BLK</t>
  </si>
  <si>
    <t>310.6110.24.BEA.BLK</t>
  </si>
  <si>
    <t>310.6110.24.SLA.BLK</t>
  </si>
  <si>
    <t>310.6110.30.BEA.BLK</t>
  </si>
  <si>
    <t>310.6110.30.SLA.BLK</t>
  </si>
  <si>
    <t>310.6110.36.BEA.BLK</t>
  </si>
  <si>
    <t>310.6110.36.SLA.BLK</t>
  </si>
  <si>
    <t>310.6170.18.BLK</t>
  </si>
  <si>
    <t>310.6170.24.BLK</t>
  </si>
  <si>
    <t>310.6170.30.BLK</t>
  </si>
  <si>
    <t>310.6170.36.BLK</t>
  </si>
  <si>
    <t>310.6180.14.BLK</t>
  </si>
  <si>
    <t>310.6320.18.BEA.BLK</t>
  </si>
  <si>
    <t>310.6320.18.SLA.BLK</t>
  </si>
  <si>
    <t>310.6320.24.BEA.BLK</t>
  </si>
  <si>
    <t>310.6320.24.SLA.BLK</t>
  </si>
  <si>
    <t>310.6320.30.BEA.BLK</t>
  </si>
  <si>
    <t>310.6320.30.SLA.BLK</t>
  </si>
  <si>
    <t>310.6320.36.BEA.BLK</t>
  </si>
  <si>
    <t>310.6320.36.SLA.BLK</t>
  </si>
  <si>
    <t>310.6380.18.BEA.BLK</t>
  </si>
  <si>
    <t>310.6380.18.SLA.BLK</t>
  </si>
  <si>
    <t>310.6380.24.BEA.BLK</t>
  </si>
  <si>
    <t>310.6380.24.SLA.BLK</t>
  </si>
  <si>
    <t>310.6380.30.BEA.BLK</t>
  </si>
  <si>
    <t>310.6380.30.SLA.BLK</t>
  </si>
  <si>
    <t>310.6380.36.BEA.BLK</t>
  </si>
  <si>
    <t>310.6380.36.SLA.BLK</t>
  </si>
  <si>
    <t>310.6410.18.BEA.BLK</t>
  </si>
  <si>
    <t>310.6410.18.SLA.BLK</t>
  </si>
  <si>
    <t>310.6410.24.BEA.BLK</t>
  </si>
  <si>
    <t>310.6410.24.SLA.BLK</t>
  </si>
  <si>
    <t>310.6410.30.BEA.BLK</t>
  </si>
  <si>
    <t>310.6410.30.SLA.BLK</t>
  </si>
  <si>
    <t>310.6410.36.BEA.BLK</t>
  </si>
  <si>
    <t>310.6410.36.SLA.BLK</t>
  </si>
  <si>
    <t>310.6530.18.BEA.BLK</t>
  </si>
  <si>
    <t>310.6530.18.SLA.BLK</t>
  </si>
  <si>
    <t>310.6530.24.BEA.BLK</t>
  </si>
  <si>
    <t>310.6530.24.SLA.BLK</t>
  </si>
  <si>
    <t>310.6530.30.BEA.BLK</t>
  </si>
  <si>
    <t>310.6530.30.SLA.BLK</t>
  </si>
  <si>
    <t>310.6530.36.BEA.BLK</t>
  </si>
  <si>
    <t>310.6530.36.SLA.BLK</t>
  </si>
  <si>
    <t>310.6540.18.BEA.BLK</t>
  </si>
  <si>
    <t>310.6540.18.SLA.BLK</t>
  </si>
  <si>
    <t>310.6540.24.BEA.BLK</t>
  </si>
  <si>
    <t>310.6540.24.SLA.BLK</t>
  </si>
  <si>
    <t>310.6540.30.BEA.BLK</t>
  </si>
  <si>
    <t>310.6540.30.SLA.BLK</t>
  </si>
  <si>
    <t>310.6540.36.BEA.BLK</t>
  </si>
  <si>
    <t>310.6540.36.SLA.BLK</t>
  </si>
  <si>
    <t>300.3216.256.BLK</t>
  </si>
  <si>
    <t>300.3240.256.BLK</t>
  </si>
  <si>
    <t>T-Bar Handle, 256mm W, 192mm CTC, Black</t>
  </si>
  <si>
    <t>300.3240.416.BLK</t>
  </si>
  <si>
    <t>T-Bar Handle, 416mm W, 352mm CTC, Black</t>
  </si>
  <si>
    <t>300.3240.576.BLK</t>
  </si>
  <si>
    <t>T-Bar Handle, 576mm W, 512mm CTC, Black</t>
  </si>
  <si>
    <t>310.8201.05.BLK</t>
  </si>
  <si>
    <t>Wall Mount Organizer, Triple Hook, Black</t>
  </si>
  <si>
    <t>310.8215.BLK</t>
  </si>
  <si>
    <t>Wall Mount Organizer, Coat Hook, Black</t>
  </si>
  <si>
    <t>310.8218.05.BLK</t>
  </si>
  <si>
    <t>Wall Mount Organizer, Shoe Hook, Black</t>
  </si>
  <si>
    <t>310.8319.BLK</t>
  </si>
  <si>
    <t>Wall Mount Organizer, 19" H Vertical, Black (pair)</t>
  </si>
  <si>
    <t>310.8342.BLK</t>
  </si>
  <si>
    <t>Wall Mount Organizer, 42" H Vertical, Black (pair)</t>
  </si>
  <si>
    <t>310.8366.BLK</t>
  </si>
  <si>
    <t>Wall Mount Organizer, 66" H Vertical, Black (pair)</t>
  </si>
  <si>
    <t>310.8207.BLK</t>
  </si>
  <si>
    <t>Wall Mount Organizer, Extension Attachment (set of 4) - Black</t>
  </si>
  <si>
    <t>90.973.BLK</t>
  </si>
  <si>
    <t>90.975.CC.BLK</t>
  </si>
  <si>
    <t>Warranty</t>
  </si>
  <si>
    <t>TAG warrants for a period of 1 year from the date of shipment that the goods supplied to Buyer will be of good materials and workmanship and, when properly installed and used, will be fit for the ordinary purpose or purposes indicated in TAG’s Product Specifications and/or to any other specifications supplied by TAG.  TAG will repair, provide the Buyer with a replacement, or credit the Buyer’s account for defective goods sold by TAG.</t>
  </si>
  <si>
    <t>TAG makes no warranty for: (a) goods sold by TAG to Buyer for other than resale; or (b) any display goods sold by TAG to Buyer.  THE FOREGOING WARRANTIES ARE EXCLUSIVE, AND IN LIEU OF ALL OTHER WARRANTIES, EXPRESS, IMPLIED OR STATUTORY, WRITTEN OR ORAL, INCLUDING, BUT NOT LIMITED TO, ANY IMPLIED WARRANTY OF MERCHANTABILITY OR FITNESS FOR ANY PARTICULAR PURPOSE. TAG DOES NOT ASSUME, NOR AUTHORIZE, ANY REPRESENTATIVE OR OTHER PERSON TO ASSUME FOR IT, ANY OBLIGATION OR LIABILITY OTHER THAN AS EXPRESSLY SET FORTH HEREIN.</t>
  </si>
  <si>
    <t>300.3219.000.BLK</t>
  </si>
  <si>
    <t>Elite Traditional Round Knob BLK w screw</t>
  </si>
  <si>
    <t>300.3219.000.CR</t>
  </si>
  <si>
    <t>Elite Traditional Round Knob CR w screw</t>
  </si>
  <si>
    <t>300.3219.000.MAL</t>
  </si>
  <si>
    <t>Elite Traditional Round Knob MAL w screw</t>
  </si>
  <si>
    <t>300.3219.000.MG</t>
  </si>
  <si>
    <t>Elite Traditional Round Knob MG w screw</t>
  </si>
  <si>
    <t>300.3219.000.MNL</t>
  </si>
  <si>
    <t>Elite Traditional Round Knob MNL w screw</t>
  </si>
  <si>
    <t>300.3219.000.SG</t>
  </si>
  <si>
    <t>Elite Traditional Round Knob SG w screw</t>
  </si>
  <si>
    <t>300.3219.128.CR</t>
  </si>
  <si>
    <t>Elite Traditional Round Handle 128mm CR w screw</t>
  </si>
  <si>
    <t>300.3219.128.MAL</t>
  </si>
  <si>
    <t>Elite Traditional Round Handle 128mm MAL w screw</t>
  </si>
  <si>
    <t>300.3219.128.MG</t>
  </si>
  <si>
    <t>Elite Traditional Round Handle 128mm MG w screw</t>
  </si>
  <si>
    <t>300.3219.128.MNL</t>
  </si>
  <si>
    <t>Elite Traditional Round Handle 128mm MNL w screw</t>
  </si>
  <si>
    <t>300.3219.128.BLK</t>
  </si>
  <si>
    <t>Elite Traditional Round Handle 128mm BLK w screw</t>
  </si>
  <si>
    <t>300.3219.128.SG</t>
  </si>
  <si>
    <t>Elite Traditional Round Handle 128mm SG w screw</t>
  </si>
  <si>
    <t>300.3219.256.CR</t>
  </si>
  <si>
    <t>Elite Traditional Round Handle 256mm CR w screw</t>
  </si>
  <si>
    <t>300.3219.256.MAL</t>
  </si>
  <si>
    <t>Elite Traditional Round Handle 256mm MAL w screw</t>
  </si>
  <si>
    <t>300.3219.256.MG</t>
  </si>
  <si>
    <t>Elite Traditional Round Handle 256mm MG w screw</t>
  </si>
  <si>
    <t>300.3219.256.MNL</t>
  </si>
  <si>
    <t>Elite Traditional Round Handle 256mm MNL w screw</t>
  </si>
  <si>
    <t>300.3219.256.BLK</t>
  </si>
  <si>
    <t>Elite Traditional Round Handle 256mm BLK w screw</t>
  </si>
  <si>
    <t>300.3219.256.SG</t>
  </si>
  <si>
    <t>Elite Traditional Round Handle 256mm SG w screw</t>
  </si>
  <si>
    <t>300.3219.352.CR</t>
  </si>
  <si>
    <t>Elite Traditional Round Handle 352mm CR w screw</t>
  </si>
  <si>
    <t>300.3219.352.MAL</t>
  </si>
  <si>
    <t>Elite Traditional Round Handle 352mm MAL w screw</t>
  </si>
  <si>
    <t>300.3219.352.MG</t>
  </si>
  <si>
    <t>Elite Traditional Round Handle 352mm MG w screw</t>
  </si>
  <si>
    <t>300.3219.352.MNL</t>
  </si>
  <si>
    <t>Elite Traditional Round Handle 352mm MNL w screw</t>
  </si>
  <si>
    <t>300.3219.352.BLK</t>
  </si>
  <si>
    <t>Elite Traditional Round Handle 352mm BLK w screw</t>
  </si>
  <si>
    <t>300.3219.352.SG</t>
  </si>
  <si>
    <t>Elite Traditional Round Handle 352mm SG w screw</t>
  </si>
  <si>
    <t>300.3057.36.OYS</t>
  </si>
  <si>
    <t>Round Leather Pole 35.75" OYS</t>
  </si>
  <si>
    <t>300.3057.36.PWT</t>
  </si>
  <si>
    <t>Round Leather Pole 35.75" PWT</t>
  </si>
  <si>
    <t>300.3057.36.WIN</t>
  </si>
  <si>
    <t>Round Leather Pole 35.75" WIN</t>
  </si>
  <si>
    <t>300.3058.BLK</t>
  </si>
  <si>
    <t>Round Suspended End Support BLK</t>
  </si>
  <si>
    <t>300.3058.CR</t>
  </si>
  <si>
    <t>Round Suspended End Support CR</t>
  </si>
  <si>
    <t>300.3058.MAL</t>
  </si>
  <si>
    <t>Round Suspended End Support MAL</t>
  </si>
  <si>
    <t>300.3058.MG</t>
  </si>
  <si>
    <t>Round Suspended End Support MG</t>
  </si>
  <si>
    <t>300.3058.MNL</t>
  </si>
  <si>
    <t>Round Suspended End Support MNL</t>
  </si>
  <si>
    <t>300.3058.SG</t>
  </si>
  <si>
    <t>Round Suspended End Support SG</t>
  </si>
  <si>
    <t>204.00015.B0001.00</t>
  </si>
  <si>
    <t>204.00062.B0006.00</t>
  </si>
  <si>
    <t>204.00063.B0006.00</t>
  </si>
  <si>
    <t>204.00064.B0006.00</t>
  </si>
  <si>
    <t>305.00007.B0001.00</t>
  </si>
  <si>
    <t>Mirror 4 ft - Fixed</t>
  </si>
  <si>
    <t>305.00006.B0001.00</t>
  </si>
  <si>
    <t>Mirror 3 ft - Fixed</t>
  </si>
  <si>
    <t>*Toggler SNAPTOGGLE 1/4 inch</t>
  </si>
  <si>
    <t>305.00007.B0008.00</t>
  </si>
  <si>
    <t>305.00006.B0008.00</t>
  </si>
  <si>
    <t>305.00007.B0009.00</t>
  </si>
  <si>
    <t>305.00006.B0009.00</t>
  </si>
  <si>
    <t>MADDOX SINGLE BAR</t>
  </si>
  <si>
    <t>310.8300.13.BLK.OYS</t>
  </si>
  <si>
    <t>13" Maddox Single-bar Organizer BLK/OYS</t>
  </si>
  <si>
    <t>BLK/OYS</t>
  </si>
  <si>
    <t>310.8300.13.BLK.PWT</t>
  </si>
  <si>
    <t>13" Maddox Single-bar Organizer BLK/PWT</t>
  </si>
  <si>
    <t>BLK/PWT</t>
  </si>
  <si>
    <t>310.8300.13.BLK.WIN</t>
  </si>
  <si>
    <t>13" Maddox Single-bar Organizer BLK/WIN</t>
  </si>
  <si>
    <t>BLK/WIN</t>
  </si>
  <si>
    <t>310.8300.13.MAL.OYS</t>
  </si>
  <si>
    <t>13" Maddox Single-bar Organizer MAL/OYS</t>
  </si>
  <si>
    <t>MAL/OYS</t>
  </si>
  <si>
    <t>310.8300.13.MAL.PWT</t>
  </si>
  <si>
    <t>13" Maddox Single-bar Organizer MAL/PWT</t>
  </si>
  <si>
    <t>MAL/PWT</t>
  </si>
  <si>
    <t>310.8300.13.MAL.WIN</t>
  </si>
  <si>
    <t>13" Maddox Single-bar Organizer MAL/WIN</t>
  </si>
  <si>
    <t>MAL/WIN</t>
  </si>
  <si>
    <t>310.8300.13.MG.OYS</t>
  </si>
  <si>
    <t>13" Maddox Single-bar Organizer MG/OYS</t>
  </si>
  <si>
    <t xml:space="preserve"> MG/OYS</t>
  </si>
  <si>
    <t>310.8300.13.MG.PWT</t>
  </si>
  <si>
    <t>13" Maddox Single-bar Organizer MG/PWT</t>
  </si>
  <si>
    <t>MG/PWT</t>
  </si>
  <si>
    <t>310.8300.13.MG.WIN</t>
  </si>
  <si>
    <t>13" Maddox Single-bar Organizer MG/WIN</t>
  </si>
  <si>
    <t>MG/WIN</t>
  </si>
  <si>
    <t>310.8300.13.MNL.OYS</t>
  </si>
  <si>
    <t>13" Maddox Single-bar Organizer MNL/OYS</t>
  </si>
  <si>
    <t>MNL/OYS</t>
  </si>
  <si>
    <t>310.8300.13.MNL.PWT</t>
  </si>
  <si>
    <t>13" Maddox Single-bar Organizer MNL/PWT</t>
  </si>
  <si>
    <t>MNL/PWT</t>
  </si>
  <si>
    <t>310.8300.13.MNL.WIN</t>
  </si>
  <si>
    <t>13" Maddox Single-bar Organizer MNL/WIN</t>
  </si>
  <si>
    <t>MNL/WIN</t>
  </si>
  <si>
    <t>310.8300.13.SG.OYS</t>
  </si>
  <si>
    <t>13" Maddox Single-bar Organizer SG/OYS</t>
  </si>
  <si>
    <t>SG/OYS</t>
  </si>
  <si>
    <t>310.8300.13.SG.PWT</t>
  </si>
  <si>
    <t>13" Maddox Single-bar Organizer SG/PWT</t>
  </si>
  <si>
    <t>SG/PWT</t>
  </si>
  <si>
    <t>310.8300.13.SG.WIN</t>
  </si>
  <si>
    <t>13" Maddox Single-bar Organizer SG/WIN</t>
  </si>
  <si>
    <t>SG/WIN</t>
  </si>
  <si>
    <t>310.8300.23.BLK.OYS</t>
  </si>
  <si>
    <t>23" Maddox Single-bar Organizer BLK/OYS</t>
  </si>
  <si>
    <t>310.8300.23.BLK.PWT</t>
  </si>
  <si>
    <t>23" Maddox Single-bar Organizer BLK/PWT</t>
  </si>
  <si>
    <t>310.8300.23.BLK.WIN</t>
  </si>
  <si>
    <t>23" Maddox Single-bar Organizer BLK/WIN</t>
  </si>
  <si>
    <t>310.8300.23.MAL.OYS</t>
  </si>
  <si>
    <t>23" Maddox Single-bar Organizer MAL/OYS</t>
  </si>
  <si>
    <t>310.8300.23.MAL.PWT</t>
  </si>
  <si>
    <t>23" Maddox Single-bar Organizer MAL/PWT</t>
  </si>
  <si>
    <t>310.8300.23.MAL.WIN</t>
  </si>
  <si>
    <t>23" Maddox Single-bar Organizer MAL/WIN</t>
  </si>
  <si>
    <t>310.8300.23.MG.OYS</t>
  </si>
  <si>
    <t>23" Maddox Single-bar Organizer MG/OYS</t>
  </si>
  <si>
    <t>MG/OYS</t>
  </si>
  <si>
    <t>310.8300.23.MG.PWT</t>
  </si>
  <si>
    <t>23" Maddox Single-bar Organizer MG/PWT</t>
  </si>
  <si>
    <t>310.8300.23.MG.WIN</t>
  </si>
  <si>
    <t>23" Maddox Single-bar Organizer MG/WIN</t>
  </si>
  <si>
    <t>310.8300.23.MNL.OYS</t>
  </si>
  <si>
    <t>23" Maddox Single-bar Organizer MNL/OYS</t>
  </si>
  <si>
    <t>310.8300.23.MNL.PWT</t>
  </si>
  <si>
    <t>23" Maddox Single-bar Organizer MNL/PWT</t>
  </si>
  <si>
    <t>310.8300.23.MNL.WIN</t>
  </si>
  <si>
    <t>23" Maddox Single-bar Organizer MNL/WIN</t>
  </si>
  <si>
    <t>310.8300.23.SG.OYS</t>
  </si>
  <si>
    <t>23" Maddox Single-bar Organizer SG/OYS</t>
  </si>
  <si>
    <t>310.8300.23.SG.PWT</t>
  </si>
  <si>
    <t>23" Maddox Single-bar Organizer SG/PWT</t>
  </si>
  <si>
    <t>310.8300.23.SG.WIN</t>
  </si>
  <si>
    <t>23" Maddox Single-bar Organizer SG/WIN</t>
  </si>
  <si>
    <t>310.8300.35.BLK.OYS</t>
  </si>
  <si>
    <t>35" Maddox Single-bar Organizer BLK/OYS</t>
  </si>
  <si>
    <t>310.8300.35.BLK.PWT</t>
  </si>
  <si>
    <t>35" Maddox Single-bar Organizer BLK/PWT</t>
  </si>
  <si>
    <t>310.8300.35.BLK.WIN</t>
  </si>
  <si>
    <t>35" Maddox Single-bar Organizer BLK/WIN</t>
  </si>
  <si>
    <t>310.8300.35.MAL.OYS</t>
  </si>
  <si>
    <t>35" Maddox Single-bar Organizer MAL/OYS</t>
  </si>
  <si>
    <t>310.8300.35.MAL.PWT</t>
  </si>
  <si>
    <t>35" Maddox Single-bar Organizer MAL/PWT</t>
  </si>
  <si>
    <t>310.8300.35.MAL.WIN</t>
  </si>
  <si>
    <t>35" Maddox Single-bar Organizer MAL/WIN</t>
  </si>
  <si>
    <t>310.8300.35.MG.OYS</t>
  </si>
  <si>
    <t>35" Maddox Single-bar Organizer MG/OYS</t>
  </si>
  <si>
    <t>310.8300.35.MG.PWT</t>
  </si>
  <si>
    <t>35" Maddox Single-bar Organizer MG/PWT</t>
  </si>
  <si>
    <t>310.8300.35.MG.WIN</t>
  </si>
  <si>
    <t>35" Maddox Single-bar Organizer MG/WIN</t>
  </si>
  <si>
    <t>310.8300.35.MNL.OYS</t>
  </si>
  <si>
    <t>35" Maddox Single-bar Organizer MNL/OYS</t>
  </si>
  <si>
    <t>310.8300.35.MNL.PWT</t>
  </si>
  <si>
    <t>35" Maddox Single-bar Organizer MNL/PWT</t>
  </si>
  <si>
    <t>310.8300.35.MNL.WIN</t>
  </si>
  <si>
    <t>35" Maddox Single-bar Organizer MNL/WIN</t>
  </si>
  <si>
    <t>310.8300.35.SG.OYS</t>
  </si>
  <si>
    <t>35" Maddox Single-bar Organizer SG/OYS</t>
  </si>
  <si>
    <t>310.8300.35.SG.PWT</t>
  </si>
  <si>
    <t>35" Maddox Single-bar Organizer SG/PWT</t>
  </si>
  <si>
    <t>310.8300.35.SG.WIN</t>
  </si>
  <si>
    <t>35" Maddox Single-bar Organizer SG/WIN</t>
  </si>
  <si>
    <t>310.8300.47.BLK.OYS</t>
  </si>
  <si>
    <t>47" Maddox Single-bar Organizer BLK/OYS</t>
  </si>
  <si>
    <t>310.8300.47.BLK.PWT</t>
  </si>
  <si>
    <t>47" Maddox Single-bar Organizer BLK/PWT</t>
  </si>
  <si>
    <t>310.8300.47.BLK.WIN</t>
  </si>
  <si>
    <t>47" Maddox Single-bar Organizer BLK/WIN</t>
  </si>
  <si>
    <t>310.8300.47.MAL.OYS</t>
  </si>
  <si>
    <t>47" Maddox Single-bar Organizer MAL/OYS</t>
  </si>
  <si>
    <t>310.8300.47.MAL.PWT</t>
  </si>
  <si>
    <t>47" Maddox Single-bar Organizer MAL/PWT</t>
  </si>
  <si>
    <t>310.8300.47.MAL.WIN</t>
  </si>
  <si>
    <t>47" Maddox Single-bar Organizer MAL/WIN</t>
  </si>
  <si>
    <t>310.8300.47.MG.OYS</t>
  </si>
  <si>
    <t>47" Maddox Single-bar Organizer MG/OYS</t>
  </si>
  <si>
    <t>310.8300.47.MG.PWT</t>
  </si>
  <si>
    <t>47" Maddox Single-bar Organizer MG/PWT</t>
  </si>
  <si>
    <t>310.8300.47.MG.WIN</t>
  </si>
  <si>
    <t>47" Maddox Single-bar Organizer MG/WIN</t>
  </si>
  <si>
    <t>310.8300.47.MNL.OYS</t>
  </si>
  <si>
    <t>47" Maddox Single-bar Organizer MNL/OYS</t>
  </si>
  <si>
    <t>310.8300.47.MNL.PWT</t>
  </si>
  <si>
    <t>47" Maddox Single-bar Organizer MNL/PWT</t>
  </si>
  <si>
    <t>310.8300.47.MNL.WIN</t>
  </si>
  <si>
    <t>47" Maddox Single-bar Organizer MNL/WIN</t>
  </si>
  <si>
    <t>310.8300.47.SG.OYS</t>
  </si>
  <si>
    <t>47" Maddox Single-bar Organizer SG/OYS</t>
  </si>
  <si>
    <t>310.8300.47.SG.PWT</t>
  </si>
  <si>
    <t>47" Maddox Single-bar Organizer SG/PWT</t>
  </si>
  <si>
    <t>310.8300.47.SG.WIN</t>
  </si>
  <si>
    <t>47" Maddox Single-bar Organizer SG/WIN</t>
  </si>
  <si>
    <t>MADDOX 2- BAR</t>
  </si>
  <si>
    <t>310.8613.02.OYS</t>
  </si>
  <si>
    <t>13" Maddox Horizontal (2 pack) OYS</t>
  </si>
  <si>
    <t>310.8613.02.PWT</t>
  </si>
  <si>
    <t>13" Maddox Horizontal (2 pack) PWT</t>
  </si>
  <si>
    <t>310.8613.02.WIN</t>
  </si>
  <si>
    <t>13" Maddox Horizontal (2 pack) WIN</t>
  </si>
  <si>
    <t>310.8623.02.OYS</t>
  </si>
  <si>
    <t>23" Maddox Horizontal (2 pack) OYS</t>
  </si>
  <si>
    <t>310.8623.02.PWT</t>
  </si>
  <si>
    <t>23" Maddox Horizontal (2 pack) PWT</t>
  </si>
  <si>
    <t>310.8623.02.WIN</t>
  </si>
  <si>
    <t>23" Maddox Horizontal (2 pack) WIN</t>
  </si>
  <si>
    <t>310.8635.02.OYS</t>
  </si>
  <si>
    <t>35" Maddox Horizontal (2 pack) OYS</t>
  </si>
  <si>
    <t>310.8635.02.PWT</t>
  </si>
  <si>
    <t>35" Maddox Horizontal (2 pack) PWT</t>
  </si>
  <si>
    <t>310.8635.02.WIN</t>
  </si>
  <si>
    <t>35" Maddox Horizontal (2 pack) WIN</t>
  </si>
  <si>
    <t>310.8647.02.OYS</t>
  </si>
  <si>
    <t>47" Maddox Horizontal (2 pack) OYS</t>
  </si>
  <si>
    <t>310.8647.02.PWT</t>
  </si>
  <si>
    <t>47" Maddox Horizontal (2 pack) PWT</t>
  </si>
  <si>
    <t>310.8647.02.WIN</t>
  </si>
  <si>
    <t>47" Maddox Horizontal (2 pack) WIN</t>
  </si>
  <si>
    <t>310.8307.BLK</t>
  </si>
  <si>
    <t>7" Maddox Vertical (1 pair) BLK</t>
  </si>
  <si>
    <t>310.8307.MAL</t>
  </si>
  <si>
    <t>7" Maddox Vertical (1 pair) MAL</t>
  </si>
  <si>
    <t>310.8307.MG</t>
  </si>
  <si>
    <t>7" Maddox Vertical (1 pair) MG</t>
  </si>
  <si>
    <t>310.8307.MNL</t>
  </si>
  <si>
    <t>7" Maddox Vertical (1 pair) MNL</t>
  </si>
  <si>
    <t>310.8307.SG</t>
  </si>
  <si>
    <t>7" Maddox Vertical (1 pair) SG</t>
  </si>
  <si>
    <t>201.00030.B0001.00</t>
  </si>
  <si>
    <t>201.00030.B0008.00</t>
  </si>
  <si>
    <t>201.00030.B0009.00</t>
  </si>
  <si>
    <t>201.00031.B0001.00</t>
  </si>
  <si>
    <t>201.00031.B0008.00</t>
  </si>
  <si>
    <t>201.00031.B0009.00</t>
  </si>
  <si>
    <t>310.8214.BLK</t>
  </si>
  <si>
    <t>Jewelry Hook, Symphony Wall Mt, BLK</t>
  </si>
  <si>
    <t>310.8214.MAL</t>
  </si>
  <si>
    <t>Jewelry Hook, Symphony Wall Mt, MAL</t>
  </si>
  <si>
    <t>310.8214.MG</t>
  </si>
  <si>
    <t>Jewelry Hook, Symphony Wall Mt, MG</t>
  </si>
  <si>
    <t>310.8214.MNL</t>
  </si>
  <si>
    <t>Jewelry Hook, Symphony Wall Mt, MNL</t>
  </si>
  <si>
    <t>310.8214.SG</t>
  </si>
  <si>
    <t>Jewelry Hook, Symphony Wall Mt, SG</t>
  </si>
  <si>
    <t>MATTE NICKEL ITEMS</t>
  </si>
  <si>
    <t>201.00030.B0060.00</t>
  </si>
  <si>
    <t>201.00031.B0060.00</t>
  </si>
  <si>
    <t>230.00015.B0060.00</t>
  </si>
  <si>
    <t>305.00007.B0060.00</t>
  </si>
  <si>
    <t>305.00006.B0060.00</t>
  </si>
  <si>
    <t>Modern Handle 256mm</t>
  </si>
  <si>
    <t>220.00157.B0005.00</t>
  </si>
  <si>
    <t>220.00157.B0001.00</t>
  </si>
  <si>
    <t>220.00157.B0060.00</t>
  </si>
  <si>
    <t>220.00157.B0008.00</t>
  </si>
  <si>
    <t>220.00157.B0009.00</t>
  </si>
  <si>
    <t>T-Bar Handle in MNL, CR</t>
  </si>
  <si>
    <t>220.00020.B0060.00</t>
  </si>
  <si>
    <t>220.00020.B0005.00</t>
  </si>
  <si>
    <t>220.00021.B0060.00</t>
  </si>
  <si>
    <t>220.00021.B0005.00</t>
  </si>
  <si>
    <t>220.00022.B0060.00</t>
  </si>
  <si>
    <t>220.00022.B0005.00</t>
  </si>
  <si>
    <t>Maddox Office</t>
  </si>
  <si>
    <t>201.00032.B0004.00</t>
  </si>
  <si>
    <t>201.00033.B0004.00</t>
  </si>
  <si>
    <t>201.00034.B0004.00</t>
  </si>
  <si>
    <t>201.00035.B0004.00</t>
  </si>
  <si>
    <t>201.00036.B0001.00</t>
  </si>
  <si>
    <t>201.00036.B0060.00</t>
  </si>
  <si>
    <t>201.00036.B0008.00</t>
  </si>
  <si>
    <t>201.00036.B0009.00</t>
  </si>
  <si>
    <t>Everstyle Accessories</t>
  </si>
  <si>
    <t>BLACK ITEMS</t>
  </si>
  <si>
    <t>ELITE TRADITIONAL HANDLES &amp; KNOBS</t>
  </si>
  <si>
    <t>NEW - LEATHER ACCENT ROLLS</t>
  </si>
  <si>
    <t>310.2330.24.PWT</t>
  </si>
  <si>
    <t>LEATHER ACCENT ROLL 50 FT</t>
  </si>
  <si>
    <t>310.2330.24.OYS</t>
  </si>
  <si>
    <t>310.2330.24.WIN</t>
  </si>
  <si>
    <t>NEW - LEATHER CLEAT BOARD, JIG AND END CAPS</t>
  </si>
  <si>
    <t>300.3197.44.OYS</t>
  </si>
  <si>
    <t>44" Leather Wrapped Cleat Board OYS</t>
  </si>
  <si>
    <t>300.3197.44.PWT</t>
  </si>
  <si>
    <t>44" Leather Wrapped Cleat Board PWT</t>
  </si>
  <si>
    <t>300.3197.44.WIN</t>
  </si>
  <si>
    <t>44" Leather Wrapped Cleat Board WIN</t>
  </si>
  <si>
    <t>300.3197.BLK</t>
  </si>
  <si>
    <t>Leather Cleat Board End Caps (pair) BLK</t>
  </si>
  <si>
    <t>300.3197.CR</t>
  </si>
  <si>
    <t>Leather Cleat Board End Caps (pair) CR</t>
  </si>
  <si>
    <t>300.3197.MAL</t>
  </si>
  <si>
    <t>Leather Cleat Board End Caps (pair) MAL</t>
  </si>
  <si>
    <t>300.3197.MG</t>
  </si>
  <si>
    <t>Leather Cleat Board End Caps (pair) MG</t>
  </si>
  <si>
    <t>300.3197.MNL</t>
  </si>
  <si>
    <t>Leather Cleat Board End Caps (pair) MNL</t>
  </si>
  <si>
    <t>300.3197.SG</t>
  </si>
  <si>
    <t>Leather Cleat Board End Caps (pair) SG</t>
  </si>
  <si>
    <t>300.3198.JIG</t>
  </si>
  <si>
    <t>Cleat Drilling Jig for Cleat Mount</t>
  </si>
  <si>
    <t>NEW - MADDOX DUET (2- BAR) SURFACE MOUNT VERTICALS (12")</t>
  </si>
  <si>
    <t>310.8312.BLK</t>
  </si>
  <si>
    <t>12" Maddox Vertical Surface Mount (1 pair) BLK</t>
  </si>
  <si>
    <t>310.8312.MAL</t>
  </si>
  <si>
    <t>12" Maddox Vertical Surface Mount (1 pair) MAL</t>
  </si>
  <si>
    <t>310.8312.MG</t>
  </si>
  <si>
    <t>12" Maddox Vertical Surface Mount (1 pair) MG</t>
  </si>
  <si>
    <t>310.8312.MNL</t>
  </si>
  <si>
    <t>12" Maddox Vertical Surface Mount (1 pair) MNL</t>
  </si>
  <si>
    <t>310.8312.SG</t>
  </si>
  <si>
    <t>12" Maddox Vertical Surface Mount (1 pair) SG</t>
  </si>
  <si>
    <t>NEW - MADDOX 14" MIRROR AND BRACKETS FOR 35" &amp; 47" FIXED MIRRORS</t>
  </si>
  <si>
    <t>310.8430.14.MAL</t>
  </si>
  <si>
    <t>Maddox Mirror 14" MAL</t>
  </si>
  <si>
    <t>310.8430.14.SG</t>
  </si>
  <si>
    <t>Maddox Mirror 14" SG</t>
  </si>
  <si>
    <t>310.8430.14.MNL</t>
  </si>
  <si>
    <t>Maddox Mirror 14" MNL</t>
  </si>
  <si>
    <t>310.8430.14.MG</t>
  </si>
  <si>
    <t>Maddox Mirror 14" MG</t>
  </si>
  <si>
    <t>310.8430.14.BLK</t>
  </si>
  <si>
    <t>Maddox Mirror 14" BLK</t>
  </si>
  <si>
    <t>310.8220.BLK</t>
  </si>
  <si>
    <t>Maddox Mirror Bracket for 35" &amp; 47"  Fixed Mirrors (2 pairs)</t>
  </si>
  <si>
    <t>2 pairs</t>
  </si>
  <si>
    <t>NEW - MADDOX POCKET</t>
  </si>
  <si>
    <t>310.8320.OYS</t>
  </si>
  <si>
    <t>Maddox Leather Pocket OYS</t>
  </si>
  <si>
    <t>310.8320.PWT</t>
  </si>
  <si>
    <t>Maddox Leather Pocket PWT</t>
  </si>
  <si>
    <t>310.8320.WIN</t>
  </si>
  <si>
    <t>Maddox Leather Pocket WIN</t>
  </si>
  <si>
    <t>NEW - VALET BUTTONS</t>
  </si>
  <si>
    <t>300.3096.MNL</t>
  </si>
  <si>
    <t>Valet Button, Matte Nickel</t>
  </si>
  <si>
    <t>300.3096.MAL</t>
  </si>
  <si>
    <t>Valet Button, Matte Aluminum</t>
  </si>
  <si>
    <t>300.3096.SG</t>
  </si>
  <si>
    <t>Valet Button, Slate Grey</t>
  </si>
  <si>
    <t>300.3096.MG</t>
  </si>
  <si>
    <t>Valet Button, Matte Gold</t>
  </si>
  <si>
    <t>300.3096.BLK</t>
  </si>
  <si>
    <t>Valet Button, Black</t>
  </si>
  <si>
    <t>300.3096.CR</t>
  </si>
  <si>
    <t>Valet Button, Chrome</t>
  </si>
  <si>
    <t>NEW - LEATHER HANDLES AND PULLS</t>
  </si>
  <si>
    <t>300.3220.128.WIN.BLK</t>
  </si>
  <si>
    <t xml:space="preserve">Leather Wrapped Traditional Handle 128mm WIN BLK </t>
  </si>
  <si>
    <t xml:space="preserve">WIN BLK </t>
  </si>
  <si>
    <t>300.3220.128.OYS.BLK</t>
  </si>
  <si>
    <t xml:space="preserve">Leather Wrapped Traditional Handle 128mm OYS BLK </t>
  </si>
  <si>
    <t xml:space="preserve">OYS BLK </t>
  </si>
  <si>
    <t>300.3220.128.PWT.BLK</t>
  </si>
  <si>
    <t xml:space="preserve">Leather Wrapped Traditional Handle 128mm PWT BLK </t>
  </si>
  <si>
    <t xml:space="preserve">PWT BLK </t>
  </si>
  <si>
    <t>300.3220.128.WIN.CR</t>
  </si>
  <si>
    <t xml:space="preserve">Leather Wrapped Traditional Handle 128mm WIN CR </t>
  </si>
  <si>
    <t xml:space="preserve">WIN CR </t>
  </si>
  <si>
    <t>300.3220.128.OYS.CR</t>
  </si>
  <si>
    <t xml:space="preserve">Leather Wrapped Traditional Handle 128mm OYS CR </t>
  </si>
  <si>
    <t xml:space="preserve">OYS CR </t>
  </si>
  <si>
    <t>300.3220.128.PWT.CR</t>
  </si>
  <si>
    <t xml:space="preserve">Leather Wrapped Traditional Handle 128mm PWT CR </t>
  </si>
  <si>
    <t xml:space="preserve">PWT CR </t>
  </si>
  <si>
    <t>300.3220.128.WIN.MAL</t>
  </si>
  <si>
    <t xml:space="preserve">Leather Wrapped Traditional Handle 128mm WIN MAL </t>
  </si>
  <si>
    <t xml:space="preserve">WIN MAL </t>
  </si>
  <si>
    <t>300.3220.128.OYS.MAL</t>
  </si>
  <si>
    <t xml:space="preserve">Leather Wrapped Traditional Handle 128mm OYS MAL </t>
  </si>
  <si>
    <t xml:space="preserve">OYS MAL </t>
  </si>
  <si>
    <t>300.3220.128.PWT.MAL</t>
  </si>
  <si>
    <t xml:space="preserve">Leather Wrapped Traditional Handle 128mm PWT MAL </t>
  </si>
  <si>
    <t xml:space="preserve">PWT MAL </t>
  </si>
  <si>
    <t>300.3220.128.WIN.MG</t>
  </si>
  <si>
    <t xml:space="preserve">Leather Wrapped Traditional Handle 128mm WIN MG </t>
  </si>
  <si>
    <t xml:space="preserve">WIN MG </t>
  </si>
  <si>
    <t>300.3220.128.OYS.MG</t>
  </si>
  <si>
    <t xml:space="preserve">Leather Wrapped Traditional Handle 128mm OYS MG </t>
  </si>
  <si>
    <t xml:space="preserve">OYS MG </t>
  </si>
  <si>
    <t>300.3220.128.PWT.MG</t>
  </si>
  <si>
    <t xml:space="preserve">Leather Wrapped Traditional Handle 128mm PWT MG </t>
  </si>
  <si>
    <t xml:space="preserve">PWT MG </t>
  </si>
  <si>
    <t>300.3220.128.WIN.MNL</t>
  </si>
  <si>
    <t xml:space="preserve">Leather Wrapped Traditional Handle 128mm WIN MNL </t>
  </si>
  <si>
    <t xml:space="preserve">WIN MNL </t>
  </si>
  <si>
    <t>300.3220.128.OYS.MNL</t>
  </si>
  <si>
    <t xml:space="preserve">Leather Wrapped Traditional Handle 128mm OYS MNL </t>
  </si>
  <si>
    <t xml:space="preserve">OYS MNL </t>
  </si>
  <si>
    <t>300.3220.128.PWT.MNL</t>
  </si>
  <si>
    <t xml:space="preserve">Leather Wrapped Traditional Handle 128mm PWT MNL </t>
  </si>
  <si>
    <t xml:space="preserve">PWT MNL </t>
  </si>
  <si>
    <t>300.3220.128.WIN.SG</t>
  </si>
  <si>
    <t xml:space="preserve">Leather Wrapped Traditional Handle 128mm WIN SG </t>
  </si>
  <si>
    <t xml:space="preserve">WIN SG </t>
  </si>
  <si>
    <t>300.3220.128.OYS.SG</t>
  </si>
  <si>
    <t xml:space="preserve">Leather Wrapped Traditional Handle 128mm OYS SG </t>
  </si>
  <si>
    <t xml:space="preserve">OYS SG </t>
  </si>
  <si>
    <t>300.3220.128.PWT.SG</t>
  </si>
  <si>
    <t xml:space="preserve">Leather Wrapped Traditional Handle 128mm PWT SG </t>
  </si>
  <si>
    <t xml:space="preserve">PWT SG </t>
  </si>
  <si>
    <t>300.3220.256.WIN.BLK</t>
  </si>
  <si>
    <t xml:space="preserve">Leather Wrapped Traditional Handle 256mm WIN BLK </t>
  </si>
  <si>
    <t>300.3220.256.OYS.BLK</t>
  </si>
  <si>
    <t xml:space="preserve">Leather Wrapped Traditional Handle 256mm OYS BLK </t>
  </si>
  <si>
    <t>300.3220.256.PWT.BLK</t>
  </si>
  <si>
    <t xml:space="preserve">Leather Wrapped Traditional Handle 256mm PWT BLK </t>
  </si>
  <si>
    <t>300.3220.256.WIN.CR</t>
  </si>
  <si>
    <t xml:space="preserve">Leather Wrapped Traditional Handle 256mm WIN CR </t>
  </si>
  <si>
    <t>300.3220.256.OYS.CR</t>
  </si>
  <si>
    <t xml:space="preserve">Leather Wrapped Traditional Handle 256mm OYS CR </t>
  </si>
  <si>
    <t>300.3220.256.PWT.CR</t>
  </si>
  <si>
    <t xml:space="preserve">Leather Wrapped Traditional Handle 256mm PWT CR </t>
  </si>
  <si>
    <t xml:space="preserve"> PWT CR </t>
  </si>
  <si>
    <t>300.3220.256.WIN.MAL</t>
  </si>
  <si>
    <t xml:space="preserve">Leather Wrapped Traditional Handle 256mm WIN MAL </t>
  </si>
  <si>
    <t>300.3220.256.OYS.MAL</t>
  </si>
  <si>
    <t xml:space="preserve">Leather Wrapped Traditional Handle 256mm OYS MAL </t>
  </si>
  <si>
    <t>300.3220.256.PWT.MAL</t>
  </si>
  <si>
    <t xml:space="preserve">Leather Wrapped Traditional Handle 256mm PWT MAL </t>
  </si>
  <si>
    <t>300.3220.256.WIN.MG</t>
  </si>
  <si>
    <t xml:space="preserve">Leather Wrapped Traditional Handle 256mm WIN MG </t>
  </si>
  <si>
    <t>300.3220.256.OYS.MG</t>
  </si>
  <si>
    <t xml:space="preserve">Leather Wrapped Traditional Handle 256mm OYS MG </t>
  </si>
  <si>
    <t>300.3220.256.PWT.MG</t>
  </si>
  <si>
    <t xml:space="preserve">Leather Wrapped Traditional Handle 256mm PWT MG </t>
  </si>
  <si>
    <t>300.3220.256.WIN.MNL</t>
  </si>
  <si>
    <t xml:space="preserve">Leather Wrapped Traditional Handle 256mm WIN MNL </t>
  </si>
  <si>
    <t>300.3220.256.OYS.MNL</t>
  </si>
  <si>
    <t xml:space="preserve">Leather Wrapped Traditional Handle 256mm OYS MNL </t>
  </si>
  <si>
    <t>300.3220.256.PWT.MNL</t>
  </si>
  <si>
    <t xml:space="preserve">Leather Wrapped Traditional Handle 256mm PWT MNL </t>
  </si>
  <si>
    <t>300.3220.256.WIN.SG</t>
  </si>
  <si>
    <t xml:space="preserve">Leather Wrapped Traditional Handle 256mm WIN SG </t>
  </si>
  <si>
    <t>300.3220.256.OYS.SG</t>
  </si>
  <si>
    <t xml:space="preserve">Leather Wrapped Traditional Handle 256mm OYS SG </t>
  </si>
  <si>
    <t>300.3220.256.PWT.SG</t>
  </si>
  <si>
    <t xml:space="preserve">Leather Wrapped Traditional Handle 256mm PWT SG </t>
  </si>
  <si>
    <t>300.3222.128.WIN.BLK</t>
  </si>
  <si>
    <t xml:space="preserve">Leather Wrapped Modern Handle 128mm WIN BLK </t>
  </si>
  <si>
    <t>300.3222.128.OYS.BLK</t>
  </si>
  <si>
    <t xml:space="preserve">Leather Wrapped Modern Handle 128mm OYS BLK </t>
  </si>
  <si>
    <t>300.3222.128.PWT.BLK</t>
  </si>
  <si>
    <t xml:space="preserve">Leather Wrapped Modern Handle 128mm PWT BLK </t>
  </si>
  <si>
    <t>300.3222.128.WIN.CR</t>
  </si>
  <si>
    <t xml:space="preserve">Leather Wrapped Modern Handle 128mm WIN CR </t>
  </si>
  <si>
    <t>300.3222.128.OYS.CR</t>
  </si>
  <si>
    <t xml:space="preserve">Leather Wrapped Modern Handle 128mm OYS CR </t>
  </si>
  <si>
    <t>300.3222.128.PWT.CR</t>
  </si>
  <si>
    <t xml:space="preserve">Leather Wrapped Modern Handle 128mm PWT CR </t>
  </si>
  <si>
    <t>300.3222.128.WIN.MAL</t>
  </si>
  <si>
    <t xml:space="preserve">Leather Wrapped Modern Handle 128mm WIN MAL </t>
  </si>
  <si>
    <t>300.3222.128.OYS.MAL</t>
  </si>
  <si>
    <t xml:space="preserve">Leather Wrapped Modern Handle 128mm OYS MAL </t>
  </si>
  <si>
    <t>300.3222.128.PWT.MAL</t>
  </si>
  <si>
    <t xml:space="preserve">Leather Wrapped Modern Handle 128mm PWT MAL </t>
  </si>
  <si>
    <t>300.3222.128.WIN.MG</t>
  </si>
  <si>
    <t xml:space="preserve">Leather Wrapped Modern Handle 128mm WIN MG </t>
  </si>
  <si>
    <t>300.3222.128.OYS.MG</t>
  </si>
  <si>
    <t xml:space="preserve">Leather Wrapped Modern Handle 128mm OYS MG </t>
  </si>
  <si>
    <t>300.3222.128.PWT.MG</t>
  </si>
  <si>
    <t xml:space="preserve">Leather Wrapped Modern Handle 128mm PWT MG </t>
  </si>
  <si>
    <t>300.3222.128.WIN.MNL</t>
  </si>
  <si>
    <t xml:space="preserve">Leather Wrapped Modern Handle 128mm WIN MNL </t>
  </si>
  <si>
    <t>300.3222.128.OYS.MNL</t>
  </si>
  <si>
    <t xml:space="preserve">Leather Wrapped Modern Handle 128mm OYS MNL </t>
  </si>
  <si>
    <t>300.3222.128.PWT.MNL</t>
  </si>
  <si>
    <t xml:space="preserve">Leather Wrapped Modern Handle 128mm PWT MNL </t>
  </si>
  <si>
    <t>300.3222.256.WIN.BLK</t>
  </si>
  <si>
    <t xml:space="preserve">Leather Wrapped Modern Handle 256mm WIN BLK </t>
  </si>
  <si>
    <t>300.3222.256.OYS.BLK</t>
  </si>
  <si>
    <t xml:space="preserve">Leather Wrapped Modern Handle 256mm OYS BLK </t>
  </si>
  <si>
    <t>300.3222.256.PWT.BLK</t>
  </si>
  <si>
    <t xml:space="preserve">Leather Wrapped Modern Handle 256mm PWT BLK </t>
  </si>
  <si>
    <t>300.3222.256.WIN.CR</t>
  </si>
  <si>
    <t xml:space="preserve">Leather Wrapped Modern Handle 256mm WIN CR </t>
  </si>
  <si>
    <t>300.3222.256.OYS.CR</t>
  </si>
  <si>
    <t xml:space="preserve">Leather Wrapped Modern Handle 256mm OYS CR </t>
  </si>
  <si>
    <t>300.3222.256.PWT.CR</t>
  </si>
  <si>
    <t xml:space="preserve">Leather Wrapped Modern Handle 256mm PWT CR </t>
  </si>
  <si>
    <t>300.3222.256.WIN.MAL</t>
  </si>
  <si>
    <t xml:space="preserve">Leather Wrapped Modern Handle 256mm WIN MAL </t>
  </si>
  <si>
    <t>300.3222.256.OYS.MAL</t>
  </si>
  <si>
    <t xml:space="preserve">Leather Wrapped Modern Handle 256mm OYS MAL </t>
  </si>
  <si>
    <t>300.3222.256.PWT.MAL</t>
  </si>
  <si>
    <t xml:space="preserve">Leather Wrapped Modern Handle 256mm PWT MAL </t>
  </si>
  <si>
    <t>300.3222.256.WIN.MG</t>
  </si>
  <si>
    <t xml:space="preserve">Leather Wrapped Modern Handle 256mm WIN MG </t>
  </si>
  <si>
    <t>300.3222.256.OYS.MG</t>
  </si>
  <si>
    <t xml:space="preserve">Leather Wrapped Modern Handle 256mm OYS MG </t>
  </si>
  <si>
    <t>300.3222.256.PWT.MG</t>
  </si>
  <si>
    <t xml:space="preserve">Leather Wrapped Modern Handle 256mm PWT MG </t>
  </si>
  <si>
    <t>300.3222.256.WIN.MNL</t>
  </si>
  <si>
    <t xml:space="preserve">Leather Wrapped Modern Handle 256mm WIN MNL </t>
  </si>
  <si>
    <t>300.3222.256.OYS.MNL</t>
  </si>
  <si>
    <t xml:space="preserve">Leather Wrapped Modern Handle 256mm OYS MNL </t>
  </si>
  <si>
    <t>300.3222.256.PWT.MNL</t>
  </si>
  <si>
    <t xml:space="preserve">Leather Wrapped Modern Handle 256mm PWT MNL </t>
  </si>
  <si>
    <t>300.3221.128.WIN.BLK</t>
  </si>
  <si>
    <t xml:space="preserve">Leather Wrapped Pull 128mm WIN BLK </t>
  </si>
  <si>
    <t>300.3221.128.OYS.BLK</t>
  </si>
  <si>
    <t xml:space="preserve">Leather Wrapped Pull 128mm OYS BLK </t>
  </si>
  <si>
    <t>300.3221.128.PWT.BLK</t>
  </si>
  <si>
    <t xml:space="preserve">Leather Wrapped Pull 128mm PWT BLK </t>
  </si>
  <si>
    <t>300.3221.128.WIN.CR</t>
  </si>
  <si>
    <t xml:space="preserve">Leather Wrapped Pull 128mm WIN CR </t>
  </si>
  <si>
    <t>300.3221.128.OYS.CR</t>
  </si>
  <si>
    <t xml:space="preserve">Leather Wrapped Pull 128mm OYS CR </t>
  </si>
  <si>
    <t>300.3221.128.PWT.CR</t>
  </si>
  <si>
    <t xml:space="preserve">Leather Wrapped Pull 128mm PWT CR </t>
  </si>
  <si>
    <t>300.3221.128.WIN.MAL</t>
  </si>
  <si>
    <t xml:space="preserve">Leather Wrapped Pull 128mm WIN MAL </t>
  </si>
  <si>
    <t>300.3221.128.OYS.MAL</t>
  </si>
  <si>
    <t xml:space="preserve">Leather Wrapped Pull 128mm OYS MAL </t>
  </si>
  <si>
    <t>300.3221.128.PWT.MAL</t>
  </si>
  <si>
    <t xml:space="preserve">Leather Wrapped Pull 128mm PWT MAL </t>
  </si>
  <si>
    <t>300.3221.128.WIN.MG</t>
  </si>
  <si>
    <t xml:space="preserve">Leather Wrapped Pull 128mm WIN MG </t>
  </si>
  <si>
    <t>300.3221.128.OYS.MG</t>
  </si>
  <si>
    <t xml:space="preserve">Leather Wrapped Pull 128mm OYS MG </t>
  </si>
  <si>
    <t>300.3221.128.PWT.MG</t>
  </si>
  <si>
    <t xml:space="preserve">Leather Wrapped Pull 128mm PWT MG </t>
  </si>
  <si>
    <t>300.3221.128.WIN.MNL</t>
  </si>
  <si>
    <t xml:space="preserve">Leather Wrapped Pull 128mm WIN MNL </t>
  </si>
  <si>
    <t>300.3221.128.OYS.MNL</t>
  </si>
  <si>
    <t xml:space="preserve">Leather Wrapped Pull 128mm OYS MNL </t>
  </si>
  <si>
    <t>300.3221.128.PWT.MNL</t>
  </si>
  <si>
    <t xml:space="preserve">Leather Wrapped Pull 128mm PWT MNL </t>
  </si>
  <si>
    <t>300.3221.128.WIN.SG</t>
  </si>
  <si>
    <t xml:space="preserve">Leather Wrapped Pull 128mm WIN SG </t>
  </si>
  <si>
    <t>300.3221.128.OYS.SG</t>
  </si>
  <si>
    <t xml:space="preserve">Leather Wrapped Pull 128mm OYS SG </t>
  </si>
  <si>
    <t>300.3221.128.PWT.SG</t>
  </si>
  <si>
    <t xml:space="preserve">Leather Wrapped Pull 128mm PWT SG </t>
  </si>
  <si>
    <t>300.3221.256.WIN.BLK</t>
  </si>
  <si>
    <t xml:space="preserve">Leather Wrapped Pull 256mm WIN BLK </t>
  </si>
  <si>
    <t>300.3221.256.OYS.BLK</t>
  </si>
  <si>
    <t xml:space="preserve">Leather Wrapped Pull 256mm OYS BLK </t>
  </si>
  <si>
    <t>300.3221.256.PWT.BLK</t>
  </si>
  <si>
    <t xml:space="preserve">Leather Wrapped Pull 256mm PWT BLK </t>
  </si>
  <si>
    <t>300.3221.256.WIN.CR</t>
  </si>
  <si>
    <t xml:space="preserve">Leather Wrapped Pull 256mm WIN CR </t>
  </si>
  <si>
    <t>300.3221.256.OYS.CR</t>
  </si>
  <si>
    <t xml:space="preserve">Leather Wrapped Pull 256mm OYS CR </t>
  </si>
  <si>
    <t>300.3221.256.PWT.CR</t>
  </si>
  <si>
    <t xml:space="preserve">Leather Wrapped Pull 256mm PWT CR </t>
  </si>
  <si>
    <t>300.3221.256.WIN.MAL</t>
  </si>
  <si>
    <t xml:space="preserve">Leather Wrapped Pull 256mm WIN MAL </t>
  </si>
  <si>
    <t>300.3221.256.OYS.MAL</t>
  </si>
  <si>
    <t xml:space="preserve">Leather Wrapped Pull 256mm OYS MAL </t>
  </si>
  <si>
    <t>300.3221.256.PWT.MAL</t>
  </si>
  <si>
    <t xml:space="preserve">Leather Wrapped Pull 256mm PWT MAL </t>
  </si>
  <si>
    <t>300.3221.256.WIN.MG</t>
  </si>
  <si>
    <t xml:space="preserve">Leather Wrapped Pull 256mm WIN MG </t>
  </si>
  <si>
    <t>300.3221.256.OYS.MG</t>
  </si>
  <si>
    <t xml:space="preserve">Leather Wrapped Pull 256mm OYS MG </t>
  </si>
  <si>
    <t>300.3221.256.PWT.MG</t>
  </si>
  <si>
    <t xml:space="preserve">Leather Wrapped Pull 256mm PWT MG </t>
  </si>
  <si>
    <t>300.3221.256.WIN.MNL</t>
  </si>
  <si>
    <t xml:space="preserve">Leather Wrapped Pull 256mm WIN MNL </t>
  </si>
  <si>
    <t>300.3221.256.OYS.MNL</t>
  </si>
  <si>
    <t xml:space="preserve">Leather Wrapped Pull 256mm OYS MNL </t>
  </si>
  <si>
    <t>300.3221.256.PWT.MNL</t>
  </si>
  <si>
    <t xml:space="preserve">Leather Wrapped Pull 256mm PWT MNL </t>
  </si>
  <si>
    <t>300.3221.256.WIN.SG</t>
  </si>
  <si>
    <t xml:space="preserve">Leather Wrapped Pull 256mm WIN SG </t>
  </si>
  <si>
    <t>300.3221.256.OYS.SG</t>
  </si>
  <si>
    <t xml:space="preserve">Leather Wrapped Pull 256mm OYS SG </t>
  </si>
  <si>
    <t>300.3221.256.PWT.SG</t>
  </si>
  <si>
    <t xml:space="preserve">Leather Wrapped Pull 256mm PWT SG </t>
  </si>
  <si>
    <t>00044</t>
  </si>
  <si>
    <t>00009</t>
  </si>
  <si>
    <t>Color Sample, aluminum, BLK</t>
  </si>
  <si>
    <t>Color Sample, zinc, with CC logo, BLK</t>
  </si>
  <si>
    <t>PURCHASER INSTRUCTIONS</t>
  </si>
  <si>
    <t>CCC</t>
  </si>
  <si>
    <t>Old Item #</t>
  </si>
  <si>
    <t>New Item # (Shorter length)</t>
  </si>
  <si>
    <t>Old Item Price</t>
  </si>
  <si>
    <t>New Item  Price</t>
  </si>
  <si>
    <t>Box Quantity Updates:</t>
  </si>
  <si>
    <t>Updated Change Date</t>
  </si>
  <si>
    <t>300.3045.92.BLK</t>
  </si>
  <si>
    <t>no change</t>
  </si>
  <si>
    <t>asap</t>
  </si>
  <si>
    <t>Please change to part code: 300.3045.92.BLK</t>
  </si>
  <si>
    <t>300.3045.92.MNL</t>
  </si>
  <si>
    <t>Please change to part code: 300.3045.92.MNL</t>
  </si>
  <si>
    <t>300.3045.92.SG</t>
  </si>
  <si>
    <t>Please change to part code: 300.3045.92.SG</t>
  </si>
  <si>
    <t>300.3160.90.MG</t>
  </si>
  <si>
    <t>Please change to part code: 300.3160.90.MG</t>
  </si>
  <si>
    <t>300.3045.92.MG</t>
  </si>
  <si>
    <t>Update quantity =  18/box (From 8/box)</t>
  </si>
  <si>
    <t>Please change to part code:  300.3045.92.MG  starting Aug 15 2023</t>
  </si>
  <si>
    <t>300.5101.92.MAL</t>
  </si>
  <si>
    <t>Please change to part code:  300.5101.92.MAL  starting Aug 15 2023</t>
  </si>
  <si>
    <t>300.3044.92.MAL</t>
  </si>
  <si>
    <t>Please change to part code:  300.3044.92.MAL starting Aug 15 2023</t>
  </si>
  <si>
    <t>300.5104.92.MAL</t>
  </si>
  <si>
    <t>Update quantity =  12/box (From 8/box)</t>
  </si>
  <si>
    <t>Please change to part code:  300.5104.92.MAL starting Aug 15 2023</t>
  </si>
  <si>
    <t>300.3044.92.SG</t>
  </si>
  <si>
    <t>Please change to part code:  300.3044.92.SG starting Aug 15 2023</t>
  </si>
  <si>
    <t>300.3044.92.MG</t>
  </si>
  <si>
    <t>Please change to part code:  300.3044.92.MG starting Sept 12, 2023</t>
  </si>
  <si>
    <t>300.3047.92.BLK</t>
  </si>
  <si>
    <t>Please change to part code:  300.3047.92.BLK starting Sept 12, 2023</t>
  </si>
  <si>
    <t>300.3047.92.MG</t>
  </si>
  <si>
    <t>Update quantity = 12/box (From 6/box)</t>
  </si>
  <si>
    <t>Please change to part code:  300.3047.92.MG starting Sept 12, 2023</t>
  </si>
  <si>
    <t>300.3720.93.WH</t>
  </si>
  <si>
    <t>Please change to part code:  300.3720.93.WH starting Sept 12, 2023</t>
  </si>
  <si>
    <t>300.3044.92.MNL</t>
  </si>
  <si>
    <t>Please change to part code:  300.3044.92.MNL starting Sept 12, 2023</t>
  </si>
  <si>
    <t>300.3712.93.GLV</t>
  </si>
  <si>
    <t>Please change to part code:  300.3712.93.GLV starting Sept 12, 2023</t>
  </si>
  <si>
    <t>300.3047.92.MAL</t>
  </si>
  <si>
    <t>Please change to part code:  300.3047.92.MAL starting Sept 12, 2023</t>
  </si>
  <si>
    <t>300.3710.93.GLV</t>
  </si>
  <si>
    <t>Please change to part code:  300.3710.93.GLV starting Sept 12, 2023</t>
  </si>
  <si>
    <t>300.3044.92.BLK</t>
  </si>
  <si>
    <t>Please change to part code:  300.3044.92.BLK starting Oct 12, 2023</t>
  </si>
  <si>
    <t>300.3044.92.CR</t>
  </si>
  <si>
    <t>Please change to part code:  300.3044.92.CR starting Oct 12, 2023</t>
  </si>
  <si>
    <t>300.3720.93.DBR</t>
  </si>
  <si>
    <t>Please change to part code:  300.3720.93.DBR starting Oct 12, 2023</t>
  </si>
  <si>
    <t>300.5103.92.MAL</t>
  </si>
  <si>
    <t>Please change to part code:  300.5103.92.MAL starting Oct 12, 2023</t>
  </si>
  <si>
    <t>300.3045.92.MAL</t>
  </si>
  <si>
    <t>Please change to part code:  300.3045.92.MAL starting Oct 12, 2023</t>
  </si>
  <si>
    <t>300.3045.92.CR</t>
  </si>
  <si>
    <t>Please change to part code:  300.3045.92.CR starting Oct 12, 2023</t>
  </si>
  <si>
    <t>300.3047.92.MNL</t>
  </si>
  <si>
    <t>Please change to part code:  300.3047.92.MNL starting Oct 12, 2023</t>
  </si>
  <si>
    <t>300.3047.92.SG</t>
  </si>
  <si>
    <t>Please change to part code:  300.3047.92.SG starting Nov 7, 2023</t>
  </si>
  <si>
    <t>300.3160.90.MNL</t>
  </si>
  <si>
    <t>Please change to part code:  300.3160.90.MNL starting Nov 7, 2023</t>
  </si>
  <si>
    <t>300.3720.93.STN</t>
  </si>
  <si>
    <t>Please change to part code:  300.3720.93.STN starting Nov 7, 2023</t>
  </si>
  <si>
    <t>300.3047.92.CR</t>
  </si>
  <si>
    <t>Please change to part code:  300.3047.92.CR starting Nov 7, 2023</t>
  </si>
  <si>
    <t>300.5102.92.MAL</t>
  </si>
  <si>
    <t>Please change to part code:  300.5102.92.MAL starting Nov 7, 2023</t>
  </si>
  <si>
    <t>300.3720.93.AL</t>
  </si>
  <si>
    <t>Please change to part code:  300.3720.93.AL starting Nov 30, 2023</t>
  </si>
  <si>
    <t>300.3160.90.CR</t>
  </si>
  <si>
    <t>Please change to part code:  300.3160.90.CR starting Nov 30, 2023</t>
  </si>
  <si>
    <t>300.3720.93.GRY</t>
  </si>
  <si>
    <t>TBA</t>
  </si>
  <si>
    <t>Shorter length transition TBA</t>
  </si>
  <si>
    <t>300.3720.93.BRZ</t>
  </si>
  <si>
    <t>300.3160.90.BLK</t>
  </si>
  <si>
    <t>300.3160.90.MAL</t>
  </si>
  <si>
    <t>300.3160.90.SG</t>
  </si>
  <si>
    <t>300.3720.93.BLK</t>
  </si>
  <si>
    <t>300.5108.92.MAL</t>
  </si>
  <si>
    <t>300.5109.92.MAL</t>
  </si>
  <si>
    <t>Engage Pole BLK 92 inch</t>
  </si>
  <si>
    <t>Engage Pole  MNL  92 inch</t>
  </si>
  <si>
    <t>Engage Pole  SG  92 inch</t>
  </si>
  <si>
    <t>Elite Shoe Fence Bar 90 inch</t>
  </si>
  <si>
    <t>Engage Pole  MG  92 inch</t>
  </si>
  <si>
    <t>Track Wall 92 inch</t>
  </si>
  <si>
    <t>Signature Pole MAL 92 inch</t>
  </si>
  <si>
    <t>Shelf Stiffener  92 inch</t>
  </si>
  <si>
    <t>Signature Pole  SG  92 inch</t>
  </si>
  <si>
    <t>Signature Pole MG  92 inch</t>
  </si>
  <si>
    <t>Elite Round Pole BLK 92 inch</t>
  </si>
  <si>
    <t>Elite Round Pole  MG  92 inch</t>
  </si>
  <si>
    <t>Wall Rail Cover White 93 inch</t>
  </si>
  <si>
    <t>Signature Pole  MNL   92 inch</t>
  </si>
  <si>
    <t>Hang Rail 93 inch Bulk - U-138020</t>
  </si>
  <si>
    <t>Elite Round Pole  MAL  92 inch</t>
  </si>
  <si>
    <t>Hang Rail 93 inch</t>
  </si>
  <si>
    <t>Signature Pole  BLK 92 inch</t>
  </si>
  <si>
    <t>Signature Pole  CR   92 inch</t>
  </si>
  <si>
    <t>Wall Rail Cover Dark Brown 93 inch</t>
  </si>
  <si>
    <t>Handle  92 inch</t>
  </si>
  <si>
    <t>Engage Pole  MAL  92 inch</t>
  </si>
  <si>
    <t>Engage Pole  CR  92 inch</t>
  </si>
  <si>
    <t>Elite Round Pole  MNL  92 inch</t>
  </si>
  <si>
    <t>Elite Round Pole  SG  92 inch</t>
  </si>
  <si>
    <t>Wall Rail Cover Stone 93 inch</t>
  </si>
  <si>
    <t>Elite Round Pole CR  92 inch</t>
  </si>
  <si>
    <t>Edge Profile  92 inch</t>
  </si>
  <si>
    <t>Wall Rail Cover Almond 93 inch</t>
  </si>
  <si>
    <t>Wall Rail Cover Grey 93 inch</t>
  </si>
  <si>
    <t>Wall Rail Cover Bronze 93 inch</t>
  </si>
  <si>
    <t>ORB</t>
  </si>
  <si>
    <t>Wall Rail Cover Black 93 inch</t>
  </si>
  <si>
    <t>J-Channel 92 inch - Punched</t>
  </si>
  <si>
    <t>Track Screw Cover Strip 92 inch</t>
  </si>
  <si>
    <t>NEW - SHORTER LENGTH ITEMS</t>
  </si>
  <si>
    <t>Shorter Length Part Code</t>
  </si>
  <si>
    <t>Transition Date</t>
  </si>
  <si>
    <t>EFFECTIVE AUGUST 17, 2023</t>
  </si>
  <si>
    <t>(3 digit store # required)</t>
  </si>
  <si>
    <t xml:space="preserve">CC of San Diego, Inc. </t>
  </si>
  <si>
    <t>12254 iavelli Way</t>
  </si>
  <si>
    <t>Poway, CA, 92064</t>
  </si>
  <si>
    <t>Stephanie Cabusi</t>
  </si>
  <si>
    <t>scabusi@calclosets.com</t>
  </si>
  <si>
    <t>010</t>
  </si>
  <si>
    <t>Daniel Betancourt</t>
  </si>
  <si>
    <t>dbetancourt@calclosets.com</t>
  </si>
  <si>
    <t>310.6530.18.sla.blk</t>
  </si>
  <si>
    <t>300.3140.blk</t>
  </si>
  <si>
    <t>310.6530.18.sla.sg</t>
  </si>
  <si>
    <t>300.3117.blk</t>
  </si>
  <si>
    <t>300.3118.blk</t>
  </si>
  <si>
    <t>310.6530.24.sla.blk</t>
  </si>
  <si>
    <t>310.6380.24.sla.sg</t>
  </si>
  <si>
    <t>310.6410.30.sla.sg</t>
  </si>
  <si>
    <t>300.3143.blk</t>
  </si>
  <si>
    <t>310.6540.30.sla.mg</t>
  </si>
  <si>
    <t>310.6410.24.sla.mg</t>
  </si>
  <si>
    <t>300.3430.mg</t>
  </si>
  <si>
    <t>310.1620.24.oys.mg</t>
  </si>
  <si>
    <t>310.1510.24.oys.mg</t>
  </si>
  <si>
    <t>310.6410.24.sla.mal</t>
  </si>
  <si>
    <t>300.3430.mal</t>
  </si>
  <si>
    <t>310.2610.24.oys.sg</t>
  </si>
  <si>
    <t>310.2600.24.oys.mal</t>
  </si>
  <si>
    <t>310.2620.24.oys.mal</t>
  </si>
  <si>
    <t>310.2620.24.oys.mg</t>
  </si>
  <si>
    <t>310.1610.24.oys.mg</t>
  </si>
  <si>
    <t>310.1600.30.oys.mal</t>
  </si>
  <si>
    <t>310.1620.30.oys.mg</t>
  </si>
  <si>
    <t>300.3193.blk</t>
  </si>
  <si>
    <t>310.2610.18.win.mg</t>
  </si>
  <si>
    <t>300.3219.256.mg</t>
  </si>
  <si>
    <t>300.3240.576.blk</t>
  </si>
  <si>
    <t>300.3240.416.blk</t>
  </si>
  <si>
    <t>300.3240.256.blk</t>
  </si>
  <si>
    <t>300.3240.576.mal</t>
  </si>
  <si>
    <t>300.3240.576.sg</t>
  </si>
  <si>
    <t>300.3240.576.mg</t>
  </si>
  <si>
    <t>300.3240.416.mal</t>
  </si>
  <si>
    <t>300.3240.416.sg</t>
  </si>
  <si>
    <t>300.3240.416.mg</t>
  </si>
  <si>
    <t>300.3240.256.mal</t>
  </si>
  <si>
    <t>300.3240.256.sg</t>
  </si>
  <si>
    <t>300.3240.256.mg</t>
  </si>
  <si>
    <t>300.3219.000.mal</t>
  </si>
  <si>
    <t>300.3219.000.mg</t>
  </si>
  <si>
    <t>300.3219.000.cr</t>
  </si>
  <si>
    <t>300.3219.000.blk</t>
  </si>
  <si>
    <t>300.3219.000.sg</t>
  </si>
  <si>
    <t>300.3219.128.mal</t>
  </si>
  <si>
    <t>300.3219.128.mg</t>
  </si>
  <si>
    <t>300.3219.128.cr</t>
  </si>
  <si>
    <t>300.3219.128.sg</t>
  </si>
  <si>
    <t>300.3219.128.blk</t>
  </si>
  <si>
    <t>300.3219.256.sg</t>
  </si>
  <si>
    <t>300.3219.256.blk</t>
  </si>
  <si>
    <t>300.3219.352.blk</t>
  </si>
  <si>
    <t>300.3219.352.mg</t>
  </si>
  <si>
    <t>310.8218.05.blk</t>
  </si>
  <si>
    <t>310.8218.05.mal</t>
  </si>
  <si>
    <t>310.8218.05.sg</t>
  </si>
  <si>
    <t>310.8218.05.mg</t>
  </si>
  <si>
    <t>310.8215.mal</t>
  </si>
  <si>
    <t>310.8215.sg</t>
  </si>
  <si>
    <t>310.8215.mg</t>
  </si>
  <si>
    <t>310.8201.05.blk</t>
  </si>
  <si>
    <t>310.8201.05.mal</t>
  </si>
  <si>
    <t>310.8201.05.mg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</si>
</sst>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4" formatCode="_(&quot;$&quot;* #,##0.00_);_(&quot;$&quot;* \(#,##0.00\);_(&quot;$&quot;* &quot;-&quot;??_);_(@_)"/>
    <numFmt numFmtId="164" formatCode="&quot;$&quot;#,##0.00;\-&quot;$&quot;#,##0.00"/>
    <numFmt numFmtId="165" formatCode="&quot;$&quot;#,##0.00;[Red]\-&quot;$&quot;#,##0.00"/>
    <numFmt numFmtId="166" formatCode="_-&quot;$&quot;* #,##0.00_-;\-&quot;$&quot;* #,##0.00_-;_-&quot;$&quot;* &quot;-&quot;??_-;_-@_-"/>
    <numFmt numFmtId="167" formatCode="_-* #,##0.00_-;\-* #,##0.00_-;_-* &quot;-&quot;??_-;_-@_-"/>
    <numFmt numFmtId="168" formatCode="0_);\(0\)"/>
    <numFmt numFmtId="169" formatCode="0.00_);\(0.00\)"/>
    <numFmt numFmtId="170" formatCode="_(&quot;$&quot;* #,##0.0000_);_(&quot;$&quot;* \(#,##0.0000\);_(&quot;$&quot;* &quot;-&quot;????_);_(@_)"/>
    <numFmt numFmtId="171" formatCode="mm/dd/yy;@"/>
    <numFmt numFmtId="172" formatCode="&quot;$&quot;#,##0.00"/>
    <numFmt numFmtId="173" formatCode="[$-1009]mmmm\ d\,\ yyyy;@"/>
    <numFmt numFmtId="174" formatCode="[$-F800]dddd\,\ mmmm\ dd\,\ yyyy"/>
  </numFmts>
  <fonts count="91" x14ac:knownFonts="1">
    <font>
      <sz val="11"/>
      <color theme="1"/>
      <name val="Calibri"/>
      <family val="2"/>
      <scheme val="minor"/>
    </font>
    <font>
      <sz val="11"/>
      <color rgb="FFFF0000"/>
      <name val="Calibri"/>
      <family val="2"/>
      <scheme val="minor"/>
    </font>
    <font>
      <sz val="10"/>
      <name val="Times New Roman"/>
      <family val="1"/>
    </font>
    <font>
      <b/>
      <sz val="11"/>
      <name val="Arial"/>
      <family val="2"/>
    </font>
    <font>
      <b/>
      <sz val="18"/>
      <name val="Arial"/>
      <family val="2"/>
    </font>
    <font>
      <b/>
      <sz val="18"/>
      <color indexed="10"/>
      <name val="Arial"/>
      <family val="2"/>
    </font>
    <font>
      <b/>
      <sz val="16"/>
      <name val="Arial"/>
      <family val="2"/>
    </font>
    <font>
      <sz val="12"/>
      <name val="Arial"/>
      <family val="2"/>
    </font>
    <font>
      <b/>
      <sz val="10"/>
      <name val="Arial"/>
      <family val="2"/>
    </font>
    <font>
      <b/>
      <sz val="24"/>
      <name val="Arial"/>
      <family val="2"/>
    </font>
    <font>
      <b/>
      <sz val="20"/>
      <name val="Arial"/>
      <family val="2"/>
    </font>
    <font>
      <b/>
      <sz val="20"/>
      <color indexed="10"/>
      <name val="Arial"/>
      <family val="2"/>
    </font>
    <font>
      <b/>
      <sz val="17"/>
      <name val="Arial"/>
      <family val="2"/>
    </font>
    <font>
      <b/>
      <sz val="14"/>
      <name val="Arial"/>
      <family val="2"/>
    </font>
    <font>
      <b/>
      <sz val="18"/>
      <color rgb="FF00B050"/>
      <name val="Arial"/>
      <family val="2"/>
    </font>
    <font>
      <sz val="11"/>
      <color rgb="FF00B050"/>
      <name val="Calibri"/>
      <family val="2"/>
      <scheme val="minor"/>
    </font>
    <font>
      <sz val="14"/>
      <name val="Arial"/>
      <family val="2"/>
    </font>
    <font>
      <b/>
      <sz val="18"/>
      <color rgb="FFFF0000"/>
      <name val="Arial"/>
      <family val="2"/>
    </font>
    <font>
      <b/>
      <sz val="12"/>
      <name val="Arial"/>
      <family val="2"/>
    </font>
    <font>
      <sz val="18"/>
      <name val="Arial"/>
      <family val="2"/>
    </font>
    <font>
      <sz val="11"/>
      <color theme="1"/>
      <name val="Calibri"/>
      <family val="2"/>
      <scheme val="minor"/>
    </font>
    <font>
      <sz val="11"/>
      <color rgb="FF3F3F76"/>
      <name val="Calibri"/>
      <family val="2"/>
      <scheme val="minor"/>
    </font>
    <font>
      <b/>
      <sz val="11"/>
      <color theme="1"/>
      <name val="Calibri"/>
      <family val="2"/>
      <scheme val="minor"/>
    </font>
    <font>
      <u/>
      <sz val="11"/>
      <color theme="10"/>
      <name val="Calibri"/>
      <family val="2"/>
      <scheme val="minor"/>
    </font>
    <font>
      <sz val="12"/>
      <color indexed="10"/>
      <name val="Calibri"/>
      <family val="2"/>
      <scheme val="minor"/>
    </font>
    <font>
      <sz val="12"/>
      <color theme="1"/>
      <name val="Calibri"/>
      <family val="2"/>
      <scheme val="minor"/>
    </font>
    <font>
      <sz val="12"/>
      <name val="Calibri"/>
      <family val="2"/>
      <scheme val="minor"/>
    </font>
    <font>
      <sz val="12"/>
      <color rgb="FF3F3F76"/>
      <name val="Calibri"/>
      <family val="2"/>
      <scheme val="minor"/>
    </font>
    <font>
      <b/>
      <sz val="12"/>
      <color indexed="10"/>
      <name val="Arial"/>
      <family val="2"/>
    </font>
    <font>
      <b/>
      <i/>
      <sz val="12"/>
      <color theme="1"/>
      <name val="Calibri"/>
      <family val="2"/>
      <scheme val="minor"/>
    </font>
    <font>
      <u/>
      <sz val="12"/>
      <color theme="10"/>
      <name val="Calibri"/>
      <family val="2"/>
      <scheme val="minor"/>
    </font>
    <font>
      <b/>
      <sz val="12"/>
      <name val="Calibri"/>
      <family val="2"/>
      <scheme val="minor"/>
    </font>
    <font>
      <b/>
      <u/>
      <sz val="12"/>
      <color indexed="8"/>
      <name val="Arial"/>
      <family val="2"/>
    </font>
    <font>
      <b/>
      <u/>
      <sz val="12"/>
      <name val="Arial"/>
      <family val="2"/>
    </font>
    <font>
      <sz val="8"/>
      <name val="Calibri"/>
      <family val="2"/>
      <scheme val="minor"/>
    </font>
    <font>
      <sz val="11"/>
      <color rgb="FF000000"/>
      <name val="Calibri"/>
      <family val="2"/>
    </font>
    <font>
      <b/>
      <sz val="12"/>
      <color theme="0"/>
      <name val="Calibri"/>
      <family val="2"/>
      <scheme val="minor"/>
    </font>
    <font>
      <b/>
      <sz val="12"/>
      <color theme="1"/>
      <name val="Calibri"/>
      <family val="2"/>
      <scheme val="minor"/>
    </font>
    <font>
      <b/>
      <sz val="14"/>
      <color theme="1"/>
      <name val="Calibri"/>
      <family val="2"/>
      <scheme val="minor"/>
    </font>
    <font>
      <sz val="10"/>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theme="1" tint="0.34998626667073579"/>
      <name val="Calibri"/>
      <family val="2"/>
      <scheme val="minor"/>
    </font>
    <font>
      <b/>
      <sz val="18"/>
      <color theme="3"/>
      <name val="Calibri Light"/>
      <family val="2"/>
      <scheme val="major"/>
    </font>
    <font>
      <sz val="11"/>
      <color rgb="FF9C6500"/>
      <name val="Calibri"/>
      <family val="2"/>
      <scheme val="minor"/>
    </font>
    <font>
      <sz val="14"/>
      <color rgb="FF000000"/>
      <name val="Calibri"/>
      <family val="2"/>
    </font>
    <font>
      <b/>
      <sz val="12"/>
      <color rgb="FFFF0000"/>
      <name val="Arial"/>
      <family val="2"/>
    </font>
    <font>
      <b/>
      <sz val="20"/>
      <color theme="1"/>
      <name val="Calibri"/>
      <family val="2"/>
      <scheme val="minor"/>
    </font>
    <font>
      <sz val="11"/>
      <name val="Calibri"/>
      <family val="2"/>
      <scheme val="minor"/>
    </font>
    <font>
      <b/>
      <sz val="10"/>
      <color theme="1"/>
      <name val="Calibri"/>
      <family val="2"/>
      <scheme val="minor"/>
    </font>
    <font>
      <sz val="11"/>
      <color theme="0" tint="-0.14999847407452621"/>
      <name val="Calibri"/>
      <family val="2"/>
      <scheme val="minor"/>
    </font>
    <font>
      <b/>
      <sz val="16"/>
      <color theme="1"/>
      <name val="Calibri"/>
      <family val="2"/>
      <scheme val="minor"/>
    </font>
    <font>
      <b/>
      <sz val="12"/>
      <color rgb="FFFF0000"/>
      <name val="Calibri"/>
      <family val="2"/>
      <scheme val="minor"/>
    </font>
    <font>
      <sz val="11"/>
      <color theme="1"/>
      <name val="Calibri"/>
      <family val="2"/>
      <charset val="238"/>
      <scheme val="minor"/>
    </font>
    <font>
      <b/>
      <sz val="18"/>
      <color theme="3"/>
      <name val="Calibri Light"/>
      <family val="2"/>
      <charset val="238"/>
      <scheme val="maj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006100"/>
      <name val="Calibri"/>
      <family val="2"/>
      <charset val="238"/>
      <scheme val="minor"/>
    </font>
    <font>
      <sz val="11"/>
      <color rgb="FF9C0006"/>
      <name val="Calibri"/>
      <family val="2"/>
      <charset val="238"/>
      <scheme val="minor"/>
    </font>
    <font>
      <sz val="11"/>
      <color rgb="FF9C6500"/>
      <name val="Calibri"/>
      <family val="2"/>
      <charset val="238"/>
      <scheme val="minor"/>
    </font>
    <font>
      <sz val="11"/>
      <color rgb="FF3F3F76"/>
      <name val="Calibri"/>
      <family val="2"/>
      <charset val="238"/>
      <scheme val="minor"/>
    </font>
    <font>
      <b/>
      <sz val="11"/>
      <color rgb="FF3F3F3F"/>
      <name val="Calibri"/>
      <family val="2"/>
      <charset val="238"/>
      <scheme val="minor"/>
    </font>
    <font>
      <b/>
      <sz val="11"/>
      <color rgb="FFFA7D00"/>
      <name val="Calibri"/>
      <family val="2"/>
      <charset val="238"/>
      <scheme val="minor"/>
    </font>
    <font>
      <sz val="11"/>
      <color rgb="FFFA7D00"/>
      <name val="Calibri"/>
      <family val="2"/>
      <charset val="238"/>
      <scheme val="minor"/>
    </font>
    <font>
      <b/>
      <sz val="11"/>
      <color theme="0"/>
      <name val="Calibri"/>
      <family val="2"/>
      <charset val="238"/>
      <scheme val="minor"/>
    </font>
    <font>
      <sz val="11"/>
      <color rgb="FFFF0000"/>
      <name val="Calibri"/>
      <family val="2"/>
      <charset val="238"/>
      <scheme val="minor"/>
    </font>
    <font>
      <i/>
      <sz val="11"/>
      <color rgb="FF7F7F7F"/>
      <name val="Calibri"/>
      <family val="2"/>
      <charset val="238"/>
      <scheme val="minor"/>
    </font>
    <font>
      <b/>
      <sz val="11"/>
      <color theme="1"/>
      <name val="Calibri"/>
      <family val="2"/>
      <charset val="238"/>
      <scheme val="minor"/>
    </font>
    <font>
      <sz val="11"/>
      <color theme="0"/>
      <name val="Calibri"/>
      <family val="2"/>
      <charset val="238"/>
      <scheme val="minor"/>
    </font>
    <font>
      <sz val="18"/>
      <color theme="1"/>
      <name val="Arial"/>
      <family val="2"/>
    </font>
    <font>
      <b/>
      <sz val="11"/>
      <color rgb="FF222222"/>
      <name val="Calibri"/>
      <family val="2"/>
      <scheme val="minor"/>
    </font>
    <font>
      <sz val="11"/>
      <color rgb="FF222222"/>
      <name val="Calibri"/>
      <family val="2"/>
      <scheme val="minor"/>
    </font>
    <font>
      <b/>
      <sz val="18"/>
      <color theme="1"/>
      <name val="Arial"/>
      <family val="2"/>
    </font>
    <font>
      <sz val="11"/>
      <color rgb="FFC00000"/>
      <name val="Calibri"/>
      <family val="2"/>
      <scheme val="minor"/>
    </font>
    <font>
      <b/>
      <sz val="11"/>
      <color rgb="FFC00000"/>
      <name val="Calibri"/>
      <family val="2"/>
      <scheme val="minor"/>
    </font>
    <font>
      <b/>
      <sz val="10"/>
      <color rgb="FF000000"/>
      <name val="Arial"/>
      <family val="2"/>
    </font>
    <font>
      <sz val="10"/>
      <color rgb="FF000000"/>
      <name val="Arial"/>
      <family val="2"/>
    </font>
    <font>
      <sz val="10"/>
      <color theme="1"/>
      <name val="Arial"/>
      <family val="2"/>
    </font>
    <font>
      <b/>
      <sz val="10"/>
      <color theme="1"/>
      <name val="Arial"/>
      <family val="2"/>
    </font>
    <font>
      <sz val="10"/>
      <name val="Arial"/>
      <family val="2"/>
    </font>
    <font>
      <u/>
      <sz val="10"/>
      <name val="Arial"/>
      <family val="2"/>
    </font>
  </fonts>
  <fills count="52">
    <fill>
      <patternFill patternType="none"/>
    </fill>
    <fill>
      <patternFill patternType="gray125"/>
    </fill>
    <fill>
      <patternFill patternType="solid">
        <fgColor indexed="43"/>
        <bgColor indexed="64"/>
      </patternFill>
    </fill>
    <fill>
      <patternFill patternType="solid">
        <fgColor rgb="FFFFCC99"/>
      </patternFill>
    </fill>
    <fill>
      <patternFill patternType="solid">
        <fgColor theme="0" tint="-0.14999847407452621"/>
        <bgColor indexed="64"/>
      </patternFill>
    </fill>
    <fill>
      <patternFill patternType="solid">
        <fgColor indexed="42"/>
        <bgColor indexed="64"/>
      </patternFill>
    </fill>
    <fill>
      <patternFill patternType="solid">
        <fgColor rgb="FFFFFF00"/>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0000"/>
        <bgColor indexed="64"/>
      </patternFill>
    </fill>
    <fill>
      <patternFill patternType="solid">
        <fgColor theme="8" tint="0.39994506668294322"/>
        <bgColor indexed="64"/>
      </patternFill>
    </fill>
    <fill>
      <patternFill patternType="solid">
        <fgColor theme="6"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66FF33"/>
        <bgColor indexed="64"/>
      </patternFill>
    </fill>
    <fill>
      <patternFill patternType="solid">
        <fgColor rgb="FFFFFF99"/>
        <bgColor indexed="64"/>
      </patternFill>
    </fill>
    <fill>
      <patternFill patternType="solid">
        <fgColor rgb="FFF1BCB1"/>
        <bgColor indexed="64"/>
      </patternFill>
    </fill>
    <fill>
      <patternFill patternType="solid">
        <fgColor theme="5"/>
        <bgColor indexed="64"/>
      </patternFill>
    </fill>
    <fill>
      <patternFill patternType="solid">
        <fgColor theme="7" tint="0.39997558519241921"/>
        <bgColor indexed="64"/>
      </patternFill>
    </fill>
    <fill>
      <patternFill patternType="solid">
        <fgColor theme="8"/>
        <bgColor indexed="64"/>
      </patternFill>
    </fill>
    <fill>
      <patternFill patternType="solid">
        <fgColor theme="9" tint="0.39997558519241921"/>
        <bgColor indexed="64"/>
      </patternFill>
    </fill>
    <fill>
      <patternFill patternType="solid">
        <fgColor theme="4" tint="0.59999389629810485"/>
        <bgColor indexed="64"/>
      </patternFill>
    </fill>
  </fills>
  <borders count="60">
    <border>
      <left/>
      <right/>
      <top/>
      <bottom/>
      <diagonal/>
    </border>
    <border>
      <left/>
      <right/>
      <top/>
      <bottom style="medium">
        <color indexed="64"/>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style="thin">
        <color rgb="FF7F7F7F"/>
      </right>
      <top style="thin">
        <color rgb="FF7F7F7F"/>
      </top>
      <bottom style="thin">
        <color rgb="FF7F7F7F"/>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rgb="FF7F7F7F"/>
      </top>
      <bottom style="thin">
        <color rgb="FF7F7F7F"/>
      </bottom>
      <diagonal/>
    </border>
    <border>
      <left style="thin">
        <color indexed="64"/>
      </left>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s>
  <cellStyleXfs count="90">
    <xf numFmtId="0" fontId="0" fillId="0" borderId="0"/>
    <xf numFmtId="0" fontId="2" fillId="0" borderId="0"/>
    <xf numFmtId="166" fontId="20" fillId="0" borderId="0" applyFont="0" applyFill="0" applyBorder="0" applyAlignment="0" applyProtection="0"/>
    <xf numFmtId="0" fontId="21" fillId="3" borderId="2" applyNumberFormat="0" applyAlignment="0" applyProtection="0"/>
    <xf numFmtId="0" fontId="23" fillId="0" borderId="0" applyNumberFormat="0" applyFill="0" applyBorder="0" applyAlignment="0" applyProtection="0"/>
    <xf numFmtId="166" fontId="20" fillId="0" borderId="0" applyFont="0" applyFill="0" applyBorder="0" applyAlignment="0" applyProtection="0"/>
    <xf numFmtId="0" fontId="40" fillId="0" borderId="22" applyNumberFormat="0" applyFill="0" applyAlignment="0" applyProtection="0"/>
    <xf numFmtId="0" fontId="41" fillId="0" borderId="23" applyNumberFormat="0" applyFill="0" applyAlignment="0" applyProtection="0"/>
    <xf numFmtId="0" fontId="42" fillId="0" borderId="24" applyNumberFormat="0" applyFill="0" applyAlignment="0" applyProtection="0"/>
    <xf numFmtId="0" fontId="42" fillId="0" borderId="0" applyNumberFormat="0" applyFill="0" applyBorder="0" applyAlignment="0" applyProtection="0"/>
    <xf numFmtId="0" fontId="43" fillId="14" borderId="0" applyNumberFormat="0" applyBorder="0" applyAlignment="0" applyProtection="0"/>
    <xf numFmtId="0" fontId="44" fillId="15" borderId="0" applyNumberFormat="0" applyBorder="0" applyAlignment="0" applyProtection="0"/>
    <xf numFmtId="0" fontId="45" fillId="17" borderId="25" applyNumberFormat="0" applyAlignment="0" applyProtection="0"/>
    <xf numFmtId="0" fontId="46" fillId="17" borderId="2" applyNumberFormat="0" applyAlignment="0" applyProtection="0"/>
    <xf numFmtId="0" fontId="47" fillId="0" borderId="26" applyNumberFormat="0" applyFill="0" applyAlignment="0" applyProtection="0"/>
    <xf numFmtId="0" fontId="48" fillId="18" borderId="27" applyNumberFormat="0" applyAlignment="0" applyProtection="0"/>
    <xf numFmtId="0" fontId="1" fillId="0" borderId="0" applyNumberFormat="0" applyFill="0" applyBorder="0" applyAlignment="0" applyProtection="0"/>
    <xf numFmtId="0" fontId="20" fillId="19" borderId="28" applyNumberFormat="0" applyFont="0" applyAlignment="0" applyProtection="0"/>
    <xf numFmtId="0" fontId="49" fillId="0" borderId="0" applyNumberFormat="0" applyFill="0" applyBorder="0" applyAlignment="0" applyProtection="0"/>
    <xf numFmtId="0" fontId="22" fillId="0" borderId="29" applyNumberFormat="0" applyFill="0" applyAlignment="0" applyProtection="0"/>
    <xf numFmtId="0" fontId="50" fillId="20"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50" fillId="24"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50" fillId="28"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50" fillId="32"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50" fillId="36"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50" fillId="40"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167" fontId="20" fillId="0" borderId="0" applyFont="0" applyFill="0" applyBorder="0" applyAlignment="0" applyProtection="0"/>
    <xf numFmtId="0" fontId="52" fillId="0" borderId="0" applyNumberFormat="0" applyFill="0" applyBorder="0" applyAlignment="0" applyProtection="0"/>
    <xf numFmtId="0" fontId="53" fillId="16" borderId="0" applyNumberFormat="0" applyBorder="0" applyAlignment="0" applyProtection="0"/>
    <xf numFmtId="0" fontId="50" fillId="23" borderId="0" applyNumberFormat="0" applyBorder="0" applyAlignment="0" applyProtection="0"/>
    <xf numFmtId="0" fontId="50" fillId="27" borderId="0" applyNumberFormat="0" applyBorder="0" applyAlignment="0" applyProtection="0"/>
    <xf numFmtId="0" fontId="50" fillId="31" borderId="0" applyNumberFormat="0" applyBorder="0" applyAlignment="0" applyProtection="0"/>
    <xf numFmtId="0" fontId="50" fillId="35" borderId="0" applyNumberFormat="0" applyBorder="0" applyAlignment="0" applyProtection="0"/>
    <xf numFmtId="0" fontId="50" fillId="39" borderId="0" applyNumberFormat="0" applyBorder="0" applyAlignment="0" applyProtection="0"/>
    <xf numFmtId="0" fontId="50" fillId="43" borderId="0" applyNumberFormat="0" applyBorder="0" applyAlignment="0" applyProtection="0"/>
    <xf numFmtId="167" fontId="20" fillId="0" borderId="0" applyFont="0" applyFill="0" applyBorder="0" applyAlignment="0" applyProtection="0"/>
    <xf numFmtId="0" fontId="62" fillId="0" borderId="0"/>
    <xf numFmtId="0" fontId="63" fillId="0" borderId="0" applyNumberFormat="0" applyFill="0" applyBorder="0" applyAlignment="0" applyProtection="0"/>
    <xf numFmtId="0" fontId="64" fillId="0" borderId="22" applyNumberFormat="0" applyFill="0" applyAlignment="0" applyProtection="0"/>
    <xf numFmtId="0" fontId="65" fillId="0" borderId="23" applyNumberFormat="0" applyFill="0" applyAlignment="0" applyProtection="0"/>
    <xf numFmtId="0" fontId="66" fillId="0" borderId="24" applyNumberFormat="0" applyFill="0" applyAlignment="0" applyProtection="0"/>
    <xf numFmtId="0" fontId="66" fillId="0" borderId="0" applyNumberFormat="0" applyFill="0" applyBorder="0" applyAlignment="0" applyProtection="0"/>
    <xf numFmtId="0" fontId="67" fillId="14" borderId="0" applyNumberFormat="0" applyBorder="0" applyAlignment="0" applyProtection="0"/>
    <xf numFmtId="0" fontId="68" fillId="15" borderId="0" applyNumberFormat="0" applyBorder="0" applyAlignment="0" applyProtection="0"/>
    <xf numFmtId="0" fontId="69" fillId="16" borderId="0" applyNumberFormat="0" applyBorder="0" applyAlignment="0" applyProtection="0"/>
    <xf numFmtId="0" fontId="70" fillId="3" borderId="2" applyNumberFormat="0" applyAlignment="0" applyProtection="0"/>
    <xf numFmtId="0" fontId="71" fillId="17" borderId="25" applyNumberFormat="0" applyAlignment="0" applyProtection="0"/>
    <xf numFmtId="0" fontId="72" fillId="17" borderId="2" applyNumberFormat="0" applyAlignment="0" applyProtection="0"/>
    <xf numFmtId="0" fontId="73" fillId="0" borderId="26" applyNumberFormat="0" applyFill="0" applyAlignment="0" applyProtection="0"/>
    <xf numFmtId="0" fontId="74" fillId="18" borderId="27" applyNumberFormat="0" applyAlignment="0" applyProtection="0"/>
    <xf numFmtId="0" fontId="75" fillId="0" borderId="0" applyNumberFormat="0" applyFill="0" applyBorder="0" applyAlignment="0" applyProtection="0"/>
    <xf numFmtId="0" fontId="62" fillId="19" borderId="28" applyNumberFormat="0" applyFont="0" applyAlignment="0" applyProtection="0"/>
    <xf numFmtId="0" fontId="76" fillId="0" borderId="0" applyNumberFormat="0" applyFill="0" applyBorder="0" applyAlignment="0" applyProtection="0"/>
    <xf numFmtId="0" fontId="77" fillId="0" borderId="29" applyNumberFormat="0" applyFill="0" applyAlignment="0" applyProtection="0"/>
    <xf numFmtId="0" fontId="78" fillId="20" borderId="0" applyNumberFormat="0" applyBorder="0" applyAlignment="0" applyProtection="0"/>
    <xf numFmtId="0" fontId="62" fillId="21" borderId="0" applyNumberFormat="0" applyBorder="0" applyAlignment="0" applyProtection="0"/>
    <xf numFmtId="0" fontId="62" fillId="22" borderId="0" applyNumberFormat="0" applyBorder="0" applyAlignment="0" applyProtection="0"/>
    <xf numFmtId="0" fontId="78" fillId="23" borderId="0" applyNumberFormat="0" applyBorder="0" applyAlignment="0" applyProtection="0"/>
    <xf numFmtId="0" fontId="78" fillId="24" borderId="0" applyNumberFormat="0" applyBorder="0" applyAlignment="0" applyProtection="0"/>
    <xf numFmtId="0" fontId="62" fillId="25" borderId="0" applyNumberFormat="0" applyBorder="0" applyAlignment="0" applyProtection="0"/>
    <xf numFmtId="0" fontId="62" fillId="26" borderId="0" applyNumberFormat="0" applyBorder="0" applyAlignment="0" applyProtection="0"/>
    <xf numFmtId="0" fontId="78" fillId="27" borderId="0" applyNumberFormat="0" applyBorder="0" applyAlignment="0" applyProtection="0"/>
    <xf numFmtId="0" fontId="78" fillId="28" borderId="0" applyNumberFormat="0" applyBorder="0" applyAlignment="0" applyProtection="0"/>
    <xf numFmtId="0" fontId="62" fillId="29" borderId="0" applyNumberFormat="0" applyBorder="0" applyAlignment="0" applyProtection="0"/>
    <xf numFmtId="0" fontId="62" fillId="30" borderId="0" applyNumberFormat="0" applyBorder="0" applyAlignment="0" applyProtection="0"/>
    <xf numFmtId="0" fontId="78" fillId="31" borderId="0" applyNumberFormat="0" applyBorder="0" applyAlignment="0" applyProtection="0"/>
    <xf numFmtId="0" fontId="78" fillId="32" borderId="0" applyNumberFormat="0" applyBorder="0" applyAlignment="0" applyProtection="0"/>
    <xf numFmtId="0" fontId="62" fillId="33" borderId="0" applyNumberFormat="0" applyBorder="0" applyAlignment="0" applyProtection="0"/>
    <xf numFmtId="0" fontId="62" fillId="34" borderId="0" applyNumberFormat="0" applyBorder="0" applyAlignment="0" applyProtection="0"/>
    <xf numFmtId="0" fontId="78" fillId="35" borderId="0" applyNumberFormat="0" applyBorder="0" applyAlignment="0" applyProtection="0"/>
    <xf numFmtId="0" fontId="78" fillId="36" borderId="0" applyNumberFormat="0" applyBorder="0" applyAlignment="0" applyProtection="0"/>
    <xf numFmtId="0" fontId="62" fillId="37" borderId="0" applyNumberFormat="0" applyBorder="0" applyAlignment="0" applyProtection="0"/>
    <xf numFmtId="0" fontId="62" fillId="38" borderId="0" applyNumberFormat="0" applyBorder="0" applyAlignment="0" applyProtection="0"/>
    <xf numFmtId="0" fontId="78" fillId="39" borderId="0" applyNumberFormat="0" applyBorder="0" applyAlignment="0" applyProtection="0"/>
    <xf numFmtId="0" fontId="78" fillId="40" borderId="0" applyNumberFormat="0" applyBorder="0" applyAlignment="0" applyProtection="0"/>
    <xf numFmtId="0" fontId="62" fillId="41" borderId="0" applyNumberFormat="0" applyBorder="0" applyAlignment="0" applyProtection="0"/>
    <xf numFmtId="0" fontId="62" fillId="42" borderId="0" applyNumberFormat="0" applyBorder="0" applyAlignment="0" applyProtection="0"/>
    <xf numFmtId="0" fontId="78" fillId="43" borderId="0" applyNumberFormat="0" applyBorder="0" applyAlignment="0" applyProtection="0"/>
  </cellStyleXfs>
  <cellXfs count="285">
    <xf numFmtId="0" fontId="0" fillId="0" borderId="0" xfId="0"/>
    <xf numFmtId="49" fontId="3" fillId="0" borderId="0" xfId="1" applyNumberFormat="1" applyFont="1" applyAlignment="1">
      <alignment horizontal="left"/>
    </xf>
    <xf numFmtId="49" fontId="4" fillId="0" borderId="0" xfId="1" applyNumberFormat="1" applyFont="1" applyAlignment="1">
      <alignment horizontal="left"/>
    </xf>
    <xf numFmtId="0" fontId="4" fillId="0" borderId="0" xfId="1" applyFont="1" applyAlignment="1">
      <alignment horizontal="left"/>
    </xf>
    <xf numFmtId="168" fontId="5" fillId="0" borderId="0" xfId="1" applyNumberFormat="1" applyFont="1" applyAlignment="1">
      <alignment horizontal="center"/>
    </xf>
    <xf numFmtId="169" fontId="6" fillId="0" borderId="0" xfId="1" applyNumberFormat="1" applyFont="1" applyAlignment="1">
      <alignment horizontal="center"/>
    </xf>
    <xf numFmtId="49" fontId="8" fillId="0" borderId="0" xfId="1" applyNumberFormat="1" applyFont="1" applyAlignment="1">
      <alignment horizontal="left"/>
    </xf>
    <xf numFmtId="0" fontId="8" fillId="0" borderId="0" xfId="1" applyFont="1" applyAlignment="1">
      <alignment horizontal="left"/>
    </xf>
    <xf numFmtId="169" fontId="4" fillId="0" borderId="0" xfId="1" applyNumberFormat="1" applyFont="1" applyAlignment="1">
      <alignment horizontal="center"/>
    </xf>
    <xf numFmtId="0" fontId="4" fillId="0" borderId="0" xfId="1" applyFont="1"/>
    <xf numFmtId="0" fontId="4" fillId="0" borderId="0" xfId="1" applyFont="1" applyAlignment="1">
      <alignment horizontal="right"/>
    </xf>
    <xf numFmtId="49" fontId="6" fillId="0" borderId="0" xfId="1" applyNumberFormat="1" applyFont="1" applyAlignment="1">
      <alignment horizontal="left"/>
    </xf>
    <xf numFmtId="0" fontId="6" fillId="0" borderId="0" xfId="1" applyFont="1" applyAlignment="1">
      <alignment horizontal="left"/>
    </xf>
    <xf numFmtId="168" fontId="6" fillId="0" borderId="0" xfId="1" applyNumberFormat="1" applyFont="1" applyAlignment="1">
      <alignment horizontal="left"/>
    </xf>
    <xf numFmtId="170" fontId="6" fillId="0" borderId="0" xfId="1" applyNumberFormat="1" applyFont="1" applyAlignment="1">
      <alignment horizontal="center" vertical="center"/>
    </xf>
    <xf numFmtId="44" fontId="6" fillId="0" borderId="0" xfId="1" applyNumberFormat="1" applyFont="1" applyAlignment="1">
      <alignment horizontal="center" vertical="center"/>
    </xf>
    <xf numFmtId="49" fontId="6" fillId="0" borderId="1" xfId="1" applyNumberFormat="1" applyFont="1" applyBorder="1" applyAlignment="1">
      <alignment horizontal="left"/>
    </xf>
    <xf numFmtId="0" fontId="6" fillId="0" borderId="1" xfId="1" applyFont="1" applyBorder="1" applyAlignment="1">
      <alignment horizontal="left"/>
    </xf>
    <xf numFmtId="168" fontId="6" fillId="0" borderId="1" xfId="1" applyNumberFormat="1" applyFont="1" applyBorder="1" applyAlignment="1">
      <alignment horizontal="left"/>
    </xf>
    <xf numFmtId="169" fontId="6" fillId="0" borderId="1" xfId="1" applyNumberFormat="1" applyFont="1" applyBorder="1" applyAlignment="1">
      <alignment horizontal="center"/>
    </xf>
    <xf numFmtId="170" fontId="6" fillId="0" borderId="1" xfId="1" applyNumberFormat="1" applyFont="1" applyBorder="1" applyAlignment="1">
      <alignment horizontal="center" vertical="center"/>
    </xf>
    <xf numFmtId="44" fontId="6" fillId="0" borderId="1" xfId="1" applyNumberFormat="1" applyFont="1" applyBorder="1" applyAlignment="1">
      <alignment horizontal="center" vertical="center"/>
    </xf>
    <xf numFmtId="0" fontId="3" fillId="0" borderId="0" xfId="1" applyFont="1" applyAlignment="1">
      <alignment horizontal="left"/>
    </xf>
    <xf numFmtId="37" fontId="6" fillId="0" borderId="0" xfId="1" applyNumberFormat="1" applyFont="1" applyAlignment="1">
      <alignment horizontal="center"/>
    </xf>
    <xf numFmtId="44" fontId="3" fillId="0" borderId="0" xfId="1" applyNumberFormat="1" applyFont="1" applyAlignment="1">
      <alignment horizontal="right" vertical="center"/>
    </xf>
    <xf numFmtId="49" fontId="10" fillId="2" borderId="0" xfId="1" applyNumberFormat="1" applyFont="1" applyFill="1" applyAlignment="1">
      <alignment horizontal="left"/>
    </xf>
    <xf numFmtId="168" fontId="11" fillId="2" borderId="0" xfId="1" applyNumberFormat="1" applyFont="1" applyFill="1" applyAlignment="1">
      <alignment horizontal="center"/>
    </xf>
    <xf numFmtId="49" fontId="4" fillId="0" borderId="0" xfId="1" applyNumberFormat="1" applyFont="1" applyAlignment="1">
      <alignment horizontal="left" vertical="center"/>
    </xf>
    <xf numFmtId="0" fontId="4" fillId="0" borderId="0" xfId="1" applyFont="1" applyAlignment="1">
      <alignment horizontal="left" vertical="center"/>
    </xf>
    <xf numFmtId="168" fontId="4" fillId="0" borderId="0" xfId="1" applyNumberFormat="1" applyFont="1" applyAlignment="1">
      <alignment horizontal="left" vertical="center"/>
    </xf>
    <xf numFmtId="0" fontId="4" fillId="0" borderId="0" xfId="1" applyFont="1" applyAlignment="1">
      <alignment horizontal="center" vertical="center"/>
    </xf>
    <xf numFmtId="44" fontId="4" fillId="0" borderId="0" xfId="1" applyNumberFormat="1" applyFont="1" applyAlignment="1">
      <alignment vertical="center"/>
    </xf>
    <xf numFmtId="0" fontId="4" fillId="2" borderId="0" xfId="1" applyFont="1" applyFill="1" applyAlignment="1">
      <alignment horizontal="center" vertical="center"/>
    </xf>
    <xf numFmtId="0" fontId="3" fillId="0" borderId="0" xfId="1" applyFont="1" applyAlignment="1">
      <alignment vertical="center"/>
    </xf>
    <xf numFmtId="0" fontId="4" fillId="0" borderId="0" xfId="1" applyFont="1" applyAlignment="1">
      <alignment vertical="center"/>
    </xf>
    <xf numFmtId="49" fontId="4" fillId="0" borderId="0" xfId="1" applyNumberFormat="1" applyFont="1" applyAlignment="1">
      <alignment vertical="center"/>
    </xf>
    <xf numFmtId="168" fontId="5" fillId="0" borderId="0" xfId="1" applyNumberFormat="1" applyFont="1" applyAlignment="1">
      <alignment horizontal="left" vertical="center"/>
    </xf>
    <xf numFmtId="49" fontId="14" fillId="0" borderId="0" xfId="1" applyNumberFormat="1" applyFont="1" applyAlignment="1">
      <alignment horizontal="left" vertical="center"/>
    </xf>
    <xf numFmtId="0" fontId="15" fillId="0" borderId="0" xfId="0" applyFont="1"/>
    <xf numFmtId="0" fontId="1" fillId="0" borderId="0" xfId="0" applyFont="1"/>
    <xf numFmtId="49" fontId="12" fillId="0" borderId="0" xfId="1" applyNumberFormat="1" applyFont="1" applyAlignment="1">
      <alignment horizontal="left" vertical="center"/>
    </xf>
    <xf numFmtId="0" fontId="4" fillId="0" borderId="0" xfId="1" applyFont="1" applyAlignment="1">
      <alignment horizontal="left" vertical="center" indent="1"/>
    </xf>
    <xf numFmtId="0" fontId="14" fillId="0" borderId="0" xfId="1" applyFont="1" applyAlignment="1">
      <alignment horizontal="left" vertical="center" indent="1"/>
    </xf>
    <xf numFmtId="44" fontId="17" fillId="0" borderId="0" xfId="1" applyNumberFormat="1" applyFont="1" applyAlignment="1">
      <alignment vertical="center"/>
    </xf>
    <xf numFmtId="44" fontId="14" fillId="0" borderId="0" xfId="1" applyNumberFormat="1" applyFont="1" applyAlignment="1">
      <alignment vertical="center"/>
    </xf>
    <xf numFmtId="168" fontId="5" fillId="0" borderId="0" xfId="1" applyNumberFormat="1" applyFont="1" applyAlignment="1">
      <alignment horizontal="center" vertical="center"/>
    </xf>
    <xf numFmtId="0" fontId="3" fillId="0" borderId="0" xfId="1" applyFont="1" applyAlignment="1">
      <alignment horizontal="left" vertical="center"/>
    </xf>
    <xf numFmtId="49" fontId="13" fillId="0" borderId="0" xfId="1" applyNumberFormat="1" applyFont="1" applyAlignment="1">
      <alignment horizontal="left" vertical="center"/>
    </xf>
    <xf numFmtId="37" fontId="4" fillId="0" borderId="0" xfId="1" applyNumberFormat="1" applyFont="1" applyAlignment="1">
      <alignment horizontal="center" vertical="center"/>
    </xf>
    <xf numFmtId="170" fontId="4" fillId="0" borderId="0" xfId="1" applyNumberFormat="1" applyFont="1" applyAlignment="1">
      <alignment vertical="center"/>
    </xf>
    <xf numFmtId="49" fontId="3" fillId="0" borderId="0" xfId="1" applyNumberFormat="1" applyFont="1" applyAlignment="1">
      <alignment horizontal="left" vertical="center"/>
    </xf>
    <xf numFmtId="168" fontId="13" fillId="0" borderId="0" xfId="1" applyNumberFormat="1" applyFont="1" applyAlignment="1">
      <alignment horizontal="center" vertical="center"/>
    </xf>
    <xf numFmtId="169" fontId="6" fillId="0" borderId="0" xfId="1" applyNumberFormat="1" applyFont="1" applyAlignment="1">
      <alignment horizontal="center" vertical="center"/>
    </xf>
    <xf numFmtId="168" fontId="4" fillId="0" borderId="0" xfId="1" applyNumberFormat="1" applyFont="1" applyAlignment="1">
      <alignment horizontal="center" vertical="center"/>
    </xf>
    <xf numFmtId="168" fontId="13" fillId="0" borderId="0" xfId="1" applyNumberFormat="1" applyFont="1" applyAlignment="1">
      <alignment horizontal="left" vertical="center"/>
    </xf>
    <xf numFmtId="49" fontId="6" fillId="0" borderId="0" xfId="1" applyNumberFormat="1" applyFont="1" applyAlignment="1">
      <alignment horizontal="left" vertical="center"/>
    </xf>
    <xf numFmtId="0" fontId="6" fillId="0" borderId="0" xfId="1" applyFont="1" applyAlignment="1">
      <alignment horizontal="left" vertical="center"/>
    </xf>
    <xf numFmtId="168" fontId="24" fillId="0" borderId="0" xfId="1" applyNumberFormat="1" applyFont="1" applyAlignment="1">
      <alignment horizontal="center"/>
    </xf>
    <xf numFmtId="0" fontId="0" fillId="0" borderId="0" xfId="0" applyAlignment="1">
      <alignment horizontal="center"/>
    </xf>
    <xf numFmtId="0" fontId="22" fillId="0" borderId="0" xfId="0" applyFont="1"/>
    <xf numFmtId="0" fontId="25" fillId="0" borderId="0" xfId="0" applyFont="1" applyAlignment="1">
      <alignment horizontal="center"/>
    </xf>
    <xf numFmtId="0" fontId="26" fillId="0" borderId="0" xfId="0" applyFont="1" applyAlignment="1">
      <alignment horizontal="left"/>
    </xf>
    <xf numFmtId="169" fontId="26" fillId="0" borderId="0" xfId="1" applyNumberFormat="1" applyFont="1" applyAlignment="1">
      <alignment horizontal="center"/>
    </xf>
    <xf numFmtId="49" fontId="18" fillId="0" borderId="0" xfId="1" applyNumberFormat="1" applyFont="1" applyAlignment="1">
      <alignment horizontal="left"/>
    </xf>
    <xf numFmtId="0" fontId="18" fillId="0" borderId="0" xfId="1" applyFont="1" applyAlignment="1">
      <alignment vertical="center"/>
    </xf>
    <xf numFmtId="168" fontId="28" fillId="0" borderId="0" xfId="1" quotePrefix="1" applyNumberFormat="1" applyFont="1" applyAlignment="1">
      <alignment horizontal="left" vertical="center"/>
    </xf>
    <xf numFmtId="49" fontId="28" fillId="0" borderId="0" xfId="1" applyNumberFormat="1" applyFont="1" applyAlignment="1">
      <alignment horizontal="center"/>
    </xf>
    <xf numFmtId="168" fontId="28" fillId="0" borderId="0" xfId="1" applyNumberFormat="1" applyFont="1" applyAlignment="1">
      <alignment horizontal="left" vertical="center"/>
    </xf>
    <xf numFmtId="168" fontId="28" fillId="0" borderId="0" xfId="1" applyNumberFormat="1" applyFont="1" applyAlignment="1">
      <alignment horizontal="center" vertical="center"/>
    </xf>
    <xf numFmtId="0" fontId="18" fillId="5" borderId="8" xfId="1" applyFont="1" applyFill="1" applyBorder="1" applyAlignment="1">
      <alignment vertical="center"/>
    </xf>
    <xf numFmtId="0" fontId="18" fillId="5" borderId="9" xfId="1" applyFont="1" applyFill="1" applyBorder="1" applyAlignment="1">
      <alignment vertical="center"/>
    </xf>
    <xf numFmtId="0" fontId="18" fillId="5" borderId="11" xfId="1" applyFont="1" applyFill="1" applyBorder="1" applyAlignment="1">
      <alignment horizontal="right" vertical="center"/>
    </xf>
    <xf numFmtId="168" fontId="18" fillId="5" borderId="0" xfId="1" applyNumberFormat="1" applyFont="1" applyFill="1" applyAlignment="1">
      <alignment horizontal="center" vertical="center"/>
    </xf>
    <xf numFmtId="0" fontId="18" fillId="5" borderId="0" xfId="1" applyFont="1" applyFill="1" applyAlignment="1">
      <alignment horizontal="left" vertical="center"/>
    </xf>
    <xf numFmtId="0" fontId="18" fillId="5" borderId="0" xfId="1" applyFont="1" applyFill="1" applyAlignment="1">
      <alignment vertical="center"/>
    </xf>
    <xf numFmtId="49" fontId="18" fillId="5" borderId="0" xfId="1" applyNumberFormat="1" applyFont="1" applyFill="1" applyAlignment="1">
      <alignment horizontal="left" vertical="center"/>
    </xf>
    <xf numFmtId="0" fontId="25" fillId="5" borderId="0" xfId="0" applyFont="1" applyFill="1" applyAlignment="1">
      <alignment horizontal="left" vertical="center"/>
    </xf>
    <xf numFmtId="165" fontId="18" fillId="5" borderId="12" xfId="1" applyNumberFormat="1" applyFont="1" applyFill="1" applyBorder="1" applyAlignment="1">
      <alignment horizontal="center" vertical="center"/>
    </xf>
    <xf numFmtId="49" fontId="18" fillId="5" borderId="13" xfId="1" applyNumberFormat="1" applyFont="1" applyFill="1" applyBorder="1" applyAlignment="1">
      <alignment horizontal="left" vertical="center"/>
    </xf>
    <xf numFmtId="0" fontId="18" fillId="5" borderId="1" xfId="1" applyFont="1" applyFill="1" applyBorder="1" applyAlignment="1">
      <alignment vertical="center"/>
    </xf>
    <xf numFmtId="0" fontId="25" fillId="0" borderId="0" xfId="0" applyFont="1"/>
    <xf numFmtId="168" fontId="32" fillId="5" borderId="9" xfId="1" applyNumberFormat="1" applyFont="1" applyFill="1" applyBorder="1" applyAlignment="1">
      <alignment vertical="center"/>
    </xf>
    <xf numFmtId="1" fontId="0" fillId="0" borderId="0" xfId="0" applyNumberFormat="1" applyAlignment="1">
      <alignment horizontal="center"/>
    </xf>
    <xf numFmtId="49" fontId="0" fillId="0" borderId="0" xfId="0" applyNumberFormat="1"/>
    <xf numFmtId="0" fontId="0" fillId="9" borderId="0" xfId="0" applyFill="1"/>
    <xf numFmtId="0" fontId="0" fillId="9" borderId="0" xfId="0" applyFill="1" applyAlignment="1">
      <alignment horizontal="center"/>
    </xf>
    <xf numFmtId="0" fontId="0" fillId="13" borderId="0" xfId="0" applyFill="1"/>
    <xf numFmtId="0" fontId="37" fillId="9" borderId="0" xfId="0" applyFont="1" applyFill="1" applyAlignment="1">
      <alignment horizontal="center"/>
    </xf>
    <xf numFmtId="0" fontId="37" fillId="8" borderId="0" xfId="0" applyFont="1" applyFill="1" applyAlignment="1">
      <alignment horizontal="center"/>
    </xf>
    <xf numFmtId="0" fontId="22" fillId="12" borderId="0" xfId="0" applyFont="1" applyFill="1"/>
    <xf numFmtId="0" fontId="0" fillId="0" borderId="18" xfId="0" applyBorder="1"/>
    <xf numFmtId="0" fontId="0" fillId="0" borderId="19" xfId="0" applyBorder="1"/>
    <xf numFmtId="0" fontId="37" fillId="13" borderId="0" xfId="0" applyFont="1" applyFill="1" applyAlignment="1">
      <alignment horizontal="left"/>
    </xf>
    <xf numFmtId="166" fontId="38" fillId="5" borderId="10" xfId="1" applyNumberFormat="1" applyFont="1" applyFill="1" applyBorder="1" applyAlignment="1">
      <alignment horizontal="center" vertical="center"/>
    </xf>
    <xf numFmtId="0" fontId="0" fillId="7" borderId="17" xfId="0" applyFill="1" applyBorder="1"/>
    <xf numFmtId="0" fontId="22" fillId="0" borderId="20" xfId="0" applyFont="1" applyBorder="1"/>
    <xf numFmtId="0" fontId="0" fillId="10" borderId="16" xfId="0" applyFill="1" applyBorder="1" applyAlignment="1">
      <alignment horizontal="right"/>
    </xf>
    <xf numFmtId="0" fontId="37" fillId="10" borderId="16" xfId="0" applyFont="1" applyFill="1" applyBorder="1" applyAlignment="1">
      <alignment horizontal="center"/>
    </xf>
    <xf numFmtId="0" fontId="39" fillId="10" borderId="16" xfId="0" applyFont="1" applyFill="1" applyBorder="1" applyAlignment="1">
      <alignment horizontal="center"/>
    </xf>
    <xf numFmtId="166" fontId="37" fillId="10" borderId="17" xfId="0" applyNumberFormat="1" applyFont="1" applyFill="1" applyBorder="1"/>
    <xf numFmtId="0" fontId="22" fillId="4" borderId="20" xfId="0" applyFont="1" applyFill="1" applyBorder="1"/>
    <xf numFmtId="0" fontId="22" fillId="4" borderId="21" xfId="0" applyFont="1" applyFill="1" applyBorder="1"/>
    <xf numFmtId="0" fontId="29" fillId="0" borderId="0" xfId="0" applyFont="1"/>
    <xf numFmtId="49" fontId="26" fillId="0" borderId="0" xfId="1" applyNumberFormat="1" applyFont="1" applyAlignment="1">
      <alignment horizontal="left"/>
    </xf>
    <xf numFmtId="0" fontId="26" fillId="0" borderId="0" xfId="1" applyFont="1" applyAlignment="1">
      <alignment horizontal="left"/>
    </xf>
    <xf numFmtId="0" fontId="31" fillId="0" borderId="0" xfId="0" applyFont="1"/>
    <xf numFmtId="0" fontId="26" fillId="0" borderId="0" xfId="0" applyFont="1"/>
    <xf numFmtId="0" fontId="51" fillId="0" borderId="0" xfId="0" applyFont="1"/>
    <xf numFmtId="0" fontId="7" fillId="0" borderId="0" xfId="0" quotePrefix="1" applyFont="1"/>
    <xf numFmtId="0" fontId="0" fillId="0" borderId="0" xfId="0" applyProtection="1">
      <protection locked="0"/>
    </xf>
    <xf numFmtId="0" fontId="26" fillId="10" borderId="38" xfId="0" applyFont="1" applyFill="1" applyBorder="1" applyAlignment="1">
      <alignment horizontal="right" vertical="center"/>
    </xf>
    <xf numFmtId="49" fontId="0" fillId="0" borderId="0" xfId="0" applyNumberFormat="1" applyProtection="1">
      <protection locked="0"/>
    </xf>
    <xf numFmtId="1" fontId="0" fillId="0" borderId="0" xfId="0" applyNumberFormat="1" applyAlignment="1" applyProtection="1">
      <alignment horizontal="center"/>
      <protection locked="0"/>
    </xf>
    <xf numFmtId="0" fontId="26" fillId="10" borderId="32" xfId="0" applyFont="1" applyFill="1" applyBorder="1"/>
    <xf numFmtId="0" fontId="26" fillId="10" borderId="33" xfId="0" applyFont="1" applyFill="1" applyBorder="1"/>
    <xf numFmtId="0" fontId="26" fillId="10" borderId="33" xfId="0" applyFont="1" applyFill="1" applyBorder="1" applyAlignment="1">
      <alignment horizontal="right"/>
    </xf>
    <xf numFmtId="0" fontId="36" fillId="0" borderId="0" xfId="0" applyFont="1"/>
    <xf numFmtId="0" fontId="48" fillId="0" borderId="0" xfId="0" applyFont="1"/>
    <xf numFmtId="0" fontId="0" fillId="8" borderId="0" xfId="0" applyFill="1" applyAlignment="1">
      <alignment horizontal="center"/>
    </xf>
    <xf numFmtId="0" fontId="22" fillId="12" borderId="0" xfId="0" applyFont="1" applyFill="1" applyAlignment="1">
      <alignment horizontal="center"/>
    </xf>
    <xf numFmtId="14" fontId="26" fillId="4" borderId="7" xfId="0" applyNumberFormat="1" applyFont="1" applyFill="1" applyBorder="1" applyAlignment="1">
      <alignment vertical="center"/>
    </xf>
    <xf numFmtId="0" fontId="0" fillId="4" borderId="7" xfId="0" applyFill="1" applyBorder="1"/>
    <xf numFmtId="0" fontId="25" fillId="4" borderId="7" xfId="0" applyFont="1" applyFill="1" applyBorder="1"/>
    <xf numFmtId="0" fontId="25" fillId="4" borderId="5" xfId="0" applyFont="1" applyFill="1" applyBorder="1"/>
    <xf numFmtId="0" fontId="25" fillId="4" borderId="5" xfId="0" applyFont="1" applyFill="1" applyBorder="1" applyAlignment="1">
      <alignment horizontal="right"/>
    </xf>
    <xf numFmtId="0" fontId="25" fillId="4" borderId="30" xfId="0" applyFont="1" applyFill="1" applyBorder="1"/>
    <xf numFmtId="0" fontId="25" fillId="4" borderId="31" xfId="0" applyFont="1" applyFill="1" applyBorder="1" applyAlignment="1">
      <alignment horizontal="right"/>
    </xf>
    <xf numFmtId="14" fontId="26" fillId="4" borderId="33" xfId="0" applyNumberFormat="1" applyFont="1" applyFill="1" applyBorder="1" applyAlignment="1">
      <alignment vertical="center"/>
    </xf>
    <xf numFmtId="0" fontId="26" fillId="0" borderId="3" xfId="0" applyFont="1" applyBorder="1" applyAlignment="1">
      <alignment horizontal="right" vertical="center"/>
    </xf>
    <xf numFmtId="0" fontId="25" fillId="4" borderId="3" xfId="0" applyFont="1" applyFill="1" applyBorder="1" applyAlignment="1">
      <alignment horizontal="left" vertical="center"/>
    </xf>
    <xf numFmtId="0" fontId="27" fillId="0" borderId="0" xfId="3" applyFont="1" applyFill="1" applyBorder="1" applyAlignment="1" applyProtection="1">
      <alignment horizontal="center" vertical="center"/>
    </xf>
    <xf numFmtId="0" fontId="30" fillId="0" borderId="0" xfId="4" applyFont="1" applyFill="1" applyBorder="1" applyAlignment="1" applyProtection="1">
      <alignment horizontal="center" vertical="center"/>
    </xf>
    <xf numFmtId="168" fontId="28" fillId="0" borderId="0" xfId="1" applyNumberFormat="1" applyFont="1" applyAlignment="1">
      <alignment horizontal="center"/>
    </xf>
    <xf numFmtId="168" fontId="24" fillId="0" borderId="0" xfId="1" applyNumberFormat="1" applyFont="1" applyAlignment="1">
      <alignment horizontal="left"/>
    </xf>
    <xf numFmtId="0" fontId="29" fillId="0" borderId="0" xfId="0" applyFont="1" applyAlignment="1">
      <alignment horizontal="left"/>
    </xf>
    <xf numFmtId="168" fontId="38" fillId="5" borderId="14" xfId="1" applyNumberFormat="1" applyFont="1" applyFill="1" applyBorder="1" applyAlignment="1">
      <alignment horizontal="center" vertical="center"/>
    </xf>
    <xf numFmtId="0" fontId="56" fillId="0" borderId="0" xfId="0" applyFont="1" applyAlignment="1">
      <alignment horizontal="left" vertical="center"/>
    </xf>
    <xf numFmtId="166" fontId="0" fillId="0" borderId="0" xfId="0" applyNumberFormat="1"/>
    <xf numFmtId="0" fontId="37" fillId="4" borderId="5" xfId="0" applyFont="1" applyFill="1" applyBorder="1" applyAlignment="1">
      <alignment horizontal="right"/>
    </xf>
    <xf numFmtId="0" fontId="37" fillId="4" borderId="6" xfId="0" applyFont="1" applyFill="1" applyBorder="1" applyAlignment="1">
      <alignment horizontal="right"/>
    </xf>
    <xf numFmtId="0" fontId="57" fillId="0" borderId="0" xfId="0" applyFont="1"/>
    <xf numFmtId="0" fontId="36" fillId="11" borderId="38" xfId="0" applyFont="1" applyFill="1" applyBorder="1" applyAlignment="1">
      <alignment horizontal="center" vertical="center"/>
    </xf>
    <xf numFmtId="0" fontId="26" fillId="4" borderId="40" xfId="0" applyFont="1" applyFill="1" applyBorder="1" applyAlignment="1">
      <alignment vertical="center"/>
    </xf>
    <xf numFmtId="0" fontId="0" fillId="4" borderId="30" xfId="0" applyFill="1" applyBorder="1"/>
    <xf numFmtId="0" fontId="55" fillId="0" borderId="41" xfId="1" applyFont="1" applyBorder="1" applyAlignment="1" applyProtection="1">
      <alignment horizontal="center"/>
      <protection locked="0"/>
    </xf>
    <xf numFmtId="0" fontId="26" fillId="10" borderId="7" xfId="0" applyFont="1" applyFill="1" applyBorder="1" applyAlignment="1">
      <alignment horizontal="right" vertical="center"/>
    </xf>
    <xf numFmtId="0" fontId="26" fillId="10" borderId="6" xfId="0" applyFont="1" applyFill="1" applyBorder="1" applyAlignment="1">
      <alignment horizontal="right" vertical="center"/>
    </xf>
    <xf numFmtId="0" fontId="57" fillId="10" borderId="5" xfId="0" applyFont="1" applyFill="1" applyBorder="1" applyAlignment="1">
      <alignment horizontal="left" vertical="center"/>
    </xf>
    <xf numFmtId="0" fontId="26" fillId="4" borderId="3" xfId="0" applyFont="1" applyFill="1" applyBorder="1" applyAlignment="1">
      <alignment horizontal="right" vertical="center"/>
    </xf>
    <xf numFmtId="0" fontId="58" fillId="0" borderId="0" xfId="0" applyFont="1"/>
    <xf numFmtId="0" fontId="22" fillId="4" borderId="33" xfId="0" applyFont="1" applyFill="1" applyBorder="1"/>
    <xf numFmtId="0" fontId="0" fillId="44" borderId="3" xfId="0" applyFill="1" applyBorder="1"/>
    <xf numFmtId="0" fontId="26" fillId="4" borderId="7" xfId="0" applyFont="1" applyFill="1" applyBorder="1" applyAlignment="1">
      <alignment vertical="center"/>
    </xf>
    <xf numFmtId="0" fontId="0" fillId="4" borderId="16" xfId="0" applyFill="1" applyBorder="1" applyAlignment="1">
      <alignment horizontal="right"/>
    </xf>
    <xf numFmtId="0" fontId="0" fillId="4" borderId="15" xfId="0" applyFill="1" applyBorder="1" applyAlignment="1">
      <alignment horizontal="left"/>
    </xf>
    <xf numFmtId="0" fontId="0" fillId="4" borderId="17" xfId="0" applyFill="1" applyBorder="1"/>
    <xf numFmtId="49" fontId="59" fillId="4" borderId="0" xfId="0" applyNumberFormat="1" applyFont="1" applyFill="1" applyProtection="1">
      <protection hidden="1"/>
    </xf>
    <xf numFmtId="0" fontId="0" fillId="7" borderId="0" xfId="0" applyFill="1" applyProtection="1">
      <protection hidden="1"/>
    </xf>
    <xf numFmtId="0" fontId="0" fillId="7" borderId="0" xfId="0" applyFill="1" applyAlignment="1" applyProtection="1">
      <alignment horizontal="center"/>
      <protection hidden="1"/>
    </xf>
    <xf numFmtId="0" fontId="0" fillId="10" borderId="0" xfId="0" applyFill="1" applyAlignment="1" applyProtection="1">
      <alignment horizontal="center"/>
      <protection hidden="1"/>
    </xf>
    <xf numFmtId="166" fontId="0" fillId="7" borderId="0" xfId="0" applyNumberFormat="1" applyFill="1" applyProtection="1">
      <protection hidden="1"/>
    </xf>
    <xf numFmtId="0" fontId="0" fillId="0" borderId="0" xfId="0" applyProtection="1">
      <protection hidden="1"/>
    </xf>
    <xf numFmtId="0" fontId="60" fillId="0" borderId="0" xfId="0" applyFont="1"/>
    <xf numFmtId="0" fontId="17" fillId="0" borderId="0" xfId="1" applyFont="1" applyAlignment="1">
      <alignment horizontal="center" vertical="center"/>
    </xf>
    <xf numFmtId="0" fontId="26" fillId="0" borderId="6" xfId="0" applyFont="1" applyBorder="1" applyAlignment="1" applyProtection="1">
      <alignment vertical="center"/>
      <protection locked="0"/>
    </xf>
    <xf numFmtId="0" fontId="61" fillId="0" borderId="0" xfId="0" applyFont="1" applyAlignment="1">
      <alignment horizontal="right"/>
    </xf>
    <xf numFmtId="49" fontId="26" fillId="6" borderId="3" xfId="0" applyNumberFormat="1" applyFont="1" applyFill="1" applyBorder="1" applyAlignment="1" applyProtection="1">
      <alignment vertical="center"/>
      <protection locked="0"/>
    </xf>
    <xf numFmtId="172" fontId="0" fillId="0" borderId="0" xfId="0" applyNumberFormat="1"/>
    <xf numFmtId="49" fontId="62" fillId="0" borderId="0" xfId="48" applyNumberFormat="1" applyProtection="1">
      <protection locked="0"/>
    </xf>
    <xf numFmtId="0" fontId="25" fillId="0" borderId="0" xfId="0" applyFont="1" applyAlignment="1" applyProtection="1">
      <alignment horizontal="center"/>
      <protection locked="0"/>
    </xf>
    <xf numFmtId="0" fontId="79" fillId="0" borderId="0" xfId="0" applyFont="1" applyAlignment="1">
      <alignment horizontal="center" vertical="center"/>
    </xf>
    <xf numFmtId="0" fontId="9" fillId="2" borderId="0" xfId="1" applyFont="1" applyFill="1" applyAlignment="1">
      <alignment horizontal="left" vertical="center"/>
    </xf>
    <xf numFmtId="166" fontId="4" fillId="0" borderId="0" xfId="1" applyNumberFormat="1" applyFont="1" applyAlignment="1">
      <alignment vertical="center"/>
    </xf>
    <xf numFmtId="0" fontId="9" fillId="2" borderId="0" xfId="1" applyFont="1" applyFill="1" applyAlignment="1">
      <alignment horizontal="left"/>
    </xf>
    <xf numFmtId="0" fontId="10" fillId="0" borderId="0" xfId="1" applyFont="1" applyAlignment="1">
      <alignment horizontal="left" vertical="center"/>
    </xf>
    <xf numFmtId="0" fontId="80" fillId="0" borderId="0" xfId="0" applyFont="1" applyAlignment="1">
      <alignment vertical="center" wrapText="1"/>
    </xf>
    <xf numFmtId="0" fontId="81" fillId="0" borderId="0" xfId="0" applyFont="1" applyAlignment="1">
      <alignment vertical="center" wrapText="1"/>
    </xf>
    <xf numFmtId="9" fontId="0" fillId="0" borderId="0" xfId="0" applyNumberFormat="1"/>
    <xf numFmtId="49" fontId="4" fillId="45" borderId="0" xfId="0" applyNumberFormat="1" applyFont="1" applyFill="1"/>
    <xf numFmtId="0" fontId="0" fillId="45" borderId="0" xfId="0" applyFill="1"/>
    <xf numFmtId="0" fontId="57" fillId="45" borderId="0" xfId="0" applyFont="1" applyFill="1"/>
    <xf numFmtId="49" fontId="10" fillId="45" borderId="0" xfId="1" applyNumberFormat="1" applyFont="1" applyFill="1" applyAlignment="1">
      <alignment horizontal="left"/>
    </xf>
    <xf numFmtId="49" fontId="4" fillId="0" borderId="0" xfId="0" applyNumberFormat="1" applyFont="1"/>
    <xf numFmtId="0" fontId="82" fillId="0" borderId="0" xfId="0" applyFont="1"/>
    <xf numFmtId="0" fontId="4" fillId="0" borderId="0" xfId="0" applyFont="1"/>
    <xf numFmtId="166" fontId="82" fillId="0" borderId="0" xfId="2" applyFont="1" applyFill="1"/>
    <xf numFmtId="166" fontId="82" fillId="0" borderId="0" xfId="0" applyNumberFormat="1" applyFont="1"/>
    <xf numFmtId="49" fontId="10" fillId="0" borderId="0" xfId="1" applyNumberFormat="1" applyFont="1" applyAlignment="1">
      <alignment horizontal="left"/>
    </xf>
    <xf numFmtId="44" fontId="0" fillId="0" borderId="0" xfId="0" applyNumberFormat="1"/>
    <xf numFmtId="166" fontId="0" fillId="0" borderId="0" xfId="2" applyFont="1"/>
    <xf numFmtId="0" fontId="34" fillId="0" borderId="0" xfId="0" applyFont="1"/>
    <xf numFmtId="164" fontId="0" fillId="7" borderId="0" xfId="2" applyNumberFormat="1" applyFont="1" applyFill="1" applyProtection="1">
      <protection hidden="1"/>
    </xf>
    <xf numFmtId="0" fontId="83" fillId="0" borderId="0" xfId="0" applyFont="1"/>
    <xf numFmtId="0" fontId="84" fillId="46" borderId="0" xfId="0" applyFont="1" applyFill="1"/>
    <xf numFmtId="0" fontId="85" fillId="0" borderId="0" xfId="0" applyFont="1" applyAlignment="1">
      <alignment vertical="center"/>
    </xf>
    <xf numFmtId="0" fontId="86" fillId="0" borderId="0" xfId="0" applyFont="1"/>
    <xf numFmtId="166" fontId="86" fillId="0" borderId="0" xfId="2" applyFont="1"/>
    <xf numFmtId="0" fontId="87" fillId="0" borderId="0" xfId="0" applyFont="1"/>
    <xf numFmtId="173" fontId="88" fillId="0" borderId="1" xfId="0" applyNumberFormat="1" applyFont="1" applyBorder="1" applyAlignment="1">
      <alignment horizontal="center"/>
    </xf>
    <xf numFmtId="0" fontId="8" fillId="4" borderId="42" xfId="0" applyFont="1" applyFill="1" applyBorder="1" applyAlignment="1">
      <alignment vertical="center"/>
    </xf>
    <xf numFmtId="0" fontId="8" fillId="4" borderId="43" xfId="0" applyFont="1" applyFill="1" applyBorder="1" applyAlignment="1">
      <alignment vertical="center"/>
    </xf>
    <xf numFmtId="0" fontId="8" fillId="4" borderId="43" xfId="0" applyFont="1" applyFill="1" applyBorder="1" applyAlignment="1">
      <alignment horizontal="center" vertical="center" wrapText="1"/>
    </xf>
    <xf numFmtId="166" fontId="8" fillId="4" borderId="43" xfId="2" applyFont="1" applyFill="1" applyBorder="1" applyAlignment="1">
      <alignment vertical="center"/>
    </xf>
    <xf numFmtId="166" fontId="8" fillId="4" borderId="43" xfId="2" applyFont="1" applyFill="1" applyBorder="1" applyAlignment="1">
      <alignment horizontal="center" vertical="center"/>
    </xf>
    <xf numFmtId="0" fontId="8" fillId="4" borderId="44" xfId="0" applyFont="1" applyFill="1" applyBorder="1" applyAlignment="1">
      <alignment vertical="center"/>
    </xf>
    <xf numFmtId="173" fontId="88" fillId="6" borderId="45" xfId="0" applyNumberFormat="1" applyFont="1" applyFill="1" applyBorder="1" applyAlignment="1">
      <alignment horizontal="center" wrapText="1"/>
    </xf>
    <xf numFmtId="0" fontId="89" fillId="0" borderId="46" xfId="0" applyFont="1" applyBorder="1" applyAlignment="1">
      <alignment vertical="center"/>
    </xf>
    <xf numFmtId="0" fontId="89" fillId="0" borderId="47" xfId="4" applyFont="1" applyFill="1" applyBorder="1" applyAlignment="1">
      <alignment vertical="center"/>
    </xf>
    <xf numFmtId="0" fontId="89" fillId="0" borderId="47" xfId="0" applyFont="1" applyBorder="1" applyAlignment="1">
      <alignment vertical="center"/>
    </xf>
    <xf numFmtId="166" fontId="89" fillId="0" borderId="48" xfId="2" applyFont="1" applyFill="1" applyBorder="1" applyAlignment="1">
      <alignment vertical="center"/>
    </xf>
    <xf numFmtId="0" fontId="87" fillId="0" borderId="49" xfId="0" applyFont="1" applyBorder="1"/>
    <xf numFmtId="173" fontId="87" fillId="47" borderId="50" xfId="0" applyNumberFormat="1" applyFont="1" applyFill="1" applyBorder="1" applyAlignment="1">
      <alignment horizontal="center"/>
    </xf>
    <xf numFmtId="0" fontId="89" fillId="0" borderId="35" xfId="0" applyFont="1" applyBorder="1" applyAlignment="1">
      <alignment vertical="center"/>
    </xf>
    <xf numFmtId="0" fontId="89" fillId="0" borderId="3" xfId="4" applyFont="1" applyFill="1" applyBorder="1" applyAlignment="1">
      <alignment vertical="center"/>
    </xf>
    <xf numFmtId="0" fontId="89" fillId="0" borderId="3" xfId="0" applyFont="1" applyBorder="1" applyAlignment="1">
      <alignment vertical="center"/>
    </xf>
    <xf numFmtId="166" fontId="89" fillId="0" borderId="5" xfId="2" applyFont="1" applyFill="1" applyBorder="1" applyAlignment="1">
      <alignment vertical="center"/>
    </xf>
    <xf numFmtId="173" fontId="87" fillId="47" borderId="34" xfId="0" applyNumberFormat="1" applyFont="1" applyFill="1" applyBorder="1" applyAlignment="1">
      <alignment horizontal="center"/>
    </xf>
    <xf numFmtId="0" fontId="87" fillId="0" borderId="35" xfId="0" applyFont="1" applyBorder="1"/>
    <xf numFmtId="0" fontId="87" fillId="0" borderId="3" xfId="0" applyFont="1" applyBorder="1"/>
    <xf numFmtId="0" fontId="87" fillId="0" borderId="51" xfId="0" applyFont="1" applyBorder="1"/>
    <xf numFmtId="0" fontId="89" fillId="0" borderId="52" xfId="4" applyFont="1" applyFill="1" applyBorder="1" applyAlignment="1">
      <alignment vertical="center"/>
    </xf>
    <xf numFmtId="0" fontId="87" fillId="0" borderId="52" xfId="0" applyFont="1" applyBorder="1"/>
    <xf numFmtId="166" fontId="89" fillId="0" borderId="53" xfId="2" applyFont="1" applyFill="1" applyBorder="1" applyAlignment="1">
      <alignment vertical="center"/>
    </xf>
    <xf numFmtId="0" fontId="87" fillId="0" borderId="54" xfId="0" applyFont="1" applyBorder="1"/>
    <xf numFmtId="173" fontId="87" fillId="47" borderId="55" xfId="0" applyNumberFormat="1" applyFont="1" applyFill="1" applyBorder="1" applyAlignment="1">
      <alignment horizontal="center"/>
    </xf>
    <xf numFmtId="0" fontId="87" fillId="0" borderId="46" xfId="0" applyFont="1" applyBorder="1"/>
    <xf numFmtId="0" fontId="87" fillId="0" borderId="47" xfId="0" applyFont="1" applyBorder="1"/>
    <xf numFmtId="0" fontId="87" fillId="0" borderId="44" xfId="0" applyFont="1" applyBorder="1"/>
    <xf numFmtId="173" fontId="87" fillId="48" borderId="50" xfId="0" applyNumberFormat="1" applyFont="1" applyFill="1" applyBorder="1" applyAlignment="1">
      <alignment horizontal="center"/>
    </xf>
    <xf numFmtId="173" fontId="87" fillId="48" borderId="34" xfId="0" applyNumberFormat="1" applyFont="1" applyFill="1" applyBorder="1" applyAlignment="1">
      <alignment horizontal="center"/>
    </xf>
    <xf numFmtId="173" fontId="87" fillId="48" borderId="55" xfId="0" applyNumberFormat="1" applyFont="1" applyFill="1" applyBorder="1" applyAlignment="1">
      <alignment horizontal="center"/>
    </xf>
    <xf numFmtId="173" fontId="87" fillId="49" borderId="50" xfId="0" applyNumberFormat="1" applyFont="1" applyFill="1" applyBorder="1" applyAlignment="1">
      <alignment horizontal="center"/>
    </xf>
    <xf numFmtId="173" fontId="87" fillId="49" borderId="34" xfId="0" applyNumberFormat="1" applyFont="1" applyFill="1" applyBorder="1" applyAlignment="1">
      <alignment horizontal="center"/>
    </xf>
    <xf numFmtId="0" fontId="89" fillId="0" borderId="51" xfId="0" applyFont="1" applyBorder="1" applyAlignment="1">
      <alignment vertical="center"/>
    </xf>
    <xf numFmtId="0" fontId="89" fillId="0" borderId="52" xfId="0" applyFont="1" applyBorder="1" applyAlignment="1">
      <alignment vertical="center"/>
    </xf>
    <xf numFmtId="173" fontId="87" fillId="49" borderId="55" xfId="0" applyNumberFormat="1" applyFont="1" applyFill="1" applyBorder="1" applyAlignment="1">
      <alignment horizontal="center"/>
    </xf>
    <xf numFmtId="173" fontId="87" fillId="50" borderId="50" xfId="0" applyNumberFormat="1" applyFont="1" applyFill="1" applyBorder="1" applyAlignment="1">
      <alignment horizontal="center"/>
    </xf>
    <xf numFmtId="0" fontId="89" fillId="0" borderId="35" xfId="0" applyFont="1" applyBorder="1"/>
    <xf numFmtId="173" fontId="87" fillId="50" borderId="34" xfId="0" applyNumberFormat="1" applyFont="1" applyFill="1" applyBorder="1" applyAlignment="1">
      <alignment horizontal="center"/>
    </xf>
    <xf numFmtId="0" fontId="89" fillId="0" borderId="56" xfId="0" applyFont="1" applyBorder="1" applyAlignment="1">
      <alignment vertical="center"/>
    </xf>
    <xf numFmtId="0" fontId="89" fillId="0" borderId="57" xfId="4" applyFont="1" applyFill="1" applyBorder="1" applyAlignment="1">
      <alignment vertical="center"/>
    </xf>
    <xf numFmtId="0" fontId="89" fillId="0" borderId="57" xfId="0" applyFont="1" applyBorder="1" applyAlignment="1">
      <alignment vertical="center"/>
    </xf>
    <xf numFmtId="166" fontId="89" fillId="0" borderId="58" xfId="2" applyFont="1" applyFill="1" applyBorder="1" applyAlignment="1">
      <alignment vertical="center"/>
    </xf>
    <xf numFmtId="173" fontId="87" fillId="50" borderId="59" xfId="0" applyNumberFormat="1" applyFont="1" applyFill="1" applyBorder="1" applyAlignment="1">
      <alignment horizontal="center"/>
    </xf>
    <xf numFmtId="173" fontId="87" fillId="51" borderId="50" xfId="0" applyNumberFormat="1" applyFont="1" applyFill="1" applyBorder="1" applyAlignment="1">
      <alignment horizontal="center"/>
    </xf>
    <xf numFmtId="173" fontId="87" fillId="51" borderId="34" xfId="0" applyNumberFormat="1" applyFont="1" applyFill="1" applyBorder="1" applyAlignment="1">
      <alignment horizontal="center"/>
    </xf>
    <xf numFmtId="173" fontId="87" fillId="51" borderId="55" xfId="0" applyNumberFormat="1" applyFont="1" applyFill="1" applyBorder="1" applyAlignment="1">
      <alignment horizontal="center"/>
    </xf>
    <xf numFmtId="173" fontId="87" fillId="6" borderId="50" xfId="0" applyNumberFormat="1" applyFont="1" applyFill="1" applyBorder="1" applyAlignment="1">
      <alignment horizontal="center"/>
    </xf>
    <xf numFmtId="173" fontId="87" fillId="6" borderId="55" xfId="0" applyNumberFormat="1" applyFont="1" applyFill="1" applyBorder="1" applyAlignment="1">
      <alignment horizontal="center"/>
    </xf>
    <xf numFmtId="166" fontId="89" fillId="0" borderId="5" xfId="2" applyFont="1" applyFill="1" applyBorder="1" applyAlignment="1">
      <alignment horizontal="center" vertical="center"/>
    </xf>
    <xf numFmtId="0" fontId="89" fillId="0" borderId="35" xfId="0" applyFont="1" applyBorder="1" applyAlignment="1">
      <alignment horizontal="left"/>
    </xf>
    <xf numFmtId="0" fontId="90" fillId="0" borderId="52" xfId="4" applyFont="1" applyFill="1" applyBorder="1" applyAlignment="1">
      <alignment vertical="center"/>
    </xf>
    <xf numFmtId="173" fontId="87" fillId="50" borderId="55" xfId="0" applyNumberFormat="1" applyFont="1" applyFill="1" applyBorder="1" applyAlignment="1">
      <alignment horizontal="center"/>
    </xf>
    <xf numFmtId="166" fontId="87" fillId="0" borderId="0" xfId="2" applyFont="1"/>
    <xf numFmtId="173" fontId="87" fillId="0" borderId="0" xfId="0" applyNumberFormat="1" applyFont="1" applyAlignment="1">
      <alignment horizontal="center"/>
    </xf>
    <xf numFmtId="166" fontId="82" fillId="0" borderId="0" xfId="2" applyFont="1"/>
    <xf numFmtId="0" fontId="79" fillId="0" borderId="0" xfId="0" applyFont="1"/>
    <xf numFmtId="0" fontId="82" fillId="50" borderId="1" xfId="0" applyFont="1" applyFill="1" applyBorder="1" applyAlignment="1">
      <alignment horizontal="center" wrapText="1"/>
    </xf>
    <xf numFmtId="174" fontId="82" fillId="50" borderId="1" xfId="0" applyNumberFormat="1" applyFont="1" applyFill="1" applyBorder="1" applyAlignment="1">
      <alignment horizontal="left" wrapText="1"/>
    </xf>
    <xf numFmtId="174" fontId="79" fillId="0" borderId="0" xfId="0" applyNumberFormat="1" applyFont="1" applyAlignment="1">
      <alignment horizontal="left"/>
    </xf>
    <xf numFmtId="0" fontId="27" fillId="3" borderId="36" xfId="3" applyFont="1" applyBorder="1" applyAlignment="1" applyProtection="1">
      <alignment horizontal="center" vertical="center"/>
      <protection locked="0"/>
    </xf>
    <xf numFmtId="0" fontId="27" fillId="3" borderId="33" xfId="3" applyFont="1" applyBorder="1" applyAlignment="1" applyProtection="1">
      <alignment horizontal="center" vertical="center"/>
      <protection locked="0"/>
    </xf>
    <xf numFmtId="0" fontId="27" fillId="3" borderId="37" xfId="3" applyFont="1" applyBorder="1" applyAlignment="1" applyProtection="1">
      <alignment horizontal="center" vertical="center"/>
      <protection locked="0"/>
    </xf>
    <xf numFmtId="0" fontId="22" fillId="6" borderId="15" xfId="0" applyFont="1" applyFill="1" applyBorder="1" applyAlignment="1">
      <alignment horizontal="center"/>
    </xf>
    <xf numFmtId="0" fontId="22" fillId="6" borderId="16" xfId="0" applyFont="1" applyFill="1" applyBorder="1" applyAlignment="1">
      <alignment horizontal="center"/>
    </xf>
    <xf numFmtId="0" fontId="22" fillId="6" borderId="17" xfId="0" applyFont="1" applyFill="1" applyBorder="1" applyAlignment="1">
      <alignment horizontal="center"/>
    </xf>
    <xf numFmtId="0" fontId="33" fillId="5" borderId="1" xfId="1" applyFont="1" applyFill="1" applyBorder="1" applyAlignment="1">
      <alignment horizontal="center" vertical="center"/>
    </xf>
    <xf numFmtId="168" fontId="18" fillId="5" borderId="9" xfId="1" applyNumberFormat="1" applyFont="1" applyFill="1" applyBorder="1" applyAlignment="1">
      <alignment horizontal="center" vertical="center"/>
    </xf>
    <xf numFmtId="0" fontId="37" fillId="4" borderId="3" xfId="0" applyFont="1" applyFill="1" applyBorder="1" applyAlignment="1">
      <alignment horizontal="right"/>
    </xf>
    <xf numFmtId="0" fontId="37" fillId="4" borderId="5" xfId="0" applyFont="1" applyFill="1" applyBorder="1" applyAlignment="1">
      <alignment horizontal="right"/>
    </xf>
    <xf numFmtId="0" fontId="37" fillId="4" borderId="6" xfId="0" applyFont="1" applyFill="1" applyBorder="1" applyAlignment="1">
      <alignment horizontal="right"/>
    </xf>
    <xf numFmtId="1" fontId="27" fillId="3" borderId="39" xfId="3" applyNumberFormat="1" applyFont="1" applyBorder="1" applyAlignment="1" applyProtection="1">
      <alignment horizontal="center" vertical="center"/>
      <protection locked="0"/>
    </xf>
    <xf numFmtId="1" fontId="27" fillId="3" borderId="4" xfId="3" applyNumberFormat="1" applyFont="1" applyBorder="1" applyAlignment="1" applyProtection="1">
      <alignment horizontal="center" vertical="center"/>
      <protection locked="0"/>
    </xf>
    <xf numFmtId="171" fontId="27" fillId="3" borderId="39" xfId="3" applyNumberFormat="1" applyFont="1" applyBorder="1" applyAlignment="1" applyProtection="1">
      <alignment horizontal="center" vertical="center"/>
      <protection locked="0"/>
    </xf>
    <xf numFmtId="171" fontId="27" fillId="3" borderId="4" xfId="3" applyNumberFormat="1" applyFont="1" applyBorder="1" applyAlignment="1" applyProtection="1">
      <alignment horizontal="center" vertical="center"/>
      <protection locked="0"/>
    </xf>
    <xf numFmtId="0" fontId="25" fillId="4" borderId="5" xfId="0" applyFont="1" applyFill="1" applyBorder="1" applyAlignment="1">
      <alignment horizontal="left"/>
    </xf>
    <xf numFmtId="0" fontId="25" fillId="4" borderId="7" xfId="0" applyFont="1" applyFill="1" applyBorder="1" applyAlignment="1">
      <alignment horizontal="left"/>
    </xf>
    <xf numFmtId="0" fontId="26" fillId="0" borderId="5" xfId="0" applyFont="1" applyBorder="1" applyAlignment="1" applyProtection="1">
      <alignment horizontal="center" vertical="center"/>
      <protection locked="0"/>
    </xf>
    <xf numFmtId="0" fontId="26" fillId="0" borderId="6" xfId="0" applyFont="1" applyBorder="1" applyAlignment="1" applyProtection="1">
      <alignment horizontal="center" vertical="center"/>
      <protection locked="0"/>
    </xf>
    <xf numFmtId="0" fontId="26" fillId="0" borderId="0" xfId="0" applyFont="1" applyAlignment="1">
      <alignment horizontal="center" vertical="center"/>
    </xf>
    <xf numFmtId="0" fontId="7" fillId="0" borderId="0" xfId="0" applyFont="1" applyAlignment="1">
      <alignment horizontal="center"/>
    </xf>
    <xf numFmtId="0" fontId="27" fillId="3" borderId="34" xfId="3" applyFont="1" applyBorder="1" applyAlignment="1" applyProtection="1">
      <alignment horizontal="center" vertical="center"/>
      <protection locked="0"/>
    </xf>
    <xf numFmtId="0" fontId="27" fillId="3" borderId="7" xfId="3" applyFont="1" applyBorder="1" applyAlignment="1" applyProtection="1">
      <alignment horizontal="center" vertical="center"/>
      <protection locked="0"/>
    </xf>
    <xf numFmtId="0" fontId="27" fillId="3" borderId="35" xfId="3" applyFont="1" applyBorder="1" applyAlignment="1" applyProtection="1">
      <alignment horizontal="center" vertical="center"/>
      <protection locked="0"/>
    </xf>
    <xf numFmtId="44" fontId="6" fillId="0" borderId="0" xfId="1" applyNumberFormat="1" applyFont="1" applyAlignment="1">
      <alignment horizontal="center" vertical="center" wrapText="1"/>
    </xf>
  </cellXfs>
  <cellStyles count="90">
    <cellStyle name="20% - Accent1" xfId="21" builtinId="30" customBuiltin="1"/>
    <cellStyle name="20% - Accent1 2" xfId="67" xr:uid="{A8BA6E12-5418-41C5-A077-F8EB234E5DF7}"/>
    <cellStyle name="20% - Accent2" xfId="24" builtinId="34" customBuiltin="1"/>
    <cellStyle name="20% - Accent2 2" xfId="71" xr:uid="{7B57D2B1-9FC5-432A-A0EA-DC2DC8E3BE65}"/>
    <cellStyle name="20% - Accent3" xfId="27" builtinId="38" customBuiltin="1"/>
    <cellStyle name="20% - Accent3 2" xfId="75" xr:uid="{CC27E7A9-863B-4D81-B2FD-E16E9DECE5B1}"/>
    <cellStyle name="20% - Accent4" xfId="30" builtinId="42" customBuiltin="1"/>
    <cellStyle name="20% - Accent4 2" xfId="79" xr:uid="{8F91BAA8-4FAA-41E1-A4F3-5209330484DC}"/>
    <cellStyle name="20% - Accent5" xfId="33" builtinId="46" customBuiltin="1"/>
    <cellStyle name="20% - Accent5 2" xfId="83" xr:uid="{4C6224B9-65FD-45E0-8FDB-64E9D8D362A8}"/>
    <cellStyle name="20% - Accent6" xfId="36" builtinId="50" customBuiltin="1"/>
    <cellStyle name="20% - Accent6 2" xfId="87" xr:uid="{73A99893-CD7F-4D95-AE7E-E888AF127618}"/>
    <cellStyle name="40% - Accent1" xfId="22" builtinId="31" customBuiltin="1"/>
    <cellStyle name="40% - Accent1 2" xfId="68" xr:uid="{5463F888-8198-43A6-8243-6622292F511F}"/>
    <cellStyle name="40% - Accent2" xfId="25" builtinId="35" customBuiltin="1"/>
    <cellStyle name="40% - Accent2 2" xfId="72" xr:uid="{CF08BC8A-1AA4-4491-822A-BCCDC97A5204}"/>
    <cellStyle name="40% - Accent3" xfId="28" builtinId="39" customBuiltin="1"/>
    <cellStyle name="40% - Accent3 2" xfId="76" xr:uid="{E77213DC-C238-49A8-A790-1DD1E17654B7}"/>
    <cellStyle name="40% - Accent4" xfId="31" builtinId="43" customBuiltin="1"/>
    <cellStyle name="40% - Accent4 2" xfId="80" xr:uid="{5CF2B8D1-4D78-410D-8F18-CE769FE6B089}"/>
    <cellStyle name="40% - Accent5" xfId="34" builtinId="47" customBuiltin="1"/>
    <cellStyle name="40% - Accent5 2" xfId="84" xr:uid="{A3F5EE93-ED24-4895-93DD-DD0B586B9FDA}"/>
    <cellStyle name="40% - Accent6" xfId="37" builtinId="51" customBuiltin="1"/>
    <cellStyle name="40% - Accent6 2" xfId="88" xr:uid="{587622A8-03AF-411C-AB91-3A98B33625F3}"/>
    <cellStyle name="60% - Accent1 2" xfId="41" xr:uid="{8CB3C984-8278-4FB2-B592-0E42F367C738}"/>
    <cellStyle name="60% - Accent1 3" xfId="69" xr:uid="{E967647D-2C9D-4094-BF50-F56C04915979}"/>
    <cellStyle name="60% - Accent2 2" xfId="42" xr:uid="{75C571BD-CDBF-4FA5-AF13-7AE47329F48F}"/>
    <cellStyle name="60% - Accent2 3" xfId="73" xr:uid="{8CC8C58C-6DA4-47D1-9549-CC321A5846EA}"/>
    <cellStyle name="60% - Accent3 2" xfId="43" xr:uid="{1F00E222-6247-4411-AF40-0BF4813C19A7}"/>
    <cellStyle name="60% - Accent3 3" xfId="77" xr:uid="{D7C0C482-29C4-4E5A-8AF3-3008E84FB644}"/>
    <cellStyle name="60% - Accent4 2" xfId="44" xr:uid="{BA1AF2AD-1484-4755-992C-B4CF1A2DF7BF}"/>
    <cellStyle name="60% - Accent4 3" xfId="81" xr:uid="{16C70425-0CD7-4FF2-9D3A-E65416BC77B0}"/>
    <cellStyle name="60% - Accent5 2" xfId="45" xr:uid="{EA9448A9-5F37-4D22-AEAF-B832D931F512}"/>
    <cellStyle name="60% - Accent5 3" xfId="85" xr:uid="{C2B0E430-A751-4456-B088-736C86FE731B}"/>
    <cellStyle name="60% - Accent6 2" xfId="46" xr:uid="{C1DE9AB7-905C-46C6-AFD7-652884056022}"/>
    <cellStyle name="60% - Accent6 3" xfId="89" xr:uid="{B1D03AE3-EFB7-4C3A-B007-32327D7C481E}"/>
    <cellStyle name="Accent1" xfId="20" builtinId="29" customBuiltin="1"/>
    <cellStyle name="Accent1 2" xfId="66" xr:uid="{E5BC3D75-3C0F-414E-A701-7216E4D6C2B0}"/>
    <cellStyle name="Accent2" xfId="23" builtinId="33" customBuiltin="1"/>
    <cellStyle name="Accent2 2" xfId="70" xr:uid="{6CE9423C-5F6C-4A54-91EC-80A73A33F8A2}"/>
    <cellStyle name="Accent3" xfId="26" builtinId="37" customBuiltin="1"/>
    <cellStyle name="Accent3 2" xfId="74" xr:uid="{17A1A006-EE38-452D-8F1C-59E79FCDBCC1}"/>
    <cellStyle name="Accent4" xfId="29" builtinId="41" customBuiltin="1"/>
    <cellStyle name="Accent4 2" xfId="78" xr:uid="{A49887EE-CE18-4934-9EE0-7A68B5C0F187}"/>
    <cellStyle name="Accent5" xfId="32" builtinId="45" customBuiltin="1"/>
    <cellStyle name="Accent5 2" xfId="82" xr:uid="{B0F88F05-805B-4C70-93CB-51423CDF0177}"/>
    <cellStyle name="Accent6" xfId="35" builtinId="49" customBuiltin="1"/>
    <cellStyle name="Accent6 2" xfId="86" xr:uid="{B337BD3C-06AF-48A1-B694-4C0264A20864}"/>
    <cellStyle name="Bad" xfId="11" builtinId="27" customBuiltin="1"/>
    <cellStyle name="Bad 2" xfId="55" xr:uid="{2231D794-2FA9-47D1-9CBD-5EBBFB0E6827}"/>
    <cellStyle name="Calculation" xfId="13" builtinId="22" customBuiltin="1"/>
    <cellStyle name="Calculation 2" xfId="59" xr:uid="{7D2E88E8-FDA8-4B59-A6A8-95973D17789B}"/>
    <cellStyle name="Check Cell" xfId="15" builtinId="23" customBuiltin="1"/>
    <cellStyle name="Check Cell 2" xfId="61" xr:uid="{E3D0B725-A8D2-4FA4-B3E4-2B7319126E8C}"/>
    <cellStyle name="Comma 2" xfId="47" xr:uid="{9B2170BB-A26F-4EA3-ADEF-9FEC19AA0222}"/>
    <cellStyle name="Comma 3" xfId="38" xr:uid="{2273977B-4F48-427F-A99A-D2A98D35F410}"/>
    <cellStyle name="Currency" xfId="2" builtinId="4"/>
    <cellStyle name="Currency 2" xfId="5" xr:uid="{2F16A1F2-6225-4FA9-89D0-89D8E3F27154}"/>
    <cellStyle name="Explanatory Text" xfId="18" builtinId="53" customBuiltin="1"/>
    <cellStyle name="Explanatory Text 2" xfId="64" xr:uid="{25718598-B333-4AB2-9A7B-2749D7EFE13F}"/>
    <cellStyle name="Good" xfId="10" builtinId="26" customBuiltin="1"/>
    <cellStyle name="Good 2" xfId="54" xr:uid="{C00B15D4-D38C-4324-9F1A-1595051E71D7}"/>
    <cellStyle name="Heading 1" xfId="6" builtinId="16" customBuiltin="1"/>
    <cellStyle name="Heading 1 2" xfId="50" xr:uid="{8378A405-08C5-499F-AE19-DB8F53FDB1B4}"/>
    <cellStyle name="Heading 2" xfId="7" builtinId="17" customBuiltin="1"/>
    <cellStyle name="Heading 2 2" xfId="51" xr:uid="{F9F4595A-1270-4862-AF1C-ABF7EAF547D4}"/>
    <cellStyle name="Heading 3" xfId="8" builtinId="18" customBuiltin="1"/>
    <cellStyle name="Heading 3 2" xfId="52" xr:uid="{562CA5CF-E08A-4F4D-9F0F-2736664DF2AC}"/>
    <cellStyle name="Heading 4" xfId="9" builtinId="19" customBuiltin="1"/>
    <cellStyle name="Heading 4 2" xfId="53" xr:uid="{9FE4AD7D-3DB6-41F8-9D5C-3818C68976D4}"/>
    <cellStyle name="Hyperlink" xfId="4" builtinId="8"/>
    <cellStyle name="Input" xfId="3" builtinId="20" customBuiltin="1"/>
    <cellStyle name="Input 2" xfId="57" xr:uid="{18F15B66-D642-4474-AD65-0EF14FE70842}"/>
    <cellStyle name="Linked Cell" xfId="14" builtinId="24" customBuiltin="1"/>
    <cellStyle name="Linked Cell 2" xfId="60" xr:uid="{80F457E8-1232-4C19-8005-D4E86F178A91}"/>
    <cellStyle name="Neutral 2" xfId="40" xr:uid="{62366A4D-2D32-40A5-A5E1-71D14DA71EAC}"/>
    <cellStyle name="Neutral 3" xfId="56" xr:uid="{ABF090AA-DB42-4832-82AB-667608996DB2}"/>
    <cellStyle name="Normal" xfId="0" builtinId="0"/>
    <cellStyle name="Normal 2" xfId="48" xr:uid="{C2CC186A-30A2-4DBC-8C57-75C7735413B7}"/>
    <cellStyle name="Normal_TAG FRANCHISE ORDER FORMS 2007, 12-3-07" xfId="1" xr:uid="{00D8493A-9637-4E39-A392-561C4A01596F}"/>
    <cellStyle name="Note" xfId="17" builtinId="10" customBuiltin="1"/>
    <cellStyle name="Note 2" xfId="63" xr:uid="{D19198AC-E0C5-4FFC-BBE7-F6B504081C4C}"/>
    <cellStyle name="Output" xfId="12" builtinId="21" customBuiltin="1"/>
    <cellStyle name="Output 2" xfId="58" xr:uid="{EF15E505-F950-43C5-A42D-39A9836C8601}"/>
    <cellStyle name="Title 2" xfId="39" xr:uid="{3AE5A284-DBC7-4895-8029-C05C38CA903F}"/>
    <cellStyle name="Title 3" xfId="49" xr:uid="{64C99739-8DD6-46C9-BE39-A590231FE4D8}"/>
    <cellStyle name="Total" xfId="19" builtinId="25" customBuiltin="1"/>
    <cellStyle name="Total 2" xfId="65" xr:uid="{0F7DFC9A-60A9-47BA-8291-7872D86E4697}"/>
    <cellStyle name="Warning Text" xfId="16" builtinId="11" customBuiltin="1"/>
    <cellStyle name="Warning Text 2" xfId="62" xr:uid="{86D6FCF6-1F1D-4646-837D-567828EDFD03}"/>
  </cellStyles>
  <dxfs count="45">
    <dxf>
      <protection locked="0" hidden="0"/>
    </dxf>
    <dxf>
      <numFmt numFmtId="0" formatCode="General"/>
    </dxf>
    <dxf>
      <numFmt numFmtId="0" formatCode="General"/>
    </dxf>
    <dxf>
      <numFmt numFmtId="0" formatCode="General"/>
    </dxf>
    <dxf>
      <numFmt numFmtId="0" formatCode="General"/>
    </dxf>
    <dxf>
      <numFmt numFmtId="0" formatCode="General"/>
    </dxf>
    <dxf>
      <numFmt numFmtId="172" formatCode="&quot;$&quot;#,##0.00"/>
    </dxf>
    <dxf>
      <numFmt numFmtId="0" formatCode="General"/>
    </dxf>
    <dxf>
      <numFmt numFmtId="0" formatCode="Genera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numFmt numFmtId="0" formatCode="General"/>
    </dxf>
    <dxf>
      <numFmt numFmtId="0" formatCode="General"/>
    </dxf>
    <dxf>
      <numFmt numFmtId="0" formatCode="General"/>
    </dxf>
    <dxf>
      <numFmt numFmtId="0" formatCode="General"/>
      <protection locked="1" hidden="1"/>
    </dxf>
    <dxf>
      <numFmt numFmtId="30" formatCode="@"/>
    </dxf>
    <dxf>
      <numFmt numFmtId="30" formatCode="@"/>
    </dxf>
    <dxf>
      <font>
        <b/>
        <i val="0"/>
      </font>
      <fill>
        <patternFill>
          <bgColor rgb="FFFFFF00"/>
        </patternFill>
      </fill>
    </dxf>
    <dxf>
      <numFmt numFmtId="0" formatCode="General"/>
      <fill>
        <patternFill patternType="solid">
          <fgColor indexed="64"/>
          <bgColor theme="6" tint="0.59999389629810485"/>
        </patternFill>
      </fill>
      <protection locked="1" hidden="1"/>
    </dxf>
    <dxf>
      <numFmt numFmtId="166" formatCode="_-&quot;$&quot;* #,##0.00_-;\-&quot;$&quot;* #,##0.00_-;_-&quot;$&quot;* &quot;-&quot;??_-;_-@_-"/>
      <fill>
        <patternFill patternType="solid">
          <fgColor indexed="64"/>
          <bgColor theme="6" tint="0.59999389629810485"/>
        </patternFill>
      </fill>
      <protection locked="1" hidden="1"/>
    </dxf>
    <dxf>
      <numFmt numFmtId="0" formatCode="General"/>
      <fill>
        <patternFill patternType="solid">
          <fgColor indexed="64"/>
          <bgColor theme="6" tint="0.59999389629810485"/>
        </patternFill>
      </fill>
      <alignment horizontal="center" vertical="bottom" textRotation="0" wrapText="0" indent="0" justifyLastLine="0" shrinkToFit="0" readingOrder="0"/>
      <protection locked="1" hidden="1"/>
    </dxf>
    <dxf>
      <numFmt numFmtId="0" formatCode="General"/>
      <fill>
        <patternFill patternType="solid">
          <fgColor indexed="64"/>
          <bgColor theme="6" tint="0.59999389629810485"/>
        </patternFill>
      </fill>
      <alignment horizontal="center" vertical="bottom" textRotation="0" wrapText="0" indent="0" justifyLastLine="0" shrinkToFit="0" readingOrder="0"/>
      <protection locked="1" hidden="1"/>
    </dxf>
    <dxf>
      <numFmt numFmtId="0" formatCode="General"/>
      <fill>
        <patternFill patternType="solid">
          <fgColor indexed="64"/>
          <bgColor theme="7" tint="0.59999389629810485"/>
        </patternFill>
      </fill>
      <alignment horizontal="center" vertical="bottom" textRotation="0" wrapText="0" indent="0" justifyLastLine="0" shrinkToFit="0" readingOrder="0"/>
      <protection locked="1" hidden="1"/>
    </dxf>
    <dxf>
      <numFmt numFmtId="0" formatCode="General"/>
      <fill>
        <patternFill patternType="solid">
          <fgColor indexed="64"/>
          <bgColor theme="6" tint="0.5999938962981048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1"/>
        <color theme="1"/>
        <name val="Calibri"/>
        <family val="2"/>
        <scheme val="minor"/>
      </font>
      <numFmt numFmtId="164" formatCode="&quot;$&quot;#,##0.00;\-&quot;$&quot;#,##0.00"/>
      <fill>
        <patternFill patternType="solid">
          <fgColor indexed="64"/>
          <bgColor theme="6" tint="0.59999389629810485"/>
        </patternFill>
      </fill>
      <protection locked="1" hidden="1"/>
    </dxf>
    <dxf>
      <numFmt numFmtId="30" formatCode="@"/>
      <fill>
        <patternFill patternType="solid">
          <fgColor indexed="64"/>
          <bgColor theme="6" tint="0.59999389629810485"/>
        </patternFill>
      </fill>
      <protection locked="1" hidden="1"/>
    </dxf>
    <dxf>
      <fill>
        <patternFill patternType="solid">
          <fgColor indexed="64"/>
          <bgColor theme="6" tint="0.59999389629810485"/>
        </patternFill>
      </fill>
      <protection locked="1" hidden="1"/>
    </dxf>
    <dxf>
      <numFmt numFmtId="0" formatCode="General"/>
      <fill>
        <patternFill patternType="solid">
          <fgColor indexed="64"/>
          <bgColor theme="6" tint="0.59999389629810485"/>
        </patternFill>
      </fill>
      <protection locked="1" hidden="1"/>
    </dxf>
    <dxf>
      <protection locked="0" hidden="0"/>
    </dxf>
    <dxf>
      <numFmt numFmtId="1" formatCode="0"/>
      <alignment horizontal="center" vertical="bottom" textRotation="0" wrapText="0" indent="0" justifyLastLine="0" shrinkToFit="0" readingOrder="0"/>
      <protection locked="0" hidden="0"/>
    </dxf>
    <dxf>
      <numFmt numFmtId="30" formatCode="@"/>
      <protection locked="0" hidden="0"/>
    </dxf>
    <dxf>
      <border>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6" tint="0.59999389629810485"/>
        </patternFill>
      </fill>
    </dxf>
    <dxf>
      <font>
        <b val="0"/>
        <i val="0"/>
        <color rgb="FF66FF33"/>
      </font>
      <fill>
        <patternFill>
          <bgColor rgb="FF66FF33"/>
        </patternFill>
      </fill>
      <border>
        <left style="thin">
          <color auto="1"/>
        </left>
        <right style="thin">
          <color auto="1"/>
        </right>
        <top style="thin">
          <color auto="1"/>
        </top>
        <bottom style="thin">
          <color auto="1"/>
        </bottom>
      </border>
    </dxf>
    <dxf>
      <font>
        <b/>
        <i/>
      </font>
      <fill>
        <patternFill>
          <bgColor rgb="FFFFC000"/>
        </patternFill>
      </fill>
    </dxf>
    <dxf>
      <fill>
        <patternFill>
          <bgColor rgb="FFFF0000"/>
        </patternFill>
      </fill>
    </dxf>
    <dxf>
      <fill>
        <patternFill>
          <bgColor rgb="FFFF0000"/>
        </patternFill>
      </fill>
    </dxf>
    <dxf>
      <font>
        <b/>
        <i val="0"/>
        <color theme="0"/>
      </font>
      <fill>
        <patternFill>
          <bgColor rgb="FFFF0000"/>
        </patternFill>
      </fill>
    </dxf>
    <dxf>
      <font>
        <color auto="1"/>
      </font>
      <numFmt numFmtId="30" formatCode="@"/>
      <fill>
        <patternFill>
          <bgColor rgb="FF92D050"/>
        </patternFill>
      </fill>
    </dxf>
    <dxf>
      <fill>
        <patternFill>
          <bgColor theme="8" tint="0.39994506668294322"/>
        </patternFill>
      </fill>
    </dxf>
  </dxfs>
  <tableStyles count="1" defaultTableStyle="TableStyleMedium2" defaultPivotStyle="PivotStyleLight16">
    <tableStyle name="Basic" pivot="0" count="1" xr9:uid="{19C8FF18-E774-457A-AD58-64EB46317651}">
      <tableStyleElement type="headerRow" dxfId="44"/>
    </tableStyle>
  </tableStyles>
  <colors>
    <mruColors>
      <color rgb="FF66FF33"/>
      <color rgb="FFAEFF4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connections" Target="connection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microsoft.com/office/2007/relationships/slicerCache" Target="slicerCaches/slicerCache7.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24" Type="http://schemas.openxmlformats.org/officeDocument/2006/relationships/customXml" Target="../customXml/item2.xml"/><Relationship Id="rId5" Type="http://schemas.openxmlformats.org/officeDocument/2006/relationships/worksheet" Target="worksheets/sheet5.xml"/><Relationship Id="rId15" Type="http://schemas.microsoft.com/office/2007/relationships/slicerCache" Target="slicerCaches/slicerCache6.xml"/><Relationship Id="rId23" Type="http://schemas.openxmlformats.org/officeDocument/2006/relationships/customXml" Target="../customXml/item1.xml"/><Relationship Id="rId10" Type="http://schemas.microsoft.com/office/2007/relationships/slicerCache" Target="slicerCaches/slicerCache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5.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475129</xdr:colOff>
      <xdr:row>20</xdr:row>
      <xdr:rowOff>78441</xdr:rowOff>
    </xdr:from>
    <xdr:to>
      <xdr:col>2</xdr:col>
      <xdr:colOff>990600</xdr:colOff>
      <xdr:row>22</xdr:row>
      <xdr:rowOff>182655</xdr:rowOff>
    </xdr:to>
    <xdr:sp macro="" textlink="">
      <xdr:nvSpPr>
        <xdr:cNvPr id="2" name="Arrow: Down 1">
          <a:extLst>
            <a:ext uri="{FF2B5EF4-FFF2-40B4-BE49-F238E27FC236}">
              <a16:creationId xmlns:a16="http://schemas.microsoft.com/office/drawing/2014/main" id="{00000000-0008-0000-0000-000002000000}"/>
            </a:ext>
          </a:extLst>
        </xdr:cNvPr>
        <xdr:cNvSpPr/>
      </xdr:nvSpPr>
      <xdr:spPr>
        <a:xfrm>
          <a:off x="3142129" y="4280647"/>
          <a:ext cx="515471" cy="485214"/>
        </a:xfrm>
        <a:prstGeom prst="downArrow">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1714500</xdr:colOff>
      <xdr:row>20</xdr:row>
      <xdr:rowOff>62752</xdr:rowOff>
    </xdr:from>
    <xdr:to>
      <xdr:col>1</xdr:col>
      <xdr:colOff>280147</xdr:colOff>
      <xdr:row>22</xdr:row>
      <xdr:rowOff>166966</xdr:rowOff>
    </xdr:to>
    <xdr:sp macro="" textlink="">
      <xdr:nvSpPr>
        <xdr:cNvPr id="3" name="Arrow: Down 2">
          <a:extLst>
            <a:ext uri="{FF2B5EF4-FFF2-40B4-BE49-F238E27FC236}">
              <a16:creationId xmlns:a16="http://schemas.microsoft.com/office/drawing/2014/main" id="{00000000-0008-0000-0000-000003000000}"/>
            </a:ext>
          </a:extLst>
        </xdr:cNvPr>
        <xdr:cNvSpPr/>
      </xdr:nvSpPr>
      <xdr:spPr>
        <a:xfrm>
          <a:off x="1714500" y="4264958"/>
          <a:ext cx="515471" cy="485214"/>
        </a:xfrm>
        <a:prstGeom prst="downArrow">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CA" sz="1100"/>
        </a:p>
      </xdr:txBody>
    </xdr:sp>
    <xdr:clientData/>
  </xdr:twoCellAnchor>
  <xdr:twoCellAnchor>
    <xdr:from>
      <xdr:col>8</xdr:col>
      <xdr:colOff>481853</xdr:colOff>
      <xdr:row>4</xdr:row>
      <xdr:rowOff>129988</xdr:rowOff>
    </xdr:from>
    <xdr:to>
      <xdr:col>8</xdr:col>
      <xdr:colOff>997324</xdr:colOff>
      <xdr:row>6</xdr:row>
      <xdr:rowOff>173690</xdr:rowOff>
    </xdr:to>
    <xdr:sp macro="" textlink="">
      <xdr:nvSpPr>
        <xdr:cNvPr id="4" name="Arrow: Down 3">
          <a:extLst>
            <a:ext uri="{FF2B5EF4-FFF2-40B4-BE49-F238E27FC236}">
              <a16:creationId xmlns:a16="http://schemas.microsoft.com/office/drawing/2014/main" id="{00000000-0008-0000-0000-000004000000}"/>
            </a:ext>
          </a:extLst>
        </xdr:cNvPr>
        <xdr:cNvSpPr/>
      </xdr:nvSpPr>
      <xdr:spPr>
        <a:xfrm>
          <a:off x="10062882" y="1104900"/>
          <a:ext cx="515471" cy="447114"/>
        </a:xfrm>
        <a:prstGeom prst="downArrow">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CA" sz="11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15</xdr:col>
      <xdr:colOff>19050</xdr:colOff>
      <xdr:row>27</xdr:row>
      <xdr:rowOff>20955</xdr:rowOff>
    </xdr:from>
    <xdr:to>
      <xdr:col>16</xdr:col>
      <xdr:colOff>914400</xdr:colOff>
      <xdr:row>36</xdr:row>
      <xdr:rowOff>19050</xdr:rowOff>
    </xdr:to>
    <mc:AlternateContent xmlns:mc="http://schemas.openxmlformats.org/markup-compatibility/2006" xmlns:sle15="http://schemas.microsoft.com/office/drawing/2012/slicer">
      <mc:Choice Requires="sle15">
        <xdr:graphicFrame macro="">
          <xdr:nvGraphicFramePr>
            <xdr:cNvPr id="4" name="Finish">
              <a:extLst>
                <a:ext uri="{FF2B5EF4-FFF2-40B4-BE49-F238E27FC236}">
                  <a16:creationId xmlns:a16="http://schemas.microsoft.com/office/drawing/2014/main" id="{00000000-0008-0000-0600-000004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Finish"/>
            </a:graphicData>
          </a:graphic>
        </xdr:graphicFrame>
      </mc:Choice>
      <mc:Fallback xmlns="">
        <xdr:sp macro="" textlink="">
          <xdr:nvSpPr>
            <xdr:cNvPr id="0" name=""/>
            <xdr:cNvSpPr>
              <a:spLocks noTextEdit="1"/>
            </xdr:cNvSpPr>
          </xdr:nvSpPr>
          <xdr:spPr>
            <a:xfrm>
              <a:off x="15544800" y="5172075"/>
              <a:ext cx="1057275" cy="1695450"/>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17</xdr:col>
      <xdr:colOff>15240</xdr:colOff>
      <xdr:row>27</xdr:row>
      <xdr:rowOff>19050</xdr:rowOff>
    </xdr:from>
    <xdr:to>
      <xdr:col>19</xdr:col>
      <xdr:colOff>19050</xdr:colOff>
      <xdr:row>35</xdr:row>
      <xdr:rowOff>173355</xdr:rowOff>
    </xdr:to>
    <mc:AlternateContent xmlns:mc="http://schemas.openxmlformats.org/markup-compatibility/2006" xmlns:sle15="http://schemas.microsoft.com/office/drawing/2012/slicer">
      <mc:Choice Requires="sle15">
        <xdr:graphicFrame macro="">
          <xdr:nvGraphicFramePr>
            <xdr:cNvPr id="5" name="Fabric">
              <a:extLst>
                <a:ext uri="{FF2B5EF4-FFF2-40B4-BE49-F238E27FC236}">
                  <a16:creationId xmlns:a16="http://schemas.microsoft.com/office/drawing/2014/main" id="{00000000-0008-0000-0600-000005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Fabric"/>
            </a:graphicData>
          </a:graphic>
        </xdr:graphicFrame>
      </mc:Choice>
      <mc:Fallback xmlns="">
        <xdr:sp macro="" textlink="">
          <xdr:nvSpPr>
            <xdr:cNvPr id="0" name=""/>
            <xdr:cNvSpPr>
              <a:spLocks noTextEdit="1"/>
            </xdr:cNvSpPr>
          </xdr:nvSpPr>
          <xdr:spPr>
            <a:xfrm>
              <a:off x="16764000" y="5153025"/>
              <a:ext cx="1209675" cy="1695450"/>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11</xdr:col>
      <xdr:colOff>0</xdr:colOff>
      <xdr:row>13</xdr:row>
      <xdr:rowOff>15240</xdr:rowOff>
    </xdr:from>
    <xdr:to>
      <xdr:col>13</xdr:col>
      <xdr:colOff>514350</xdr:colOff>
      <xdr:row>26</xdr:row>
      <xdr:rowOff>15240</xdr:rowOff>
    </xdr:to>
    <mc:AlternateContent xmlns:mc="http://schemas.openxmlformats.org/markup-compatibility/2006" xmlns:sle15="http://schemas.microsoft.com/office/drawing/2012/slicer">
      <mc:Choice Requires="sle15">
        <xdr:graphicFrame macro="">
          <xdr:nvGraphicFramePr>
            <xdr:cNvPr id="6" name="Width">
              <a:extLst>
                <a:ext uri="{FF2B5EF4-FFF2-40B4-BE49-F238E27FC236}">
                  <a16:creationId xmlns:a16="http://schemas.microsoft.com/office/drawing/2014/main" id="{00000000-0008-0000-0600-000006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Width"/>
            </a:graphicData>
          </a:graphic>
        </xdr:graphicFrame>
      </mc:Choice>
      <mc:Fallback xmlns="">
        <xdr:sp macro="" textlink="">
          <xdr:nvSpPr>
            <xdr:cNvPr id="0" name=""/>
            <xdr:cNvSpPr>
              <a:spLocks noTextEdit="1"/>
            </xdr:cNvSpPr>
          </xdr:nvSpPr>
          <xdr:spPr>
            <a:xfrm>
              <a:off x="13811250" y="2495550"/>
              <a:ext cx="1114425" cy="2476500"/>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13</xdr:col>
      <xdr:colOff>571500</xdr:colOff>
      <xdr:row>13</xdr:row>
      <xdr:rowOff>20955</xdr:rowOff>
    </xdr:from>
    <xdr:to>
      <xdr:col>16</xdr:col>
      <xdr:colOff>358140</xdr:colOff>
      <xdr:row>26</xdr:row>
      <xdr:rowOff>20955</xdr:rowOff>
    </xdr:to>
    <mc:AlternateContent xmlns:mc="http://schemas.openxmlformats.org/markup-compatibility/2006" xmlns:sle15="http://schemas.microsoft.com/office/drawing/2012/slicer">
      <mc:Choice Requires="sle15">
        <xdr:graphicFrame macro="">
          <xdr:nvGraphicFramePr>
            <xdr:cNvPr id="7" name="Depth">
              <a:extLst>
                <a:ext uri="{FF2B5EF4-FFF2-40B4-BE49-F238E27FC236}">
                  <a16:creationId xmlns:a16="http://schemas.microsoft.com/office/drawing/2014/main" id="{00000000-0008-0000-0600-000007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Depth"/>
            </a:graphicData>
          </a:graphic>
        </xdr:graphicFrame>
      </mc:Choice>
      <mc:Fallback xmlns="">
        <xdr:sp macro="" textlink="">
          <xdr:nvSpPr>
            <xdr:cNvPr id="0" name=""/>
            <xdr:cNvSpPr>
              <a:spLocks noTextEdit="1"/>
            </xdr:cNvSpPr>
          </xdr:nvSpPr>
          <xdr:spPr>
            <a:xfrm>
              <a:off x="14992350" y="2505075"/>
              <a:ext cx="1057275" cy="2476500"/>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12</xdr:col>
          <xdr:colOff>0</xdr:colOff>
          <xdr:row>0</xdr:row>
          <xdr:rowOff>0</xdr:rowOff>
        </xdr:from>
        <xdr:to>
          <xdr:col>18</xdr:col>
          <xdr:colOff>0</xdr:colOff>
          <xdr:row>1</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Slicers</a:t>
              </a:r>
            </a:p>
          </xdr:txBody>
        </xdr:sp>
        <xdr:clientData fPrintsWithSheet="0"/>
      </xdr:twoCellAnchor>
    </mc:Choice>
    <mc:Fallback/>
  </mc:AlternateContent>
  <xdr:twoCellAnchor editAs="absolute">
    <xdr:from>
      <xdr:col>11</xdr:col>
      <xdr:colOff>19050</xdr:colOff>
      <xdr:row>2</xdr:row>
      <xdr:rowOff>0</xdr:rowOff>
    </xdr:from>
    <xdr:to>
      <xdr:col>19</xdr:col>
      <xdr:colOff>0</xdr:colOff>
      <xdr:row>12</xdr:row>
      <xdr:rowOff>57149</xdr:rowOff>
    </xdr:to>
    <mc:AlternateContent xmlns:mc="http://schemas.openxmlformats.org/markup-compatibility/2006" xmlns:sle15="http://schemas.microsoft.com/office/drawing/2012/slicer">
      <mc:Choice Requires="sle15">
        <xdr:graphicFrame macro="">
          <xdr:nvGraphicFramePr>
            <xdr:cNvPr id="9" name="Category">
              <a:extLst>
                <a:ext uri="{FF2B5EF4-FFF2-40B4-BE49-F238E27FC236}">
                  <a16:creationId xmlns:a16="http://schemas.microsoft.com/office/drawing/2014/main" id="{00000000-0008-0000-0600-000009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3820775" y="381000"/>
              <a:ext cx="4143375" cy="1971674"/>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11</xdr:col>
      <xdr:colOff>0</xdr:colOff>
      <xdr:row>27</xdr:row>
      <xdr:rowOff>15241</xdr:rowOff>
    </xdr:from>
    <xdr:to>
      <xdr:col>14</xdr:col>
      <xdr:colOff>363856</xdr:colOff>
      <xdr:row>36</xdr:row>
      <xdr:rowOff>0</xdr:rowOff>
    </xdr:to>
    <mc:AlternateContent xmlns:mc="http://schemas.openxmlformats.org/markup-compatibility/2006" xmlns:sle15="http://schemas.microsoft.com/office/drawing/2012/slicer">
      <mc:Choice Requires="sle15">
        <xdr:graphicFrame macro="">
          <xdr:nvGraphicFramePr>
            <xdr:cNvPr id="17" name="Deco CTC (mm)">
              <a:extLst>
                <a:ext uri="{FF2B5EF4-FFF2-40B4-BE49-F238E27FC236}">
                  <a16:creationId xmlns:a16="http://schemas.microsoft.com/office/drawing/2014/main" id="{00000000-0008-0000-0600-000011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Deco CTC (mm)"/>
            </a:graphicData>
          </a:graphic>
        </xdr:graphicFrame>
      </mc:Choice>
      <mc:Fallback xmlns="">
        <xdr:sp macro="" textlink="">
          <xdr:nvSpPr>
            <xdr:cNvPr id="0" name=""/>
            <xdr:cNvSpPr>
              <a:spLocks noTextEdit="1"/>
            </xdr:cNvSpPr>
          </xdr:nvSpPr>
          <xdr:spPr>
            <a:xfrm>
              <a:off x="13811250" y="5162551"/>
              <a:ext cx="1590676" cy="1695449"/>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16</xdr:col>
      <xdr:colOff>440055</xdr:colOff>
      <xdr:row>13</xdr:row>
      <xdr:rowOff>15240</xdr:rowOff>
    </xdr:from>
    <xdr:to>
      <xdr:col>19</xdr:col>
      <xdr:colOff>0</xdr:colOff>
      <xdr:row>26</xdr:row>
      <xdr:rowOff>59055</xdr:rowOff>
    </xdr:to>
    <mc:AlternateContent xmlns:mc="http://schemas.openxmlformats.org/markup-compatibility/2006" xmlns:sle15="http://schemas.microsoft.com/office/drawing/2012/slicer">
      <mc:Choice Requires="sle15">
        <xdr:graphicFrame macro="">
          <xdr:nvGraphicFramePr>
            <xdr:cNvPr id="19" name="Length/Height">
              <a:extLst>
                <a:ext uri="{FF2B5EF4-FFF2-40B4-BE49-F238E27FC236}">
                  <a16:creationId xmlns:a16="http://schemas.microsoft.com/office/drawing/2014/main" id="{00000000-0008-0000-0600-000013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Length/Height"/>
            </a:graphicData>
          </a:graphic>
        </xdr:graphicFrame>
      </mc:Choice>
      <mc:Fallback xmlns="">
        <xdr:sp macro="" textlink="">
          <xdr:nvSpPr>
            <xdr:cNvPr id="0" name=""/>
            <xdr:cNvSpPr>
              <a:spLocks noTextEdit="1"/>
            </xdr:cNvSpPr>
          </xdr:nvSpPr>
          <xdr:spPr>
            <a:xfrm>
              <a:off x="16135350" y="2495550"/>
              <a:ext cx="1828800"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oneCell">
    <xdr:from>
      <xdr:col>20</xdr:col>
      <xdr:colOff>9525</xdr:colOff>
      <xdr:row>1</xdr:row>
      <xdr:rowOff>180975</xdr:rowOff>
    </xdr:from>
    <xdr:to>
      <xdr:col>27</xdr:col>
      <xdr:colOff>95856</xdr:colOff>
      <xdr:row>30</xdr:row>
      <xdr:rowOff>130304</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6954500" y="371475"/>
          <a:ext cx="4344006" cy="54776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6</xdr:col>
          <xdr:colOff>0</xdr:colOff>
          <xdr:row>2</xdr:row>
          <xdr:rowOff>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800-000005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Import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 xr16:uid="{C65495F9-B67B-43BC-9A65-D1EAB5141AFD}" autoFormatId="16" applyNumberFormats="0" applyBorderFormats="0" applyFontFormats="0" applyPatternFormats="0" applyAlignmentFormats="0" applyWidthHeightFormats="0">
  <queryTableRefresh nextId="16">
    <queryTableFields count="10">
      <queryTableField id="1" name="   PART CODE" tableColumnId="3"/>
      <queryTableField id="2" name="   ITEM DESCRIPTION" tableColumnId="2"/>
      <queryTableField id="14" name="PRICE (ea.)" tableColumnId="1"/>
      <queryTableField id="3" name="Finish" tableColumnId="4"/>
      <queryTableField id="4" name="Fabric" tableColumnId="5"/>
      <queryTableField id="5" name="Width" tableColumnId="6"/>
      <queryTableField id="6" name="Depth" tableColumnId="7"/>
      <queryTableField id="12" name="Length/Height" tableColumnId="13"/>
      <queryTableField id="10" name="Category" tableColumnId="11"/>
      <queryTableField id="11" name="Deco CTC (mm)"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ish" xr10:uid="{76D85233-BF74-4611-B727-9572ECE53320}" sourceName="Finish">
  <extLst>
    <x:ext xmlns:x15="http://schemas.microsoft.com/office/spreadsheetml/2010/11/main" uri="{2F2917AC-EB37-4324-AD4E-5DD8C200BD13}">
      <x15:tableSlicerCache tableId="2" column="4"/>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bric" xr10:uid="{F8BA4751-5ED4-4EF0-9466-7787E44CBE68}" sourceName="Fabric">
  <extLst>
    <x:ext xmlns:x15="http://schemas.microsoft.com/office/spreadsheetml/2010/11/main" uri="{2F2917AC-EB37-4324-AD4E-5DD8C200BD13}">
      <x15:tableSlicerCache tableId="2" column="5"/>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dth" xr10:uid="{35AC0416-A2A9-40BA-8D17-D978ACD2E41A}" sourceName="Width">
  <extLst>
    <x:ext xmlns:x15="http://schemas.microsoft.com/office/spreadsheetml/2010/11/main" uri="{2F2917AC-EB37-4324-AD4E-5DD8C200BD13}">
      <x15:tableSlicerCache tableId="2" column="6"/>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th" xr10:uid="{E3F43207-3632-4D78-8DEF-C437B44A5799}" sourceName="Depth">
  <extLst>
    <x:ext xmlns:x15="http://schemas.microsoft.com/office/spreadsheetml/2010/11/main" uri="{2F2917AC-EB37-4324-AD4E-5DD8C200BD13}">
      <x15:tableSlicerCache tableId="2" column="7"/>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E162CE3-AAC9-4314-8A42-F2934F92C165}" sourceName="Category">
  <extLst>
    <x:ext xmlns:x15="http://schemas.microsoft.com/office/spreadsheetml/2010/11/main" uri="{2F2917AC-EB37-4324-AD4E-5DD8C200BD13}">
      <x15:tableSlicerCache tableId="2" column="11"/>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o_CTC__mm" xr10:uid="{1BD87604-18B1-4E2D-83E6-92C874FB7BBA}" sourceName="Deco CTC (mm)">
  <extLst>
    <x:ext xmlns:x15="http://schemas.microsoft.com/office/spreadsheetml/2010/11/main" uri="{2F2917AC-EB37-4324-AD4E-5DD8C200BD13}">
      <x15:tableSlicerCache tableId="2" column="12"/>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ngth_Height" xr10:uid="{174E57FE-7A4B-411F-944F-E4B951B20C55}" sourceName="Length/Height">
  <extLst>
    <x:ext xmlns:x15="http://schemas.microsoft.com/office/spreadsheetml/2010/11/main" uri="{2F2917AC-EB37-4324-AD4E-5DD8C200BD13}">
      <x15:tableSlicerCache tableId="2" column="1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nish" xr10:uid="{4382FA35-B34B-4FB7-8917-D698693C1256}" cache="Slicer_Finish" caption="Finish" style="SlicerStyleLight2" lockedPosition="1" rowHeight="241300"/>
  <slicer name="Fabric" xr10:uid="{2461B1D8-D897-4D13-8E1F-5DD1FA03EFC5}" cache="Slicer_Fabric" caption="Fabric" style="SlicerStyleLight4" lockedPosition="1" rowHeight="241300"/>
  <slicer name="Width" xr10:uid="{4C97B18F-C4B3-4A5C-93C9-2664E17C1B6C}" cache="Slicer_Width" caption="Width" lockedPosition="1" rowHeight="241300"/>
  <slicer name="Depth" xr10:uid="{33F53192-636E-485D-947C-79CC1A7CC87A}" cache="Slicer_Depth" caption="Depth" lockedPosition="1" rowHeight="241300"/>
  <slicer name="Category" xr10:uid="{DD6BDC6C-FCF2-48E6-8459-2A081AE1F49B}" cache="Slicer_Category" caption="Category" columnCount="2" lockedPosition="1" rowHeight="241300"/>
  <slicer name="Deco CTC (mm)" xr10:uid="{B14499E4-771F-4F34-AD3D-F043F9CBC095}" cache="Slicer_Deco_CTC__mm" caption="Deco CTC (mm)" lockedPosition="1" rowHeight="241300"/>
  <slicer name="Length/Height" xr10:uid="{64F054BB-4103-4D81-B25A-452862C9E3DA}" cache="Slicer_Length_Height" caption="Length/Height" startItem="6" lockedPosition="1" rowHeight="2413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7D8C5AC-4A68-40DE-92F5-80247262BBF1}" name="OrderTable" displayName="OrderTable" ref="A25:M194" totalsRowShown="0" headerRowDxfId="37" headerRowBorderDxfId="36">
  <autoFilter ref="A25:M194" xr:uid="{72E0503F-24E5-400B-B388-CB3B53C827E6}"/>
  <tableColumns count="13">
    <tableColumn id="1" xr3:uid="{3A5F719A-4F7D-494D-B144-CC020A9BF15E}" name="PART CODE" dataDxfId="35"/>
    <tableColumn id="2" xr3:uid="{5D17C0DF-4F12-47D6-8AE7-370BBB291B37}" name="Pcs Rqd." dataDxfId="34"/>
    <tableColumn id="3" xr3:uid="{48AF9B66-6E89-4D6E-AADC-9015EFC316D6}" name="Stock Or Job #" dataDxfId="33"/>
    <tableColumn id="4" xr3:uid="{8F29C1BE-5922-4D27-8C8E-FBBE163FE70F}" name="Item Description" dataDxfId="32">
      <calculatedColumnFormula>IF(ISTEXT(OrderTable[[#This Row],[PART CODE]]),VLOOKUP(A26,'Price  List'!B:G,3,FALSE),"")</calculatedColumnFormula>
    </tableColumn>
    <tableColumn id="5" xr3:uid="{3ADE7B54-B2CA-4608-8EE0-CA2740CED0C3}" name=" " dataDxfId="31"/>
    <tableColumn id="12" xr3:uid="{0796284C-822C-49F9-9159-652A80454BDF}" name="Column1" dataDxfId="30">
      <calculatedColumnFormula>OrderTable[[#This Row],[PART CODE]]</calculatedColumnFormula>
    </tableColumn>
    <tableColumn id="6" xr3:uid="{74BE8A5E-23D3-454E-9FE6-E3D1EF467931}" name="Price / Ea" dataDxfId="29" dataCellStyle="Currency">
      <calculatedColumnFormula>IF(ISTEXT(OrderTable[[#This Row],[PART CODE]]),VLOOKUP(A26,'Price  List'!B:G,6,FALSE),"")</calculatedColumnFormula>
    </tableColumn>
    <tableColumn id="7" xr3:uid="{96E9F9CD-7059-464F-8F39-0768CC14620A}" name="Case Qty" dataDxfId="28">
      <calculatedColumnFormula>IF(ISTEXT(OrderTable[[#This Row],[PART CODE]]),VLOOKUP(A26,'Price  List'!B:G,5,FALSE),"")</calculatedColumnFormula>
    </tableColumn>
    <tableColumn id="9" xr3:uid="{20F80892-D1CF-4508-AE00-70B3A596DD3C}" name="Order Qty" dataDxfId="27">
      <calculatedColumnFormula>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calculatedColumnFormula>
    </tableColumn>
    <tableColumn id="8" xr3:uid="{0DECCA2F-2E41-475F-94F2-D13F8F9B451C}" name="UoM Qty" dataDxfId="26">
      <calculatedColumnFormula>IF(ISTEXT(OrderTable[[#This Row],[PART CODE]]),IF((ROUND(OrderTable[[#This Row],[Order Qty]]/OrderTable[[#This Row],[Case Qty]],0))=OrderTable[[#This Row],[Order Qty]]/OrderTable[[#This Row],[Case Qty]],OrderTable[[#This Row],[Order Qty]]/OrderTable[[#This Row],[Case Qty]],OrderTable[[#This Row],[Order Qty]]),"")</calculatedColumnFormula>
    </tableColumn>
    <tableColumn id="13" xr3:uid="{45C68953-DD27-4540-A760-31C4CC26F48B}" name="UoM" dataDxfId="25">
      <calculatedColumnFormula>IF(ISTEXT(OrderTable[[#This Row],[PART CODE]]),IF(OrderTable[[#This Row],[PART CODE]]="300.3712.GLV","PL",IF((ROUND(OrderTable[[#This Row],[Order Qty]]/OrderTable[[#This Row],[Case Qty]],0))=OrderTable[[#This Row],[Order Qty]]/OrderTable[[#This Row],[Case Qty]],"BOX","EA")),"")</calculatedColumnFormula>
    </tableColumn>
    <tableColumn id="10" xr3:uid="{635E0EDC-B40C-4A27-9368-BDAD71AD0936}" name="Line Price" dataDxfId="24">
      <calculatedColumnFormula>IF(ISTEXT(OrderTable[[#This Row],[PART CODE]]),OrderTable[[#This Row],[Order Qty]]*OrderTable[[#This Row],[Price / Ea]],"")</calculatedColumnFormula>
    </tableColumn>
    <tableColumn id="11" xr3:uid="{A5C46064-C7AE-4BAB-95A4-9C3680CEB640}" name="Notes:" dataDxfId="23">
      <calculatedColumnFormula>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CF86D0A-BA67-42F4-8C74-DAB6D87FDFC2}" name="MixedAllowed" displayName="MixedAllowed" ref="A1:F17" totalsRowShown="0">
  <autoFilter ref="A1:F17" xr:uid="{6B748388-9165-4A00-ACAE-3073581D8B55}"/>
  <tableColumns count="6">
    <tableColumn id="1" xr3:uid="{8ED4D5CC-AD0D-498E-9B95-79A3399AD338}" name="Basecode" dataDxfId="21"/>
    <tableColumn id="5" xr3:uid="{CCC83C3A-190A-47D3-A827-A07C0F6C1039}" name="Item Description" dataDxfId="20"/>
    <tableColumn id="2" xr3:uid="{7A34F40A-55F3-4408-A579-24781F5C524D}" name="Total Order" dataDxfId="19"/>
    <tableColumn id="6" xr3:uid="{99C57C87-0CB7-4642-8ABF-5614695671E2}" name="Box Qty" dataDxfId="18"/>
    <tableColumn id="3" xr3:uid="{37C75353-506F-44D3-B44D-1FD638D7DB4B}" name="Check" dataDxfId="17">
      <calculatedColumnFormula>IF(MixedAllowed[[#This Row],[Total Order]]/MixedAllowed[[#This Row],[Box Qty]]=ROUND(MixedAllowed[[#This Row],[Total Order]]/MixedAllowed[[#This Row],[Box Qty]],0),"OK","Not Case Qty")</calculatedColumnFormula>
    </tableColumn>
    <tableColumn id="4" xr3:uid="{DF1CF751-96F7-4578-8135-DF883F039189}" name="BoxCount" dataDxfId="16">
      <calculatedColumnFormula>ROUND(MixedAllowed[[#This Row],[Total Order]]/MixedAllowed[[#This Row],[Box Qty]],0)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B3151C9-8177-4295-820F-485AB437672D}" name="DecoSingles" displayName="DecoSingles" ref="A1:C12" totalsRowShown="0">
  <autoFilter ref="A1:C12" xr:uid="{D10F68CD-5BF7-4471-88BE-7CA57CEF2622}"/>
  <tableColumns count="3">
    <tableColumn id="1" xr3:uid="{C15B1F62-D2C5-4D9E-BFFF-5B6F9D514763}" name="Basecode"/>
    <tableColumn id="3" xr3:uid="{9A992E4B-67EA-4702-BF5D-3E2F22022AAD}" name="Box Qty"/>
    <tableColumn id="4" xr3:uid="{0A56BAF3-5D19-4EFF-A65F-CCFF98085F02}" name="Item Descript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402DC02-115F-4CB4-837C-FD11FA1220D0}" name="Product_Search" displayName="Product_Search" ref="A1:J3006" tableType="queryTable" totalsRowShown="0">
  <autoFilter ref="A1:J3006" xr:uid="{B27F50D1-BF9B-461F-A2E9-A395758D9369}"/>
  <tableColumns count="10">
    <tableColumn id="3" xr3:uid="{7A8A3E4C-EAD3-448B-B832-1749B3E28E39}" uniqueName="3" name="   PART CODE" queryTableFieldId="1" dataDxfId="8"/>
    <tableColumn id="2" xr3:uid="{5A310F1F-9DDA-4758-B37F-E695DE1EA907}" uniqueName="2" name="   ITEM DESCRIPTION" queryTableFieldId="2" dataDxfId="7"/>
    <tableColumn id="1" xr3:uid="{60D706F8-EF5F-4BB6-8865-60529AF01149}" uniqueName="1" name="PRICE (ea.)" queryTableFieldId="14" dataDxfId="6"/>
    <tableColumn id="4" xr3:uid="{AB09F889-DC1B-4027-942B-0614502E9B01}" uniqueName="4" name="Finish" queryTableFieldId="3" dataDxfId="5"/>
    <tableColumn id="5" xr3:uid="{41AF501A-DA1F-49E3-9760-875334CFDF2C}" uniqueName="5" name="Fabric" queryTableFieldId="4" dataDxfId="4"/>
    <tableColumn id="6" xr3:uid="{9F8249BA-704B-4DA9-8545-AAFEBF4E76A0}" uniqueName="6" name="Width" queryTableFieldId="5" dataDxfId="3"/>
    <tableColumn id="7" xr3:uid="{1FE2B825-BE61-4900-AA18-EAB5DF1194C7}" uniqueName="7" name="Depth" queryTableFieldId="6" dataDxfId="2"/>
    <tableColumn id="13" xr3:uid="{9004F8AA-16B8-4C19-B72F-211AB615D5F7}" uniqueName="13" name="Length/Height" queryTableFieldId="12"/>
    <tableColumn id="11" xr3:uid="{E0302C41-2B68-47AA-B3FF-933CDC95C5E9}" uniqueName="11" name="Category" queryTableFieldId="10" dataDxfId="1"/>
    <tableColumn id="12" xr3:uid="{676D63C0-5B1E-4669-9E63-B6CB5D5F923F}" uniqueName="12" name="Deco CTC (mm)" queryTableFieldId="1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EB469D9-6C46-4C82-AD25-4E81D9B79CD3}" name="Table6" displayName="Table6" ref="A1:D177" totalsRowShown="0">
  <autoFilter ref="A1:D177" xr:uid="{A9E63E29-5A26-47B4-8970-0C9F49517A50}"/>
  <sortState xmlns:xlrd2="http://schemas.microsoft.com/office/spreadsheetml/2017/richdata2" ref="A2:D177">
    <sortCondition ref="D1:D177"/>
  </sortState>
  <tableColumns count="4">
    <tableColumn id="1" xr3:uid="{09D8E5CD-7C12-4AC9-852B-179C4049470C}" name="Stock Code"/>
    <tableColumn id="2" xr3:uid="{DC603645-11DF-4E5A-9E88-EF349A0654F9}" name="Order Qty"/>
    <tableColumn id="3" xr3:uid="{9DC62629-521B-4DAC-A5D0-4D87A0EDA649}" name="Order Uom"/>
    <tableColumn id="4" xr3:uid="{88FDE4A5-A910-46DB-96FB-9BDA83315CBF}" name="Customer job"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microsoft.com/office/2007/relationships/slicer" Target="../slicers/slicer1.xml"/><Relationship Id="rId5" Type="http://schemas.openxmlformats.org/officeDocument/2006/relationships/table" Target="../tables/table4.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table" Target="../tables/table5.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89382-6371-4458-9DA0-EA0BC8ACCA55}">
  <sheetPr codeName="Sheet1">
    <tabColor theme="7" tint="0.79998168889431442"/>
    <pageSetUpPr fitToPage="1"/>
  </sheetPr>
  <dimension ref="A1:Q194"/>
  <sheetViews>
    <sheetView tabSelected="1" topLeftCell="A54" zoomScale="85" zoomScaleNormal="85" workbookViewId="0">
      <selection activeCell="G72" sqref="G72:G86"/>
    </sheetView>
  </sheetViews>
  <sheetFormatPr defaultColWidth="20.5703125" defaultRowHeight="15" x14ac:dyDescent="0.25"/>
  <cols>
    <col min="1" max="1" width="29.28515625" customWidth="1"/>
    <col min="2" max="2" width="10.7109375" style="58" customWidth="1"/>
    <col min="3" max="3" width="21.7109375" customWidth="1"/>
    <col min="4" max="4" width="22.28515625" customWidth="1"/>
    <col min="5" max="5" width="28" customWidth="1"/>
    <col min="6" max="6" width="3.42578125" customWidth="1"/>
    <col min="7" max="7" width="16.5703125" customWidth="1"/>
    <col min="8" max="8" width="11.5703125" bestFit="1" customWidth="1"/>
    <col min="9" max="9" width="15.7109375" customWidth="1"/>
    <col min="10" max="10" width="11.85546875" customWidth="1"/>
    <col min="11" max="11" width="12.5703125" customWidth="1"/>
    <col min="12" max="12" width="13.28515625" customWidth="1"/>
    <col min="13" max="13" width="23.85546875" bestFit="1" customWidth="1"/>
    <col min="14" max="14" width="2.7109375" customWidth="1"/>
    <col min="15" max="15" width="24.7109375" style="192" bestFit="1" customWidth="1"/>
  </cols>
  <sheetData>
    <row r="1" spans="1:14" ht="15.75" x14ac:dyDescent="0.25">
      <c r="A1" s="108" t="str">
        <f>'Price  List'!G2</f>
        <v>EFFECTIVE AUGUST 17, 2023</v>
      </c>
      <c r="B1" s="60"/>
      <c r="C1" s="60"/>
      <c r="D1" s="60"/>
      <c r="E1" s="60"/>
      <c r="F1" s="169"/>
      <c r="G1" s="60"/>
      <c r="H1" s="106"/>
      <c r="I1" s="106"/>
      <c r="J1" s="106"/>
      <c r="K1" s="106"/>
      <c r="L1" s="106"/>
      <c r="M1" s="190"/>
    </row>
    <row r="2" spans="1:14" ht="26.25" x14ac:dyDescent="0.25">
      <c r="A2" s="136" t="s">
        <v>2936</v>
      </c>
      <c r="B2" s="103"/>
      <c r="C2" s="104"/>
      <c r="D2" s="104"/>
      <c r="E2" s="104"/>
      <c r="F2" s="104"/>
      <c r="G2" s="57"/>
      <c r="H2" s="57"/>
      <c r="I2" s="57"/>
      <c r="J2" s="57"/>
      <c r="K2" s="129" t="s">
        <v>2860</v>
      </c>
      <c r="L2" s="271"/>
      <c r="M2" s="272"/>
    </row>
    <row r="3" spans="1:14" ht="24" customHeight="1" x14ac:dyDescent="0.25">
      <c r="A3" s="103"/>
      <c r="B3" s="103"/>
      <c r="C3" s="104"/>
      <c r="D3" s="104"/>
      <c r="E3" s="132"/>
      <c r="F3" s="132"/>
      <c r="G3" s="57"/>
      <c r="H3" s="57"/>
      <c r="I3" s="57"/>
      <c r="J3" s="57"/>
      <c r="K3" s="129" t="s">
        <v>2861</v>
      </c>
      <c r="L3" s="273"/>
      <c r="M3" s="274"/>
    </row>
    <row r="4" spans="1:14" ht="10.5" customHeight="1" x14ac:dyDescent="0.25">
      <c r="A4" s="61"/>
      <c r="B4" s="103"/>
      <c r="C4" s="104"/>
      <c r="D4" s="104"/>
      <c r="E4" s="57"/>
      <c r="F4" s="57"/>
      <c r="G4" s="133"/>
      <c r="H4" s="57"/>
      <c r="I4" s="57"/>
      <c r="J4" s="57"/>
      <c r="K4" s="57"/>
      <c r="L4" s="61"/>
      <c r="M4" s="62"/>
    </row>
    <row r="5" spans="1:14" ht="15.75" x14ac:dyDescent="0.25">
      <c r="A5" s="102" t="s">
        <v>2854</v>
      </c>
      <c r="B5" s="102"/>
      <c r="C5" s="103"/>
      <c r="D5" s="104"/>
      <c r="E5" s="102" t="s">
        <v>2855</v>
      </c>
      <c r="F5" s="102"/>
      <c r="G5" s="57"/>
      <c r="H5" s="57"/>
      <c r="I5" s="57"/>
      <c r="J5" s="57"/>
      <c r="K5" s="57"/>
      <c r="L5" s="57"/>
      <c r="M5" s="134" t="s">
        <v>2856</v>
      </c>
      <c r="N5" s="62"/>
    </row>
    <row r="6" spans="1:14" ht="15.75" x14ac:dyDescent="0.25">
      <c r="A6" s="106" t="s">
        <v>2933</v>
      </c>
      <c r="B6" s="106"/>
      <c r="C6" s="103"/>
      <c r="D6" s="106" t="s">
        <v>2866</v>
      </c>
      <c r="E6" s="281" t="s">
        <v>8388</v>
      </c>
      <c r="F6" s="282"/>
      <c r="G6" s="283"/>
      <c r="H6" s="130"/>
      <c r="J6" s="106" t="s">
        <v>2866</v>
      </c>
      <c r="K6" s="57"/>
      <c r="L6" s="277" t="s">
        <v>8388</v>
      </c>
      <c r="M6" s="278"/>
    </row>
    <row r="7" spans="1:14" ht="15.75" x14ac:dyDescent="0.25">
      <c r="A7" s="106" t="s">
        <v>2862</v>
      </c>
      <c r="B7" s="106"/>
      <c r="C7" s="103"/>
      <c r="D7" s="106" t="s">
        <v>2867</v>
      </c>
      <c r="E7" s="281"/>
      <c r="F7" s="282"/>
      <c r="G7" s="283"/>
      <c r="H7" s="130"/>
      <c r="J7" s="106" t="s">
        <v>2867</v>
      </c>
      <c r="K7" s="57"/>
      <c r="L7" s="277"/>
      <c r="M7" s="278"/>
    </row>
    <row r="8" spans="1:14" ht="15.75" x14ac:dyDescent="0.25">
      <c r="A8" s="106" t="s">
        <v>2863</v>
      </c>
      <c r="B8" s="106"/>
      <c r="C8" s="103"/>
      <c r="D8" s="106" t="s">
        <v>2868</v>
      </c>
      <c r="E8" s="281">
        <v>10</v>
      </c>
      <c r="F8" s="282"/>
      <c r="G8" s="283"/>
      <c r="H8" s="130"/>
      <c r="I8" s="165" t="s">
        <v>8387</v>
      </c>
      <c r="J8" s="105" t="s">
        <v>2868</v>
      </c>
      <c r="K8" s="57"/>
      <c r="L8" s="166" t="s">
        <v>8393</v>
      </c>
      <c r="M8" s="164"/>
    </row>
    <row r="9" spans="1:14" ht="15.75" x14ac:dyDescent="0.25">
      <c r="A9" s="106" t="s">
        <v>2864</v>
      </c>
      <c r="B9" s="106"/>
      <c r="C9" s="103"/>
      <c r="D9" s="106" t="s">
        <v>2869</v>
      </c>
      <c r="E9" s="281" t="s">
        <v>8389</v>
      </c>
      <c r="F9" s="282"/>
      <c r="G9" s="283"/>
      <c r="H9" s="130"/>
      <c r="J9" s="106" t="s">
        <v>2869</v>
      </c>
      <c r="K9" s="57"/>
      <c r="L9" s="277" t="s">
        <v>8389</v>
      </c>
      <c r="M9" s="278"/>
    </row>
    <row r="10" spans="1:14" ht="15.75" x14ac:dyDescent="0.25">
      <c r="A10" s="106" t="s">
        <v>2865</v>
      </c>
      <c r="B10" s="106"/>
      <c r="C10" s="103"/>
      <c r="D10" s="106" t="s">
        <v>2870</v>
      </c>
      <c r="E10" s="281" t="s">
        <v>8390</v>
      </c>
      <c r="F10" s="282"/>
      <c r="G10" s="283"/>
      <c r="H10" s="130"/>
      <c r="J10" s="106" t="s">
        <v>2870</v>
      </c>
      <c r="K10" s="57"/>
      <c r="L10" s="277" t="s">
        <v>8390</v>
      </c>
      <c r="M10" s="278"/>
    </row>
    <row r="11" spans="1:14" ht="15.75" x14ac:dyDescent="0.25">
      <c r="A11" s="106"/>
      <c r="B11" s="106"/>
      <c r="C11" s="103"/>
      <c r="D11" s="106" t="s">
        <v>2871</v>
      </c>
      <c r="E11" s="260" t="s">
        <v>8391</v>
      </c>
      <c r="F11" s="261"/>
      <c r="G11" s="262"/>
      <c r="H11" s="130"/>
      <c r="J11" s="106" t="s">
        <v>2871</v>
      </c>
      <c r="K11" s="57"/>
      <c r="L11" s="277" t="s">
        <v>8394</v>
      </c>
      <c r="M11" s="278"/>
    </row>
    <row r="12" spans="1:14" ht="15.75" x14ac:dyDescent="0.25">
      <c r="A12" s="63" t="s">
        <v>2842</v>
      </c>
      <c r="B12" s="63"/>
      <c r="C12" s="103"/>
      <c r="D12" s="106" t="s">
        <v>2872</v>
      </c>
      <c r="E12" s="260" t="s">
        <v>8392</v>
      </c>
      <c r="F12" s="261"/>
      <c r="G12" s="262"/>
      <c r="H12" s="131"/>
      <c r="J12" s="106" t="s">
        <v>2872</v>
      </c>
      <c r="K12" s="57"/>
      <c r="L12" s="277" t="s">
        <v>8395</v>
      </c>
      <c r="M12" s="278"/>
    </row>
    <row r="13" spans="1:14" ht="15.75" x14ac:dyDescent="0.25">
      <c r="A13" s="105" t="s">
        <v>2873</v>
      </c>
      <c r="B13" s="103"/>
      <c r="C13" s="104"/>
      <c r="D13" s="104"/>
      <c r="E13" s="57"/>
      <c r="F13" s="57"/>
      <c r="G13" s="106"/>
      <c r="H13" s="57"/>
      <c r="I13" s="132"/>
      <c r="J13" s="132"/>
      <c r="K13" s="57"/>
      <c r="L13" s="279"/>
      <c r="M13" s="280"/>
    </row>
    <row r="14" spans="1:14" ht="15.75" x14ac:dyDescent="0.25">
      <c r="A14" s="103"/>
      <c r="B14" s="103"/>
      <c r="C14" s="104"/>
      <c r="D14" s="57"/>
      <c r="E14" s="57"/>
      <c r="F14" s="57"/>
      <c r="G14" s="57"/>
      <c r="H14" s="57"/>
      <c r="I14" s="57"/>
      <c r="J14" s="57"/>
      <c r="K14" s="57"/>
      <c r="L14" s="62"/>
      <c r="M14" s="62"/>
    </row>
    <row r="15" spans="1:14" ht="15.75" x14ac:dyDescent="0.25">
      <c r="A15" s="275"/>
      <c r="B15" s="276"/>
      <c r="C15" s="120"/>
      <c r="D15" s="120"/>
      <c r="E15" s="120"/>
      <c r="F15" s="120"/>
      <c r="G15" s="120"/>
      <c r="H15" s="121"/>
      <c r="I15" s="122"/>
      <c r="J15" s="122"/>
      <c r="K15" s="123"/>
      <c r="L15" s="124" t="s">
        <v>2876</v>
      </c>
      <c r="M15" s="128" t="s">
        <v>2878</v>
      </c>
    </row>
    <row r="16" spans="1:14" ht="15.75" x14ac:dyDescent="0.25">
      <c r="A16" s="268" t="s">
        <v>2874</v>
      </c>
      <c r="B16" s="268"/>
      <c r="C16" s="110"/>
      <c r="D16" s="110" t="s">
        <v>7381</v>
      </c>
      <c r="E16" s="141" t="str">
        <f>IF(SUM(OrderTable[Line Price])&gt;=3500,"Qualified!","DNQ")</f>
        <v>Qualified!</v>
      </c>
      <c r="F16" s="142"/>
      <c r="G16" s="152"/>
      <c r="H16" s="143"/>
      <c r="I16" s="125"/>
      <c r="J16" s="125"/>
      <c r="K16" s="123"/>
      <c r="L16" s="126" t="s">
        <v>2877</v>
      </c>
      <c r="M16" s="128" t="s">
        <v>2934</v>
      </c>
    </row>
    <row r="17" spans="1:17" ht="15.75" x14ac:dyDescent="0.25">
      <c r="A17" s="138"/>
      <c r="B17" s="139"/>
      <c r="C17" s="147" t="s">
        <v>2935</v>
      </c>
      <c r="D17" s="145"/>
      <c r="E17" s="145"/>
      <c r="F17" s="145"/>
      <c r="G17" s="145"/>
      <c r="H17" s="145"/>
      <c r="I17" s="145"/>
      <c r="J17" s="146"/>
      <c r="K17" s="146"/>
      <c r="L17" s="146"/>
      <c r="M17" s="148"/>
    </row>
    <row r="18" spans="1:17" ht="16.5" thickBot="1" x14ac:dyDescent="0.3">
      <c r="A18" s="269" t="s">
        <v>2875</v>
      </c>
      <c r="B18" s="270"/>
      <c r="C18" s="113" t="s">
        <v>2891</v>
      </c>
      <c r="D18" s="144"/>
      <c r="E18" s="114"/>
      <c r="F18" s="114"/>
      <c r="G18" s="115" t="s">
        <v>2879</v>
      </c>
      <c r="H18" s="144"/>
      <c r="I18" s="127"/>
      <c r="J18" s="127"/>
      <c r="K18" s="127"/>
      <c r="L18" s="120"/>
      <c r="M18" s="120"/>
    </row>
    <row r="19" spans="1:17" ht="12" customHeight="1" thickBot="1" x14ac:dyDescent="0.3">
      <c r="A19" s="64"/>
      <c r="B19" s="64"/>
      <c r="C19" s="65"/>
      <c r="D19" s="65"/>
      <c r="E19" s="66" t="s">
        <v>2842</v>
      </c>
      <c r="F19" s="66"/>
      <c r="G19" s="67"/>
      <c r="H19" s="68"/>
      <c r="I19" s="68"/>
      <c r="J19" s="64"/>
      <c r="K19" s="64"/>
      <c r="L19" s="64"/>
      <c r="M19" s="64"/>
    </row>
    <row r="20" spans="1:17" ht="18.75" x14ac:dyDescent="0.25">
      <c r="A20" s="69" t="s">
        <v>2769</v>
      </c>
      <c r="B20" s="70"/>
      <c r="C20" s="267" t="s">
        <v>2857</v>
      </c>
      <c r="D20" s="267"/>
      <c r="E20" s="81"/>
      <c r="F20" s="81"/>
      <c r="G20" s="81"/>
      <c r="H20" s="81"/>
      <c r="I20" s="70" t="s">
        <v>2858</v>
      </c>
      <c r="J20" s="70"/>
      <c r="K20" s="70"/>
      <c r="L20" s="70"/>
      <c r="M20" s="93">
        <f>IF(COUNTIF(M26:M194,"*** Not Case Qty ***")&gt;0,"Case Qty Errors",SUM(OrderTable[Line Price]))</f>
        <v>23443.64</v>
      </c>
      <c r="Q20" s="137"/>
    </row>
    <row r="21" spans="1:17" ht="10.5" customHeight="1" x14ac:dyDescent="0.25">
      <c r="A21" s="71"/>
      <c r="B21" s="72"/>
      <c r="C21" s="73"/>
      <c r="D21" s="75" t="s">
        <v>2842</v>
      </c>
      <c r="E21" s="75" t="s">
        <v>2842</v>
      </c>
      <c r="F21" s="75"/>
      <c r="G21" s="75" t="s">
        <v>2842</v>
      </c>
      <c r="H21" s="76"/>
      <c r="I21" s="74"/>
      <c r="J21" s="74"/>
      <c r="K21" s="74"/>
      <c r="L21" s="74"/>
      <c r="M21" s="77"/>
    </row>
    <row r="22" spans="1:17" ht="19.5" thickBot="1" x14ac:dyDescent="0.3">
      <c r="A22" s="78" t="s">
        <v>2770</v>
      </c>
      <c r="B22" s="79"/>
      <c r="C22" s="266" t="s">
        <v>2859</v>
      </c>
      <c r="D22" s="266"/>
      <c r="E22" s="79"/>
      <c r="F22" s="79"/>
      <c r="G22" s="79"/>
      <c r="H22" s="79"/>
      <c r="I22" s="79" t="s">
        <v>2887</v>
      </c>
      <c r="J22" s="79"/>
      <c r="K22" s="79"/>
      <c r="L22" s="79"/>
      <c r="M22" s="135">
        <f>SUM(SUMIFS(OrderTable[UoM Qty],OrderTable[UoM],{"BOX","PL"}))+SUM(MixedAllowed[BoxCount])</f>
        <v>271</v>
      </c>
    </row>
    <row r="23" spans="1:17" ht="11.25" customHeight="1" thickBot="1" x14ac:dyDescent="0.3">
      <c r="A23" s="80"/>
      <c r="B23" s="80"/>
      <c r="C23" s="116"/>
      <c r="D23" s="80"/>
      <c r="E23" s="80"/>
      <c r="F23" s="80"/>
      <c r="G23" s="80"/>
      <c r="H23" s="80"/>
      <c r="I23" s="80"/>
      <c r="J23" s="80"/>
      <c r="K23" s="80"/>
      <c r="L23" s="80"/>
      <c r="M23" s="117"/>
    </row>
    <row r="24" spans="1:17" ht="19.5" thickBot="1" x14ac:dyDescent="0.35">
      <c r="A24" s="263" t="s">
        <v>7361</v>
      </c>
      <c r="B24" s="264"/>
      <c r="C24" s="265"/>
      <c r="D24" s="154"/>
      <c r="E24" s="153" t="s">
        <v>4631</v>
      </c>
      <c r="F24" s="151"/>
      <c r="G24" s="155"/>
      <c r="H24" s="96" t="s">
        <v>2852</v>
      </c>
      <c r="I24" s="97" t="str">
        <f>SUBTOTAL(9, OrderTable[Order Qty]) &amp; " Pcs"</f>
        <v>1630 Pcs</v>
      </c>
      <c r="J24" s="97" t="str">
        <f>SUBTOTAL(9, OrderTable[UoM Qty]) &amp; " Units"</f>
        <v>271 Units</v>
      </c>
      <c r="K24" s="98" t="s">
        <v>2851</v>
      </c>
      <c r="L24" s="99">
        <f>SUBTOTAL(9, OrderTable[Line Price])</f>
        <v>23443.64</v>
      </c>
      <c r="M24" s="94"/>
    </row>
    <row r="25" spans="1:17" s="59" customFormat="1" x14ac:dyDescent="0.25">
      <c r="A25" s="95" t="s">
        <v>2816</v>
      </c>
      <c r="B25" s="95" t="s">
        <v>2771</v>
      </c>
      <c r="C25" s="95" t="s">
        <v>2880</v>
      </c>
      <c r="D25" s="100" t="s">
        <v>2827</v>
      </c>
      <c r="E25" s="100" t="s">
        <v>2853</v>
      </c>
      <c r="F25" s="150" t="s">
        <v>4630</v>
      </c>
      <c r="G25" s="100" t="s">
        <v>2881</v>
      </c>
      <c r="H25" s="100" t="s">
        <v>2882</v>
      </c>
      <c r="I25" s="100" t="s">
        <v>2773</v>
      </c>
      <c r="J25" s="100" t="s">
        <v>2885</v>
      </c>
      <c r="K25" s="100" t="s">
        <v>2886</v>
      </c>
      <c r="L25" s="100" t="s">
        <v>2883</v>
      </c>
      <c r="M25" s="101" t="s">
        <v>2884</v>
      </c>
      <c r="O25" s="193" t="s">
        <v>8263</v>
      </c>
    </row>
    <row r="26" spans="1:17" x14ac:dyDescent="0.25">
      <c r="A26" s="168" t="s">
        <v>8396</v>
      </c>
      <c r="B26" s="112">
        <v>1</v>
      </c>
      <c r="C26" s="109"/>
      <c r="D26" s="157" t="str">
        <f>IF(ISTEXT(OrderTable[[#This Row],[PART CODE]]),VLOOKUP(A26,'Price  List'!B:G,3,FALSE),"")</f>
        <v>LAUNDRY ORGANIZER - 18"</v>
      </c>
      <c r="E26" s="157"/>
      <c r="F26" s="156" t="str">
        <f>OrderTable[[#This Row],[PART CODE]]</f>
        <v>310.6530.18.sla.blk</v>
      </c>
      <c r="G26" s="191">
        <f>IF(ISTEXT(OrderTable[[#This Row],[PART CODE]]),VLOOKUP(A26,'Price  List'!B:G,6,FALSE),"")</f>
        <v>110.86</v>
      </c>
      <c r="H26" s="158">
        <f>IF(ISTEXT(OrderTable[[#This Row],[PART CODE]]),VLOOKUP(A26,'Price  List'!B:G,5,FALSE),"")</f>
        <v>1</v>
      </c>
      <c r="I26"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26" s="158">
        <f>IF(ISTEXT(OrderTable[[#This Row],[PART CODE]]),IF((ROUND(OrderTable[[#This Row],[Order Qty]]/OrderTable[[#This Row],[Case Qty]],0))=OrderTable[[#This Row],[Order Qty]]/OrderTable[[#This Row],[Case Qty]],OrderTable[[#This Row],[Order Qty]]/OrderTable[[#This Row],[Case Qty]],OrderTable[[#This Row],[Order Qty]]),"")</f>
        <v>1</v>
      </c>
      <c r="K26" s="158" t="str">
        <f>IF(ISTEXT(OrderTable[[#This Row],[PART CODE]]),IF(OrderTable[[#This Row],[PART CODE]]="300.3712.GLV","PL",IF((ROUND(OrderTable[[#This Row],[Order Qty]]/OrderTable[[#This Row],[Case Qty]],0))=OrderTable[[#This Row],[Order Qty]]/OrderTable[[#This Row],[Case Qty]],"BOX","EA")),"")</f>
        <v>BOX</v>
      </c>
      <c r="L26" s="160">
        <f>IF(ISTEXT(OrderTable[[#This Row],[PART CODE]]),OrderTable[[#This Row],[Order Qty]]*OrderTable[[#This Row],[Price / Ea]],"")</f>
        <v>110.86</v>
      </c>
      <c r="M2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26" s="192" t="str">
        <f>IFERROR(VLOOKUP(OrderTable[[#This Row],[PART CODE]],'Short-Long Transition'!A:I,9,0)," ")</f>
        <v xml:space="preserve"> </v>
      </c>
    </row>
    <row r="27" spans="1:17" x14ac:dyDescent="0.25">
      <c r="A27" s="168" t="s">
        <v>8397</v>
      </c>
      <c r="B27" s="112">
        <v>1</v>
      </c>
      <c r="C27" s="109"/>
      <c r="D27" s="157" t="str">
        <f>IF(ISTEXT(OrderTable[[#This Row],[PART CODE]]),VLOOKUP(A27,'Price  List'!B:G,3,FALSE),"")</f>
        <v>24" Pull-Out Hamper w/2 Small Bags</v>
      </c>
      <c r="E27" s="157"/>
      <c r="F27" s="156" t="str">
        <f>OrderTable[[#This Row],[PART CODE]]</f>
        <v>300.3140.blk</v>
      </c>
      <c r="G27" s="191">
        <f>IF(ISTEXT(OrderTable[[#This Row],[PART CODE]]),VLOOKUP(A27,'Price  List'!B:G,6,FALSE),"")</f>
        <v>81.64</v>
      </c>
      <c r="H27" s="158">
        <f>IF(ISTEXT(OrderTable[[#This Row],[PART CODE]]),VLOOKUP(A27,'Price  List'!B:G,5,FALSE),"")</f>
        <v>1</v>
      </c>
      <c r="I27"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27" s="158">
        <f>IF(ISTEXT(OrderTable[[#This Row],[PART CODE]]),IF((ROUND(OrderTable[[#This Row],[Order Qty]]/OrderTable[[#This Row],[Case Qty]],0))=OrderTable[[#This Row],[Order Qty]]/OrderTable[[#This Row],[Case Qty]],OrderTable[[#This Row],[Order Qty]]/OrderTable[[#This Row],[Case Qty]],OrderTable[[#This Row],[Order Qty]]),"")</f>
        <v>1</v>
      </c>
      <c r="K27" s="158" t="str">
        <f>IF(ISTEXT(OrderTable[[#This Row],[PART CODE]]),IF(OrderTable[[#This Row],[PART CODE]]="300.3712.GLV","PL",IF((ROUND(OrderTable[[#This Row],[Order Qty]]/OrderTable[[#This Row],[Case Qty]],0))=OrderTable[[#This Row],[Order Qty]]/OrderTable[[#This Row],[Case Qty]],"BOX","EA")),"")</f>
        <v>BOX</v>
      </c>
      <c r="L27" s="160">
        <f>IF(ISTEXT(OrderTable[[#This Row],[PART CODE]]),OrderTable[[#This Row],[Order Qty]]*OrderTable[[#This Row],[Price / Ea]],"")</f>
        <v>81.64</v>
      </c>
      <c r="M2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27" s="192" t="str">
        <f>IFERROR(VLOOKUP(OrderTable[[#This Row],[PART CODE]],'Short-Long Transition'!A:I,9,0)," ")</f>
        <v xml:space="preserve"> </v>
      </c>
    </row>
    <row r="28" spans="1:17" x14ac:dyDescent="0.25">
      <c r="A28" s="168" t="s">
        <v>8398</v>
      </c>
      <c r="B28" s="112">
        <v>1</v>
      </c>
      <c r="C28" s="109"/>
      <c r="D28" s="157" t="str">
        <f>IF(ISTEXT(OrderTable[[#This Row],[PART CODE]]),VLOOKUP(A28,'Price  List'!B:G,3,FALSE),"")</f>
        <v>LAUNDRY ORGANIZER - 18"</v>
      </c>
      <c r="E28" s="157"/>
      <c r="F28" s="156" t="str">
        <f>OrderTable[[#This Row],[PART CODE]]</f>
        <v>310.6530.18.sla.sg</v>
      </c>
      <c r="G28" s="191">
        <f>IF(ISTEXT(OrderTable[[#This Row],[PART CODE]]),VLOOKUP(A28,'Price  List'!B:G,6,FALSE),"")</f>
        <v>115.95</v>
      </c>
      <c r="H28" s="158">
        <f>IF(ISTEXT(OrderTable[[#This Row],[PART CODE]]),VLOOKUP(A28,'Price  List'!B:G,5,FALSE),"")</f>
        <v>1</v>
      </c>
      <c r="I28"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28" s="158">
        <f>IF(ISTEXT(OrderTable[[#This Row],[PART CODE]]),IF((ROUND(OrderTable[[#This Row],[Order Qty]]/OrderTable[[#This Row],[Case Qty]],0))=OrderTable[[#This Row],[Order Qty]]/OrderTable[[#This Row],[Case Qty]],OrderTable[[#This Row],[Order Qty]]/OrderTable[[#This Row],[Case Qty]],OrderTable[[#This Row],[Order Qty]]),"")</f>
        <v>1</v>
      </c>
      <c r="K28" s="158" t="str">
        <f>IF(ISTEXT(OrderTable[[#This Row],[PART CODE]]),IF(OrderTable[[#This Row],[PART CODE]]="300.3712.GLV","PL",IF((ROUND(OrderTable[[#This Row],[Order Qty]]/OrderTable[[#This Row],[Case Qty]],0))=OrderTable[[#This Row],[Order Qty]]/OrderTable[[#This Row],[Case Qty]],"BOX","EA")),"")</f>
        <v>BOX</v>
      </c>
      <c r="L28" s="160">
        <f>IF(ISTEXT(OrderTable[[#This Row],[PART CODE]]),OrderTable[[#This Row],[Order Qty]]*OrderTable[[#This Row],[Price / Ea]],"")</f>
        <v>115.95</v>
      </c>
      <c r="M2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28" s="192" t="str">
        <f>IFERROR(VLOOKUP(OrderTable[[#This Row],[PART CODE]],'Short-Long Transition'!A:I,9,0)," ")</f>
        <v xml:space="preserve"> </v>
      </c>
    </row>
    <row r="29" spans="1:17" x14ac:dyDescent="0.25">
      <c r="A29" s="168" t="s">
        <v>8399</v>
      </c>
      <c r="B29" s="112">
        <v>4</v>
      </c>
      <c r="C29" s="109"/>
      <c r="D29" s="157" t="str">
        <f>IF(ISTEXT(OrderTable[[#This Row],[PART CODE]]),VLOOKUP(A29,'Price  List'!B:G,3,FALSE),"")</f>
        <v>Small Sort and Go Hamper Bag w/handles</v>
      </c>
      <c r="E29" s="157"/>
      <c r="F29" s="156" t="str">
        <f>OrderTable[[#This Row],[PART CODE]]</f>
        <v>300.3117.blk</v>
      </c>
      <c r="G29" s="191">
        <f>IF(ISTEXT(OrderTable[[#This Row],[PART CODE]]),VLOOKUP(A29,'Price  List'!B:G,6,FALSE),"")</f>
        <v>21.44</v>
      </c>
      <c r="H29" s="158">
        <f>IF(ISTEXT(OrderTable[[#This Row],[PART CODE]]),VLOOKUP(A29,'Price  List'!B:G,5,FALSE),"")</f>
        <v>4</v>
      </c>
      <c r="I29"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4</v>
      </c>
      <c r="J29" s="158">
        <f>IF(ISTEXT(OrderTable[[#This Row],[PART CODE]]),IF((ROUND(OrderTable[[#This Row],[Order Qty]]/OrderTable[[#This Row],[Case Qty]],0))=OrderTable[[#This Row],[Order Qty]]/OrderTable[[#This Row],[Case Qty]],OrderTable[[#This Row],[Order Qty]]/OrderTable[[#This Row],[Case Qty]],OrderTable[[#This Row],[Order Qty]]),"")</f>
        <v>1</v>
      </c>
      <c r="K29" s="158" t="str">
        <f>IF(ISTEXT(OrderTable[[#This Row],[PART CODE]]),IF(OrderTable[[#This Row],[PART CODE]]="300.3712.GLV","PL",IF((ROUND(OrderTable[[#This Row],[Order Qty]]/OrderTable[[#This Row],[Case Qty]],0))=OrderTable[[#This Row],[Order Qty]]/OrderTable[[#This Row],[Case Qty]],"BOX","EA")),"")</f>
        <v>BOX</v>
      </c>
      <c r="L29" s="160">
        <f>IF(ISTEXT(OrderTable[[#This Row],[PART CODE]]),OrderTable[[#This Row],[Order Qty]]*OrderTable[[#This Row],[Price / Ea]],"")</f>
        <v>85.76</v>
      </c>
      <c r="M2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29" s="192" t="str">
        <f>IFERROR(VLOOKUP(OrderTable[[#This Row],[PART CODE]],'Short-Long Transition'!A:I,9,0)," ")</f>
        <v xml:space="preserve"> </v>
      </c>
    </row>
    <row r="30" spans="1:17" x14ac:dyDescent="0.25">
      <c r="A30" s="168" t="s">
        <v>8400</v>
      </c>
      <c r="B30" s="112">
        <v>2</v>
      </c>
      <c r="C30" s="109"/>
      <c r="D30" s="157" t="str">
        <f>IF(ISTEXT(OrderTable[[#This Row],[PART CODE]]),VLOOKUP(A30,'Price  List'!B:G,3,FALSE),"")</f>
        <v>Large Sort and Go Hamper Bag w/handles</v>
      </c>
      <c r="E30" s="157"/>
      <c r="F30" s="156" t="str">
        <f>OrderTable[[#This Row],[PART CODE]]</f>
        <v>300.3118.blk</v>
      </c>
      <c r="G30" s="191">
        <f>IF(ISTEXT(OrderTable[[#This Row],[PART CODE]]),VLOOKUP(A30,'Price  List'!B:G,6,FALSE),"")</f>
        <v>31.84</v>
      </c>
      <c r="H30" s="158">
        <f>IF(ISTEXT(OrderTable[[#This Row],[PART CODE]]),VLOOKUP(A30,'Price  List'!B:G,5,FALSE),"")</f>
        <v>2</v>
      </c>
      <c r="I30"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v>
      </c>
      <c r="J30" s="158">
        <f>IF(ISTEXT(OrderTable[[#This Row],[PART CODE]]),IF((ROUND(OrderTable[[#This Row],[Order Qty]]/OrderTable[[#This Row],[Case Qty]],0))=OrderTable[[#This Row],[Order Qty]]/OrderTable[[#This Row],[Case Qty]],OrderTable[[#This Row],[Order Qty]]/OrderTable[[#This Row],[Case Qty]],OrderTable[[#This Row],[Order Qty]]),"")</f>
        <v>1</v>
      </c>
      <c r="K30" s="158" t="str">
        <f>IF(ISTEXT(OrderTable[[#This Row],[PART CODE]]),IF(OrderTable[[#This Row],[PART CODE]]="300.3712.GLV","PL",IF((ROUND(OrderTable[[#This Row],[Order Qty]]/OrderTable[[#This Row],[Case Qty]],0))=OrderTable[[#This Row],[Order Qty]]/OrderTable[[#This Row],[Case Qty]],"BOX","EA")),"")</f>
        <v>BOX</v>
      </c>
      <c r="L30" s="160">
        <f>IF(ISTEXT(OrderTable[[#This Row],[PART CODE]]),OrderTable[[#This Row],[Order Qty]]*OrderTable[[#This Row],[Price / Ea]],"")</f>
        <v>63.68</v>
      </c>
      <c r="M3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0" s="192" t="str">
        <f>IFERROR(VLOOKUP(OrderTable[[#This Row],[PART CODE]],'Short-Long Transition'!A:I,9,0)," ")</f>
        <v xml:space="preserve"> </v>
      </c>
    </row>
    <row r="31" spans="1:17" x14ac:dyDescent="0.25">
      <c r="A31" s="168" t="s">
        <v>8401</v>
      </c>
      <c r="B31" s="112">
        <v>1</v>
      </c>
      <c r="C31" s="109"/>
      <c r="D31" s="157" t="str">
        <f>IF(ISTEXT(OrderTable[[#This Row],[PART CODE]]),VLOOKUP(A31,'Price  List'!B:G,3,FALSE),"")</f>
        <v>LAUNDRY ORGANIZER - 24"</v>
      </c>
      <c r="E31" s="157"/>
      <c r="F31" s="156" t="str">
        <f>OrderTable[[#This Row],[PART CODE]]</f>
        <v>310.6530.24.sla.blk</v>
      </c>
      <c r="G31" s="191">
        <f>IF(ISTEXT(OrderTable[[#This Row],[PART CODE]]),VLOOKUP(A31,'Price  List'!B:G,6,FALSE),"")</f>
        <v>146.63</v>
      </c>
      <c r="H31" s="158">
        <f>IF(ISTEXT(OrderTable[[#This Row],[PART CODE]]),VLOOKUP(A31,'Price  List'!B:G,5,FALSE),"")</f>
        <v>1</v>
      </c>
      <c r="I31"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31" s="158">
        <f>IF(ISTEXT(OrderTable[[#This Row],[PART CODE]]),IF((ROUND(OrderTable[[#This Row],[Order Qty]]/OrderTable[[#This Row],[Case Qty]],0))=OrderTable[[#This Row],[Order Qty]]/OrderTable[[#This Row],[Case Qty]],OrderTable[[#This Row],[Order Qty]]/OrderTable[[#This Row],[Case Qty]],OrderTable[[#This Row],[Order Qty]]),"")</f>
        <v>1</v>
      </c>
      <c r="K31" s="158" t="str">
        <f>IF(ISTEXT(OrderTable[[#This Row],[PART CODE]]),IF(OrderTable[[#This Row],[PART CODE]]="300.3712.GLV","PL",IF((ROUND(OrderTable[[#This Row],[Order Qty]]/OrderTable[[#This Row],[Case Qty]],0))=OrderTable[[#This Row],[Order Qty]]/OrderTable[[#This Row],[Case Qty]],"BOX","EA")),"")</f>
        <v>BOX</v>
      </c>
      <c r="L31" s="160">
        <f>IF(ISTEXT(OrderTable[[#This Row],[PART CODE]]),OrderTable[[#This Row],[Order Qty]]*OrderTable[[#This Row],[Price / Ea]],"")</f>
        <v>146.63</v>
      </c>
      <c r="M3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1" s="192" t="str">
        <f>IFERROR(VLOOKUP(OrderTable[[#This Row],[PART CODE]],'Short-Long Transition'!A:I,9,0)," ")</f>
        <v xml:space="preserve"> </v>
      </c>
    </row>
    <row r="32" spans="1:17" x14ac:dyDescent="0.25">
      <c r="A32" s="168" t="s">
        <v>8402</v>
      </c>
      <c r="B32" s="112">
        <v>2</v>
      </c>
      <c r="C32" s="109"/>
      <c r="D32" s="157" t="str">
        <f>IF(ISTEXT(OrderTable[[#This Row],[PART CODE]]),VLOOKUP(A32,'Price  List'!B:G,3,FALSE),"")</f>
        <v xml:space="preserve">DIVIDED DEEP DRAWER - 24" </v>
      </c>
      <c r="E32" s="157"/>
      <c r="F32" s="156" t="str">
        <f>OrderTable[[#This Row],[PART CODE]]</f>
        <v>310.6380.24.sla.sg</v>
      </c>
      <c r="G32" s="191">
        <f>IF(ISTEXT(OrderTable[[#This Row],[PART CODE]]),VLOOKUP(A32,'Price  List'!B:G,6,FALSE),"")</f>
        <v>110.96</v>
      </c>
      <c r="H32" s="158">
        <f>IF(ISTEXT(OrderTable[[#This Row],[PART CODE]]),VLOOKUP(A32,'Price  List'!B:G,5,FALSE),"")</f>
        <v>1</v>
      </c>
      <c r="I32"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v>
      </c>
      <c r="J32" s="158">
        <f>IF(ISTEXT(OrderTable[[#This Row],[PART CODE]]),IF((ROUND(OrderTable[[#This Row],[Order Qty]]/OrderTable[[#This Row],[Case Qty]],0))=OrderTable[[#This Row],[Order Qty]]/OrderTable[[#This Row],[Case Qty]],OrderTable[[#This Row],[Order Qty]]/OrderTable[[#This Row],[Case Qty]],OrderTable[[#This Row],[Order Qty]]),"")</f>
        <v>2</v>
      </c>
      <c r="K32" s="158" t="str">
        <f>IF(ISTEXT(OrderTable[[#This Row],[PART CODE]]),IF(OrderTable[[#This Row],[PART CODE]]="300.3712.GLV","PL",IF((ROUND(OrderTable[[#This Row],[Order Qty]]/OrderTable[[#This Row],[Case Qty]],0))=OrderTable[[#This Row],[Order Qty]]/OrderTable[[#This Row],[Case Qty]],"BOX","EA")),"")</f>
        <v>BOX</v>
      </c>
      <c r="L32" s="160">
        <f>IF(ISTEXT(OrderTable[[#This Row],[PART CODE]]),OrderTable[[#This Row],[Order Qty]]*OrderTable[[#This Row],[Price / Ea]],"")</f>
        <v>221.92</v>
      </c>
      <c r="M3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2" s="192" t="str">
        <f>IFERROR(VLOOKUP(OrderTable[[#This Row],[PART CODE]],'Short-Long Transition'!A:I,9,0)," ")</f>
        <v xml:space="preserve"> </v>
      </c>
    </row>
    <row r="33" spans="1:15" x14ac:dyDescent="0.25">
      <c r="A33" s="168" t="s">
        <v>8403</v>
      </c>
      <c r="B33" s="112">
        <v>2</v>
      </c>
      <c r="C33" s="109"/>
      <c r="D33" s="157" t="str">
        <f>IF(ISTEXT(OrderTable[[#This Row],[PART CODE]]),VLOOKUP(A33,'Price  List'!B:G,3,FALSE),"")</f>
        <v xml:space="preserve">PULL-OUT SHOE ORGANIZER - 30" </v>
      </c>
      <c r="E33" s="157"/>
      <c r="F33" s="156" t="str">
        <f>OrderTable[[#This Row],[PART CODE]]</f>
        <v>310.6410.30.sla.sg</v>
      </c>
      <c r="G33" s="191">
        <f>IF(ISTEXT(OrderTable[[#This Row],[PART CODE]]),VLOOKUP(A33,'Price  List'!B:G,6,FALSE),"")</f>
        <v>134.13999999999999</v>
      </c>
      <c r="H33" s="158">
        <f>IF(ISTEXT(OrderTable[[#This Row],[PART CODE]]),VLOOKUP(A33,'Price  List'!B:G,5,FALSE),"")</f>
        <v>1</v>
      </c>
      <c r="I33"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v>
      </c>
      <c r="J33" s="158">
        <f>IF(ISTEXT(OrderTable[[#This Row],[PART CODE]]),IF((ROUND(OrderTable[[#This Row],[Order Qty]]/OrderTable[[#This Row],[Case Qty]],0))=OrderTable[[#This Row],[Order Qty]]/OrderTable[[#This Row],[Case Qty]],OrderTable[[#This Row],[Order Qty]]/OrderTable[[#This Row],[Case Qty]],OrderTable[[#This Row],[Order Qty]]),"")</f>
        <v>2</v>
      </c>
      <c r="K33" s="158" t="str">
        <f>IF(ISTEXT(OrderTable[[#This Row],[PART CODE]]),IF(OrderTable[[#This Row],[PART CODE]]="300.3712.GLV","PL",IF((ROUND(OrderTable[[#This Row],[Order Qty]]/OrderTable[[#This Row],[Case Qty]],0))=OrderTable[[#This Row],[Order Qty]]/OrderTable[[#This Row],[Case Qty]],"BOX","EA")),"")</f>
        <v>BOX</v>
      </c>
      <c r="L33" s="160">
        <f>IF(ISTEXT(OrderTable[[#This Row],[PART CODE]]),OrderTable[[#This Row],[Order Qty]]*OrderTable[[#This Row],[Price / Ea]],"")</f>
        <v>268.27999999999997</v>
      </c>
      <c r="M3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3" s="192" t="str">
        <f>IFERROR(VLOOKUP(OrderTable[[#This Row],[PART CODE]],'Short-Long Transition'!A:I,9,0)," ")</f>
        <v xml:space="preserve"> </v>
      </c>
    </row>
    <row r="34" spans="1:15" x14ac:dyDescent="0.25">
      <c r="A34" s="168" t="s">
        <v>8404</v>
      </c>
      <c r="B34" s="112">
        <v>1</v>
      </c>
      <c r="C34" s="109"/>
      <c r="D34" s="157" t="str">
        <f>IF(ISTEXT(OrderTable[[#This Row],[PART CODE]]),VLOOKUP(A34,'Price  List'!B:G,3,FALSE),"")</f>
        <v>30" Pull-Out Hamper w/1 Sm &amp; 1 Lg Bag</v>
      </c>
      <c r="E34" s="157"/>
      <c r="F34" s="156" t="str">
        <f>OrderTable[[#This Row],[PART CODE]]</f>
        <v>300.3143.blk</v>
      </c>
      <c r="G34" s="191">
        <f>IF(ISTEXT(OrderTable[[#This Row],[PART CODE]]),VLOOKUP(A34,'Price  List'!B:G,6,FALSE),"")</f>
        <v>95.04</v>
      </c>
      <c r="H34" s="158">
        <f>IF(ISTEXT(OrderTable[[#This Row],[PART CODE]]),VLOOKUP(A34,'Price  List'!B:G,5,FALSE),"")</f>
        <v>1</v>
      </c>
      <c r="I34"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34" s="158">
        <f>IF(ISTEXT(OrderTable[[#This Row],[PART CODE]]),IF((ROUND(OrderTable[[#This Row],[Order Qty]]/OrderTable[[#This Row],[Case Qty]],0))=OrderTable[[#This Row],[Order Qty]]/OrderTable[[#This Row],[Case Qty]],OrderTable[[#This Row],[Order Qty]]/OrderTable[[#This Row],[Case Qty]],OrderTable[[#This Row],[Order Qty]]),"")</f>
        <v>1</v>
      </c>
      <c r="K34" s="158" t="str">
        <f>IF(ISTEXT(OrderTable[[#This Row],[PART CODE]]),IF(OrderTable[[#This Row],[PART CODE]]="300.3712.GLV","PL",IF((ROUND(OrderTable[[#This Row],[Order Qty]]/OrderTable[[#This Row],[Case Qty]],0))=OrderTable[[#This Row],[Order Qty]]/OrderTable[[#This Row],[Case Qty]],"BOX","EA")),"")</f>
        <v>BOX</v>
      </c>
      <c r="L34" s="160">
        <f>IF(ISTEXT(OrderTable[[#This Row],[PART CODE]]),OrderTable[[#This Row],[Order Qty]]*OrderTable[[#This Row],[Price / Ea]],"")</f>
        <v>95.04</v>
      </c>
      <c r="M3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4" s="192" t="str">
        <f>IFERROR(VLOOKUP(OrderTable[[#This Row],[PART CODE]],'Short-Long Transition'!A:I,9,0)," ")</f>
        <v xml:space="preserve"> </v>
      </c>
    </row>
    <row r="35" spans="1:15" x14ac:dyDescent="0.25">
      <c r="A35" s="168" t="s">
        <v>8405</v>
      </c>
      <c r="B35" s="112">
        <v>1</v>
      </c>
      <c r="C35" s="109"/>
      <c r="D35" s="157" t="str">
        <f>IF(ISTEXT(OrderTable[[#This Row],[PART CODE]]),VLOOKUP(A35,'Price  List'!B:G,3,FALSE),"")</f>
        <v>PANT ORGANIZER - 30"</v>
      </c>
      <c r="E35" s="157"/>
      <c r="F35" s="156" t="str">
        <f>OrderTable[[#This Row],[PART CODE]]</f>
        <v>310.6540.30.sla.mg</v>
      </c>
      <c r="G35" s="191">
        <f>IF(ISTEXT(OrderTable[[#This Row],[PART CODE]]),VLOOKUP(A35,'Price  List'!B:G,6,FALSE),"")</f>
        <v>147.16</v>
      </c>
      <c r="H35" s="158">
        <f>IF(ISTEXT(OrderTable[[#This Row],[PART CODE]]),VLOOKUP(A35,'Price  List'!B:G,5,FALSE),"")</f>
        <v>1</v>
      </c>
      <c r="I35"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35" s="158">
        <f>IF(ISTEXT(OrderTable[[#This Row],[PART CODE]]),IF((ROUND(OrderTable[[#This Row],[Order Qty]]/OrderTable[[#This Row],[Case Qty]],0))=OrderTable[[#This Row],[Order Qty]]/OrderTable[[#This Row],[Case Qty]],OrderTable[[#This Row],[Order Qty]]/OrderTable[[#This Row],[Case Qty]],OrderTable[[#This Row],[Order Qty]]),"")</f>
        <v>1</v>
      </c>
      <c r="K35" s="158" t="str">
        <f>IF(ISTEXT(OrderTable[[#This Row],[PART CODE]]),IF(OrderTable[[#This Row],[PART CODE]]="300.3712.GLV","PL",IF((ROUND(OrderTable[[#This Row],[Order Qty]]/OrderTable[[#This Row],[Case Qty]],0))=OrderTable[[#This Row],[Order Qty]]/OrderTable[[#This Row],[Case Qty]],"BOX","EA")),"")</f>
        <v>BOX</v>
      </c>
      <c r="L35" s="160">
        <f>IF(ISTEXT(OrderTable[[#This Row],[PART CODE]]),OrderTable[[#This Row],[Order Qty]]*OrderTable[[#This Row],[Price / Ea]],"")</f>
        <v>147.16</v>
      </c>
      <c r="M3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5" s="192" t="str">
        <f>IFERROR(VLOOKUP(OrderTable[[#This Row],[PART CODE]],'Short-Long Transition'!A:I,9,0)," ")</f>
        <v xml:space="preserve"> </v>
      </c>
    </row>
    <row r="36" spans="1:15" x14ac:dyDescent="0.25">
      <c r="A36" s="168"/>
      <c r="B36" s="112"/>
      <c r="C36" s="109"/>
      <c r="D36" s="157" t="str">
        <f>IF(ISTEXT(OrderTable[[#This Row],[PART CODE]]),VLOOKUP(A36,'Price  List'!B:G,3,FALSE),"")</f>
        <v/>
      </c>
      <c r="E36" s="157"/>
      <c r="F36" s="156">
        <f>OrderTable[[#This Row],[PART CODE]]</f>
        <v>0</v>
      </c>
      <c r="G36" s="191" t="str">
        <f>IF(ISTEXT(OrderTable[[#This Row],[PART CODE]]),VLOOKUP(A36,'Price  List'!B:G,6,FALSE),"")</f>
        <v/>
      </c>
      <c r="H36" s="158" t="str">
        <f>IF(ISTEXT(OrderTable[[#This Row],[PART CODE]]),VLOOKUP(A36,'Price  List'!B:G,5,FALSE),"")</f>
        <v/>
      </c>
      <c r="I3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36" s="158" t="str">
        <f>IF(ISTEXT(OrderTable[[#This Row],[PART CODE]]),IF((ROUND(OrderTable[[#This Row],[Order Qty]]/OrderTable[[#This Row],[Case Qty]],0))=OrderTable[[#This Row],[Order Qty]]/OrderTable[[#This Row],[Case Qty]],OrderTable[[#This Row],[Order Qty]]/OrderTable[[#This Row],[Case Qty]],OrderTable[[#This Row],[Order Qty]]),"")</f>
        <v/>
      </c>
      <c r="K36" s="158" t="str">
        <f>IF(ISTEXT(OrderTable[[#This Row],[PART CODE]]),IF(OrderTable[[#This Row],[PART CODE]]="300.3712.GLV","PL",IF((ROUND(OrderTable[[#This Row],[Order Qty]]/OrderTable[[#This Row],[Case Qty]],0))=OrderTable[[#This Row],[Order Qty]]/OrderTable[[#This Row],[Case Qty]],"BOX","EA")),"")</f>
        <v/>
      </c>
      <c r="L36" s="160" t="str">
        <f>IF(ISTEXT(OrderTable[[#This Row],[PART CODE]]),OrderTable[[#This Row],[Order Qty]]*OrderTable[[#This Row],[Price / Ea]],"")</f>
        <v/>
      </c>
      <c r="M3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6" s="192" t="str">
        <f>IFERROR(VLOOKUP(OrderTable[[#This Row],[PART CODE]],'Short-Long Transition'!A:I,9,0)," ")</f>
        <v xml:space="preserve"> </v>
      </c>
    </row>
    <row r="37" spans="1:15" x14ac:dyDescent="0.25">
      <c r="A37" s="168" t="s">
        <v>8406</v>
      </c>
      <c r="B37" s="112">
        <v>2</v>
      </c>
      <c r="C37" s="109"/>
      <c r="D37" s="157" t="str">
        <f>IF(ISTEXT(OrderTable[[#This Row],[PART CODE]]),VLOOKUP(A37,'Price  List'!B:G,3,FALSE),"")</f>
        <v xml:space="preserve">PULL-OUT SHOE ORGANIZER - 24" </v>
      </c>
      <c r="E37" s="157"/>
      <c r="F37" s="156" t="str">
        <f>OrderTable[[#This Row],[PART CODE]]</f>
        <v>310.6410.24.sla.mg</v>
      </c>
      <c r="G37" s="191">
        <f>IF(ISTEXT(OrderTable[[#This Row],[PART CODE]]),VLOOKUP(A37,'Price  List'!B:G,6,FALSE),"")</f>
        <v>120.91</v>
      </c>
      <c r="H37" s="158">
        <f>IF(ISTEXT(OrderTable[[#This Row],[PART CODE]]),VLOOKUP(A37,'Price  List'!B:G,5,FALSE),"")</f>
        <v>1</v>
      </c>
      <c r="I37"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v>
      </c>
      <c r="J37" s="158">
        <f>IF(ISTEXT(OrderTable[[#This Row],[PART CODE]]),IF((ROUND(OrderTable[[#This Row],[Order Qty]]/OrderTable[[#This Row],[Case Qty]],0))=OrderTable[[#This Row],[Order Qty]]/OrderTable[[#This Row],[Case Qty]],OrderTable[[#This Row],[Order Qty]]/OrderTable[[#This Row],[Case Qty]],OrderTable[[#This Row],[Order Qty]]),"")</f>
        <v>2</v>
      </c>
      <c r="K37" s="158" t="str">
        <f>IF(ISTEXT(OrderTable[[#This Row],[PART CODE]]),IF(OrderTable[[#This Row],[PART CODE]]="300.3712.GLV","PL",IF((ROUND(OrderTable[[#This Row],[Order Qty]]/OrderTable[[#This Row],[Case Qty]],0))=OrderTable[[#This Row],[Order Qty]]/OrderTable[[#This Row],[Case Qty]],"BOX","EA")),"")</f>
        <v>BOX</v>
      </c>
      <c r="L37" s="160">
        <f>IF(ISTEXT(OrderTable[[#This Row],[PART CODE]]),OrderTable[[#This Row],[Order Qty]]*OrderTable[[#This Row],[Price / Ea]],"")</f>
        <v>241.82</v>
      </c>
      <c r="M3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7" s="192" t="str">
        <f>IFERROR(VLOOKUP(OrderTable[[#This Row],[PART CODE]],'Short-Long Transition'!A:I,9,0)," ")</f>
        <v xml:space="preserve"> </v>
      </c>
    </row>
    <row r="38" spans="1:15" x14ac:dyDescent="0.25">
      <c r="A38" s="168" t="s">
        <v>8407</v>
      </c>
      <c r="B38" s="112">
        <v>1</v>
      </c>
      <c r="C38" s="109"/>
      <c r="D38" s="157" t="str">
        <f>IF(ISTEXT(OrderTable[[#This Row],[PART CODE]]),VLOOKUP(A38,'Price  List'!B:G,3,FALSE),"")</f>
        <v>Mirror 4 ft - Full Rotation</v>
      </c>
      <c r="E38" s="157"/>
      <c r="F38" s="156" t="str">
        <f>OrderTable[[#This Row],[PART CODE]]</f>
        <v>300.3430.mg</v>
      </c>
      <c r="G38" s="191">
        <f>IF(ISTEXT(OrderTable[[#This Row],[PART CODE]]),VLOOKUP(A38,'Price  List'!B:G,6,FALSE),"")</f>
        <v>161.77000000000001</v>
      </c>
      <c r="H38" s="158">
        <f>IF(ISTEXT(OrderTable[[#This Row],[PART CODE]]),VLOOKUP(A38,'Price  List'!B:G,5,FALSE),"")</f>
        <v>1</v>
      </c>
      <c r="I38"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38" s="158">
        <f>IF(ISTEXT(OrderTable[[#This Row],[PART CODE]]),IF((ROUND(OrderTable[[#This Row],[Order Qty]]/OrderTable[[#This Row],[Case Qty]],0))=OrderTable[[#This Row],[Order Qty]]/OrderTable[[#This Row],[Case Qty]],OrderTable[[#This Row],[Order Qty]]/OrderTable[[#This Row],[Case Qty]],OrderTable[[#This Row],[Order Qty]]),"")</f>
        <v>1</v>
      </c>
      <c r="K38" s="158" t="str">
        <f>IF(ISTEXT(OrderTable[[#This Row],[PART CODE]]),IF(OrderTable[[#This Row],[PART CODE]]="300.3712.GLV","PL",IF((ROUND(OrderTable[[#This Row],[Order Qty]]/OrderTable[[#This Row],[Case Qty]],0))=OrderTable[[#This Row],[Order Qty]]/OrderTable[[#This Row],[Case Qty]],"BOX","EA")),"")</f>
        <v>BOX</v>
      </c>
      <c r="L38" s="160">
        <f>IF(ISTEXT(OrderTable[[#This Row],[PART CODE]]),OrderTable[[#This Row],[Order Qty]]*OrderTable[[#This Row],[Price / Ea]],"")</f>
        <v>161.77000000000001</v>
      </c>
      <c r="M3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8" s="192" t="str">
        <f>IFERROR(VLOOKUP(OrderTable[[#This Row],[PART CODE]],'Short-Long Transition'!A:I,9,0)," ")</f>
        <v xml:space="preserve"> </v>
      </c>
    </row>
    <row r="39" spans="1:15" x14ac:dyDescent="0.25">
      <c r="A39" s="168" t="s">
        <v>8408</v>
      </c>
      <c r="B39" s="112">
        <v>2</v>
      </c>
      <c r="C39" s="109"/>
      <c r="D39" s="157" t="str">
        <f>IF(ISTEXT(OrderTable[[#This Row],[PART CODE]]),VLOOKUP(A39,'Price  List'!B:G,3,FALSE),"")</f>
        <v>Everstyle w/Integrated Pull 14 Sunglasses Drawer, 24" W, Gold w Oyster</v>
      </c>
      <c r="E39" s="157"/>
      <c r="F39" s="156" t="str">
        <f>OrderTable[[#This Row],[PART CODE]]</f>
        <v>310.1620.24.oys.mg</v>
      </c>
      <c r="G39" s="191">
        <f>IF(ISTEXT(OrderTable[[#This Row],[PART CODE]]),VLOOKUP(A39,'Price  List'!B:G,6,FALSE),"")</f>
        <v>185.1</v>
      </c>
      <c r="H39" s="158">
        <f>IF(ISTEXT(OrderTable[[#This Row],[PART CODE]]),VLOOKUP(A39,'Price  List'!B:G,5,FALSE),"")</f>
        <v>1</v>
      </c>
      <c r="I39"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v>
      </c>
      <c r="J39" s="158">
        <f>IF(ISTEXT(OrderTable[[#This Row],[PART CODE]]),IF((ROUND(OrderTable[[#This Row],[Order Qty]]/OrderTable[[#This Row],[Case Qty]],0))=OrderTable[[#This Row],[Order Qty]]/OrderTable[[#This Row],[Case Qty]],OrderTable[[#This Row],[Order Qty]]/OrderTable[[#This Row],[Case Qty]],OrderTable[[#This Row],[Order Qty]]),"")</f>
        <v>2</v>
      </c>
      <c r="K39" s="158" t="str">
        <f>IF(ISTEXT(OrderTable[[#This Row],[PART CODE]]),IF(OrderTable[[#This Row],[PART CODE]]="300.3712.GLV","PL",IF((ROUND(OrderTable[[#This Row],[Order Qty]]/OrderTable[[#This Row],[Case Qty]],0))=OrderTable[[#This Row],[Order Qty]]/OrderTable[[#This Row],[Case Qty]],"BOX","EA")),"")</f>
        <v>BOX</v>
      </c>
      <c r="L39" s="160">
        <f>IF(ISTEXT(OrderTable[[#This Row],[PART CODE]]),OrderTable[[#This Row],[Order Qty]]*OrderTable[[#This Row],[Price / Ea]],"")</f>
        <v>370.2</v>
      </c>
      <c r="M3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9" s="192" t="str">
        <f>IFERROR(VLOOKUP(OrderTable[[#This Row],[PART CODE]],'Short-Long Transition'!A:I,9,0)," ")</f>
        <v xml:space="preserve"> </v>
      </c>
    </row>
    <row r="40" spans="1:15" x14ac:dyDescent="0.25">
      <c r="A40" s="168" t="s">
        <v>8409</v>
      </c>
      <c r="B40" s="112">
        <v>2</v>
      </c>
      <c r="C40" s="109"/>
      <c r="D40" s="157" t="str">
        <f>IF(ISTEXT(OrderTable[[#This Row],[PART CODE]]),VLOOKUP(A40,'Price  List'!B:G,3,FALSE),"")</f>
        <v>Everstyle w/Integrated Pull 14 Shirt Drawer, 24" W, Gold w Oyster</v>
      </c>
      <c r="E40" s="157"/>
      <c r="F40" s="156" t="str">
        <f>OrderTable[[#This Row],[PART CODE]]</f>
        <v>310.1510.24.oys.mg</v>
      </c>
      <c r="G40" s="191">
        <f>IF(ISTEXT(OrderTable[[#This Row],[PART CODE]]),VLOOKUP(A40,'Price  List'!B:G,6,FALSE),"")</f>
        <v>185.1</v>
      </c>
      <c r="H40" s="158">
        <f>IF(ISTEXT(OrderTable[[#This Row],[PART CODE]]),VLOOKUP(A40,'Price  List'!B:G,5,FALSE),"")</f>
        <v>1</v>
      </c>
      <c r="I40"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v>
      </c>
      <c r="J40" s="158">
        <f>IF(ISTEXT(OrderTable[[#This Row],[PART CODE]]),IF((ROUND(OrderTable[[#This Row],[Order Qty]]/OrderTable[[#This Row],[Case Qty]],0))=OrderTable[[#This Row],[Order Qty]]/OrderTable[[#This Row],[Case Qty]],OrderTable[[#This Row],[Order Qty]]/OrderTable[[#This Row],[Case Qty]],OrderTable[[#This Row],[Order Qty]]),"")</f>
        <v>2</v>
      </c>
      <c r="K40" s="158" t="str">
        <f>IF(ISTEXT(OrderTable[[#This Row],[PART CODE]]),IF(OrderTable[[#This Row],[PART CODE]]="300.3712.GLV","PL",IF((ROUND(OrderTable[[#This Row],[Order Qty]]/OrderTable[[#This Row],[Case Qty]],0))=OrderTable[[#This Row],[Order Qty]]/OrderTable[[#This Row],[Case Qty]],"BOX","EA")),"")</f>
        <v>BOX</v>
      </c>
      <c r="L40" s="160">
        <f>IF(ISTEXT(OrderTable[[#This Row],[PART CODE]]),OrderTable[[#This Row],[Order Qty]]*OrderTable[[#This Row],[Price / Ea]],"")</f>
        <v>370.2</v>
      </c>
      <c r="M4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0" s="192" t="str">
        <f>IFERROR(VLOOKUP(OrderTable[[#This Row],[PART CODE]],'Short-Long Transition'!A:I,9,0)," ")</f>
        <v xml:space="preserve"> </v>
      </c>
    </row>
    <row r="41" spans="1:15" x14ac:dyDescent="0.25">
      <c r="A41" s="168" t="s">
        <v>8410</v>
      </c>
      <c r="B41" s="112">
        <v>3</v>
      </c>
      <c r="C41" s="109"/>
      <c r="D41" s="157" t="str">
        <f>IF(ISTEXT(OrderTable[[#This Row],[PART CODE]]),VLOOKUP(A41,'Price  List'!B:G,3,FALSE),"")</f>
        <v xml:space="preserve">PULL-OUT SHOE ORGANIZER - 24" </v>
      </c>
      <c r="E41" s="157"/>
      <c r="F41" s="156" t="str">
        <f>OrderTable[[#This Row],[PART CODE]]</f>
        <v>310.6410.24.sla.mal</v>
      </c>
      <c r="G41" s="191">
        <f>IF(ISTEXT(OrderTable[[#This Row],[PART CODE]]),VLOOKUP(A41,'Price  List'!B:G,6,FALSE),"")</f>
        <v>112.99</v>
      </c>
      <c r="H41" s="158">
        <f>IF(ISTEXT(OrderTable[[#This Row],[PART CODE]]),VLOOKUP(A41,'Price  List'!B:G,5,FALSE),"")</f>
        <v>1</v>
      </c>
      <c r="I41"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3</v>
      </c>
      <c r="J41" s="158">
        <f>IF(ISTEXT(OrderTable[[#This Row],[PART CODE]]),IF((ROUND(OrderTable[[#This Row],[Order Qty]]/OrderTable[[#This Row],[Case Qty]],0))=OrderTable[[#This Row],[Order Qty]]/OrderTable[[#This Row],[Case Qty]],OrderTable[[#This Row],[Order Qty]]/OrderTable[[#This Row],[Case Qty]],OrderTable[[#This Row],[Order Qty]]),"")</f>
        <v>3</v>
      </c>
      <c r="K41" s="158" t="str">
        <f>IF(ISTEXT(OrderTable[[#This Row],[PART CODE]]),IF(OrderTable[[#This Row],[PART CODE]]="300.3712.GLV","PL",IF((ROUND(OrderTable[[#This Row],[Order Qty]]/OrderTable[[#This Row],[Case Qty]],0))=OrderTable[[#This Row],[Order Qty]]/OrderTable[[#This Row],[Case Qty]],"BOX","EA")),"")</f>
        <v>BOX</v>
      </c>
      <c r="L41" s="160">
        <f>IF(ISTEXT(OrderTable[[#This Row],[PART CODE]]),OrderTable[[#This Row],[Order Qty]]*OrderTable[[#This Row],[Price / Ea]],"")</f>
        <v>338.96999999999997</v>
      </c>
      <c r="M4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1" s="192" t="str">
        <f>IFERROR(VLOOKUP(OrderTable[[#This Row],[PART CODE]],'Short-Long Transition'!A:I,9,0)," ")</f>
        <v xml:space="preserve"> </v>
      </c>
    </row>
    <row r="42" spans="1:15" x14ac:dyDescent="0.25">
      <c r="A42" s="168" t="s">
        <v>8411</v>
      </c>
      <c r="B42" s="112">
        <v>3</v>
      </c>
      <c r="C42" s="109"/>
      <c r="D42" s="157" t="str">
        <f>IF(ISTEXT(OrderTable[[#This Row],[PART CODE]]),VLOOKUP(A42,'Price  List'!B:G,3,FALSE),"")</f>
        <v>Mirror 4 ft - Full Rotation</v>
      </c>
      <c r="E42" s="157"/>
      <c r="F42" s="156" t="str">
        <f>OrderTable[[#This Row],[PART CODE]]</f>
        <v>300.3430.mal</v>
      </c>
      <c r="G42" s="191">
        <f>IF(ISTEXT(OrderTable[[#This Row],[PART CODE]]),VLOOKUP(A42,'Price  List'!B:G,6,FALSE),"")</f>
        <v>155.27000000000001</v>
      </c>
      <c r="H42" s="158">
        <f>IF(ISTEXT(OrderTable[[#This Row],[PART CODE]]),VLOOKUP(A42,'Price  List'!B:G,5,FALSE),"")</f>
        <v>1</v>
      </c>
      <c r="I42"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3</v>
      </c>
      <c r="J42" s="158">
        <f>IF(ISTEXT(OrderTable[[#This Row],[PART CODE]]),IF((ROUND(OrderTable[[#This Row],[Order Qty]]/OrderTable[[#This Row],[Case Qty]],0))=OrderTable[[#This Row],[Order Qty]]/OrderTable[[#This Row],[Case Qty]],OrderTable[[#This Row],[Order Qty]]/OrderTable[[#This Row],[Case Qty]],OrderTable[[#This Row],[Order Qty]]),"")</f>
        <v>3</v>
      </c>
      <c r="K42" s="158" t="str">
        <f>IF(ISTEXT(OrderTable[[#This Row],[PART CODE]]),IF(OrderTable[[#This Row],[PART CODE]]="300.3712.GLV","PL",IF((ROUND(OrderTable[[#This Row],[Order Qty]]/OrderTable[[#This Row],[Case Qty]],0))=OrderTable[[#This Row],[Order Qty]]/OrderTable[[#This Row],[Case Qty]],"BOX","EA")),"")</f>
        <v>BOX</v>
      </c>
      <c r="L42" s="160">
        <f>IF(ISTEXT(OrderTable[[#This Row],[PART CODE]]),OrderTable[[#This Row],[Order Qty]]*OrderTable[[#This Row],[Price / Ea]],"")</f>
        <v>465.81000000000006</v>
      </c>
      <c r="M4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2" s="192" t="str">
        <f>IFERROR(VLOOKUP(OrderTable[[#This Row],[PART CODE]],'Short-Long Transition'!A:I,9,0)," ")</f>
        <v xml:space="preserve"> </v>
      </c>
    </row>
    <row r="43" spans="1:15" x14ac:dyDescent="0.25">
      <c r="A43" s="168" t="s">
        <v>8400</v>
      </c>
      <c r="B43" s="112">
        <v>12</v>
      </c>
      <c r="C43" s="109"/>
      <c r="D43" s="157" t="str">
        <f>IF(ISTEXT(OrderTable[[#This Row],[PART CODE]]),VLOOKUP(A43,'Price  List'!B:G,3,FALSE),"")</f>
        <v>Large Sort and Go Hamper Bag w/handles</v>
      </c>
      <c r="E43" s="157"/>
      <c r="F43" s="156" t="str">
        <f>OrderTable[[#This Row],[PART CODE]]</f>
        <v>300.3118.blk</v>
      </c>
      <c r="G43" s="191">
        <f>IF(ISTEXT(OrderTable[[#This Row],[PART CODE]]),VLOOKUP(A43,'Price  List'!B:G,6,FALSE),"")</f>
        <v>31.84</v>
      </c>
      <c r="H43" s="158">
        <f>IF(ISTEXT(OrderTable[[#This Row],[PART CODE]]),VLOOKUP(A43,'Price  List'!B:G,5,FALSE),"")</f>
        <v>2</v>
      </c>
      <c r="I43"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12</v>
      </c>
      <c r="J43" s="158">
        <f>IF(ISTEXT(OrderTable[[#This Row],[PART CODE]]),IF((ROUND(OrderTable[[#This Row],[Order Qty]]/OrderTable[[#This Row],[Case Qty]],0))=OrderTable[[#This Row],[Order Qty]]/OrderTable[[#This Row],[Case Qty]],OrderTable[[#This Row],[Order Qty]]/OrderTable[[#This Row],[Case Qty]],OrderTable[[#This Row],[Order Qty]]),"")</f>
        <v>6</v>
      </c>
      <c r="K43" s="158" t="str">
        <f>IF(ISTEXT(OrderTable[[#This Row],[PART CODE]]),IF(OrderTable[[#This Row],[PART CODE]]="300.3712.GLV","PL",IF((ROUND(OrderTable[[#This Row],[Order Qty]]/OrderTable[[#This Row],[Case Qty]],0))=OrderTable[[#This Row],[Order Qty]]/OrderTable[[#This Row],[Case Qty]],"BOX","EA")),"")</f>
        <v>BOX</v>
      </c>
      <c r="L43" s="160">
        <f>IF(ISTEXT(OrderTable[[#This Row],[PART CODE]]),OrderTable[[#This Row],[Order Qty]]*OrderTable[[#This Row],[Price / Ea]],"")</f>
        <v>382.08</v>
      </c>
      <c r="M4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3" s="192" t="str">
        <f>IFERROR(VLOOKUP(OrderTable[[#This Row],[PART CODE]],'Short-Long Transition'!A:I,9,0)," ")</f>
        <v xml:space="preserve"> </v>
      </c>
    </row>
    <row r="44" spans="1:15" x14ac:dyDescent="0.25">
      <c r="A44" s="168" t="s">
        <v>8399</v>
      </c>
      <c r="B44" s="112">
        <v>6</v>
      </c>
      <c r="C44" s="109"/>
      <c r="D44" s="157" t="str">
        <f>IF(ISTEXT(OrderTable[[#This Row],[PART CODE]]),VLOOKUP(A44,'Price  List'!B:G,3,FALSE),"")</f>
        <v>Small Sort and Go Hamper Bag w/handles</v>
      </c>
      <c r="E44" s="157"/>
      <c r="F44" s="156" t="str">
        <f>OrderTable[[#This Row],[PART CODE]]</f>
        <v>300.3117.blk</v>
      </c>
      <c r="G44" s="191">
        <f>IF(ISTEXT(OrderTable[[#This Row],[PART CODE]]),VLOOKUP(A44,'Price  List'!B:G,6,FALSE),"")</f>
        <v>21.44</v>
      </c>
      <c r="H44" s="158">
        <f>IF(ISTEXT(OrderTable[[#This Row],[PART CODE]]),VLOOKUP(A44,'Price  List'!B:G,5,FALSE),"")</f>
        <v>4</v>
      </c>
      <c r="I44"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8</v>
      </c>
      <c r="J44" s="158">
        <f>IF(ISTEXT(OrderTable[[#This Row],[PART CODE]]),IF((ROUND(OrderTable[[#This Row],[Order Qty]]/OrderTable[[#This Row],[Case Qty]],0))=OrderTable[[#This Row],[Order Qty]]/OrderTable[[#This Row],[Case Qty]],OrderTable[[#This Row],[Order Qty]]/OrderTable[[#This Row],[Case Qty]],OrderTable[[#This Row],[Order Qty]]),"")</f>
        <v>2</v>
      </c>
      <c r="K44" s="158" t="str">
        <f>IF(ISTEXT(OrderTable[[#This Row],[PART CODE]]),IF(OrderTable[[#This Row],[PART CODE]]="300.3712.GLV","PL",IF((ROUND(OrderTable[[#This Row],[Order Qty]]/OrderTable[[#This Row],[Case Qty]],0))=OrderTable[[#This Row],[Order Qty]]/OrderTable[[#This Row],[Case Qty]],"BOX","EA")),"")</f>
        <v>BOX</v>
      </c>
      <c r="L44" s="160">
        <f>IF(ISTEXT(OrderTable[[#This Row],[PART CODE]]),OrderTable[[#This Row],[Order Qty]]*OrderTable[[#This Row],[Price / Ea]],"")</f>
        <v>171.52</v>
      </c>
      <c r="M4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44" s="192" t="str">
        <f>IFERROR(VLOOKUP(OrderTable[[#This Row],[PART CODE]],'Short-Long Transition'!A:I,9,0)," ")</f>
        <v xml:space="preserve"> </v>
      </c>
    </row>
    <row r="45" spans="1:15" x14ac:dyDescent="0.25">
      <c r="A45" s="168" t="s">
        <v>8412</v>
      </c>
      <c r="B45" s="112">
        <v>1</v>
      </c>
      <c r="C45" s="109"/>
      <c r="D45" s="157" t="str">
        <f>IF(ISTEXT(OrderTable[[#This Row],[PART CODE]]),VLOOKUP(A45,'Price  List'!B:G,3,FALSE),"")</f>
        <v>Everstyle w/Integrated Pull 20 Jewelry Drawer, 24" W, Graphite w Oyster</v>
      </c>
      <c r="E45" s="157"/>
      <c r="F45" s="156" t="str">
        <f>OrderTable[[#This Row],[PART CODE]]</f>
        <v>310.2610.24.oys.sg</v>
      </c>
      <c r="G45" s="191">
        <f>IF(ISTEXT(OrderTable[[#This Row],[PART CODE]]),VLOOKUP(A45,'Price  List'!B:G,6,FALSE),"")</f>
        <v>257.83</v>
      </c>
      <c r="H45" s="158">
        <f>IF(ISTEXT(OrderTable[[#This Row],[PART CODE]]),VLOOKUP(A45,'Price  List'!B:G,5,FALSE),"")</f>
        <v>1</v>
      </c>
      <c r="I45"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45" s="158">
        <f>IF(ISTEXT(OrderTable[[#This Row],[PART CODE]]),IF((ROUND(OrderTable[[#This Row],[Order Qty]]/OrderTable[[#This Row],[Case Qty]],0))=OrderTable[[#This Row],[Order Qty]]/OrderTable[[#This Row],[Case Qty]],OrderTable[[#This Row],[Order Qty]]/OrderTable[[#This Row],[Case Qty]],OrderTable[[#This Row],[Order Qty]]),"")</f>
        <v>1</v>
      </c>
      <c r="K45" s="158" t="str">
        <f>IF(ISTEXT(OrderTable[[#This Row],[PART CODE]]),IF(OrderTable[[#This Row],[PART CODE]]="300.3712.GLV","PL",IF((ROUND(OrderTable[[#This Row],[Order Qty]]/OrderTable[[#This Row],[Case Qty]],0))=OrderTable[[#This Row],[Order Qty]]/OrderTable[[#This Row],[Case Qty]],"BOX","EA")),"")</f>
        <v>BOX</v>
      </c>
      <c r="L45" s="160">
        <f>IF(ISTEXT(OrderTable[[#This Row],[PART CODE]]),OrderTable[[#This Row],[Order Qty]]*OrderTable[[#This Row],[Price / Ea]],"")</f>
        <v>257.83</v>
      </c>
      <c r="M4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5" s="192" t="str">
        <f>IFERROR(VLOOKUP(OrderTable[[#This Row],[PART CODE]],'Short-Long Transition'!A:I,9,0)," ")</f>
        <v xml:space="preserve"> </v>
      </c>
    </row>
    <row r="46" spans="1:15" x14ac:dyDescent="0.25">
      <c r="A46" s="168" t="s">
        <v>8413</v>
      </c>
      <c r="B46" s="112">
        <v>1</v>
      </c>
      <c r="C46" s="109"/>
      <c r="D46" s="157" t="str">
        <f>IF(ISTEXT(OrderTable[[#This Row],[PART CODE]]),VLOOKUP(A46,'Price  List'!B:G,3,FALSE),"")</f>
        <v>Everstyle w/Integrated Pull 20 Tie &amp; Belt Drawer, 24" W, Matte Aluminum w Oyster</v>
      </c>
      <c r="E46" s="157"/>
      <c r="F46" s="156" t="str">
        <f>OrderTable[[#This Row],[PART CODE]]</f>
        <v>310.2600.24.oys.mal</v>
      </c>
      <c r="G46" s="191">
        <f>IF(ISTEXT(OrderTable[[#This Row],[PART CODE]]),VLOOKUP(A46,'Price  List'!B:G,6,FALSE),"")</f>
        <v>231.38</v>
      </c>
      <c r="H46" s="158">
        <f>IF(ISTEXT(OrderTable[[#This Row],[PART CODE]]),VLOOKUP(A46,'Price  List'!B:G,5,FALSE),"")</f>
        <v>1</v>
      </c>
      <c r="I46"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46" s="158">
        <f>IF(ISTEXT(OrderTable[[#This Row],[PART CODE]]),IF((ROUND(OrderTable[[#This Row],[Order Qty]]/OrderTable[[#This Row],[Case Qty]],0))=OrderTable[[#This Row],[Order Qty]]/OrderTable[[#This Row],[Case Qty]],OrderTable[[#This Row],[Order Qty]]/OrderTable[[#This Row],[Case Qty]],OrderTable[[#This Row],[Order Qty]]),"")</f>
        <v>1</v>
      </c>
      <c r="K46" s="158" t="str">
        <f>IF(ISTEXT(OrderTable[[#This Row],[PART CODE]]),IF(OrderTable[[#This Row],[PART CODE]]="300.3712.GLV","PL",IF((ROUND(OrderTable[[#This Row],[Order Qty]]/OrderTable[[#This Row],[Case Qty]],0))=OrderTable[[#This Row],[Order Qty]]/OrderTable[[#This Row],[Case Qty]],"BOX","EA")),"")</f>
        <v>BOX</v>
      </c>
      <c r="L46" s="160">
        <f>IF(ISTEXT(OrderTable[[#This Row],[PART CODE]]),OrderTable[[#This Row],[Order Qty]]*OrderTable[[#This Row],[Price / Ea]],"")</f>
        <v>231.38</v>
      </c>
      <c r="M4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6" s="192" t="str">
        <f>IFERROR(VLOOKUP(OrderTable[[#This Row],[PART CODE]],'Short-Long Transition'!A:I,9,0)," ")</f>
        <v xml:space="preserve"> </v>
      </c>
    </row>
    <row r="47" spans="1:15" x14ac:dyDescent="0.25">
      <c r="A47" s="168" t="s">
        <v>8414</v>
      </c>
      <c r="B47" s="112">
        <v>1</v>
      </c>
      <c r="C47" s="109"/>
      <c r="D47" s="157" t="str">
        <f>IF(ISTEXT(OrderTable[[#This Row],[PART CODE]]),VLOOKUP(A47,'Price  List'!B:G,3,FALSE),"")</f>
        <v>Everstyle w/Integrated Pull 20 Sunglasses Drawer, 24" W, Matte Aluminum w Oyster</v>
      </c>
      <c r="E47" s="157"/>
      <c r="F47" s="156" t="str">
        <f>OrderTable[[#This Row],[PART CODE]]</f>
        <v>310.2620.24.oys.mal</v>
      </c>
      <c r="G47" s="191">
        <f>IF(ISTEXT(OrderTable[[#This Row],[PART CODE]]),VLOOKUP(A47,'Price  List'!B:G,6,FALSE),"")</f>
        <v>231.38</v>
      </c>
      <c r="H47" s="158">
        <f>IF(ISTEXT(OrderTable[[#This Row],[PART CODE]]),VLOOKUP(A47,'Price  List'!B:G,5,FALSE),"")</f>
        <v>1</v>
      </c>
      <c r="I47"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47" s="158">
        <f>IF(ISTEXT(OrderTable[[#This Row],[PART CODE]]),IF((ROUND(OrderTable[[#This Row],[Order Qty]]/OrderTable[[#This Row],[Case Qty]],0))=OrderTable[[#This Row],[Order Qty]]/OrderTable[[#This Row],[Case Qty]],OrderTable[[#This Row],[Order Qty]]/OrderTable[[#This Row],[Case Qty]],OrderTable[[#This Row],[Order Qty]]),"")</f>
        <v>1</v>
      </c>
      <c r="K47" s="158" t="str">
        <f>IF(ISTEXT(OrderTable[[#This Row],[PART CODE]]),IF(OrderTable[[#This Row],[PART CODE]]="300.3712.GLV","PL",IF((ROUND(OrderTable[[#This Row],[Order Qty]]/OrderTable[[#This Row],[Case Qty]],0))=OrderTable[[#This Row],[Order Qty]]/OrderTable[[#This Row],[Case Qty]],"BOX","EA")),"")</f>
        <v>BOX</v>
      </c>
      <c r="L47" s="160">
        <f>IF(ISTEXT(OrderTable[[#This Row],[PART CODE]]),OrderTable[[#This Row],[Order Qty]]*OrderTable[[#This Row],[Price / Ea]],"")</f>
        <v>231.38</v>
      </c>
      <c r="M4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7" s="192" t="str">
        <f>IFERROR(VLOOKUP(OrderTable[[#This Row],[PART CODE]],'Short-Long Transition'!A:I,9,0)," ")</f>
        <v xml:space="preserve"> </v>
      </c>
    </row>
    <row r="48" spans="1:15" x14ac:dyDescent="0.25">
      <c r="A48" s="168" t="s">
        <v>8415</v>
      </c>
      <c r="B48" s="112">
        <v>1</v>
      </c>
      <c r="C48" s="109"/>
      <c r="D48" s="157" t="str">
        <f>IF(ISTEXT(OrderTable[[#This Row],[PART CODE]]),VLOOKUP(A48,'Price  List'!B:G,3,FALSE),"")</f>
        <v>Everstyle w/Integrated Pull 20 Sunglasses Drawer, 24" W, Gold w Oyster</v>
      </c>
      <c r="E48" s="157"/>
      <c r="F48" s="156" t="str">
        <f>OrderTable[[#This Row],[PART CODE]]</f>
        <v>310.2620.24.oys.mg</v>
      </c>
      <c r="G48" s="191">
        <f>IF(ISTEXT(OrderTable[[#This Row],[PART CODE]]),VLOOKUP(A48,'Price  List'!B:G,6,FALSE),"")</f>
        <v>231.38</v>
      </c>
      <c r="H48" s="158">
        <f>IF(ISTEXT(OrderTable[[#This Row],[PART CODE]]),VLOOKUP(A48,'Price  List'!B:G,5,FALSE),"")</f>
        <v>1</v>
      </c>
      <c r="I48"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48" s="158">
        <f>IF(ISTEXT(OrderTable[[#This Row],[PART CODE]]),IF((ROUND(OrderTable[[#This Row],[Order Qty]]/OrderTable[[#This Row],[Case Qty]],0))=OrderTable[[#This Row],[Order Qty]]/OrderTable[[#This Row],[Case Qty]],OrderTable[[#This Row],[Order Qty]]/OrderTable[[#This Row],[Case Qty]],OrderTable[[#This Row],[Order Qty]]),"")</f>
        <v>1</v>
      </c>
      <c r="K48" s="158" t="str">
        <f>IF(ISTEXT(OrderTable[[#This Row],[PART CODE]]),IF(OrderTable[[#This Row],[PART CODE]]="300.3712.GLV","PL",IF((ROUND(OrderTable[[#This Row],[Order Qty]]/OrderTable[[#This Row],[Case Qty]],0))=OrderTable[[#This Row],[Order Qty]]/OrderTable[[#This Row],[Case Qty]],"BOX","EA")),"")</f>
        <v>BOX</v>
      </c>
      <c r="L48" s="160">
        <f>IF(ISTEXT(OrderTable[[#This Row],[PART CODE]]),OrderTable[[#This Row],[Order Qty]]*OrderTable[[#This Row],[Price / Ea]],"")</f>
        <v>231.38</v>
      </c>
      <c r="M4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8" s="192" t="str">
        <f>IFERROR(VLOOKUP(OrderTable[[#This Row],[PART CODE]],'Short-Long Transition'!A:I,9,0)," ")</f>
        <v xml:space="preserve"> </v>
      </c>
    </row>
    <row r="49" spans="1:15" x14ac:dyDescent="0.25">
      <c r="A49" s="168" t="s">
        <v>8410</v>
      </c>
      <c r="B49" s="112">
        <v>1</v>
      </c>
      <c r="C49" s="109"/>
      <c r="D49" s="157" t="str">
        <f>IF(ISTEXT(OrderTable[[#This Row],[PART CODE]]),VLOOKUP(A49,'Price  List'!B:G,3,FALSE),"")</f>
        <v xml:space="preserve">PULL-OUT SHOE ORGANIZER - 24" </v>
      </c>
      <c r="E49" s="157"/>
      <c r="F49" s="156" t="str">
        <f>OrderTable[[#This Row],[PART CODE]]</f>
        <v>310.6410.24.sla.mal</v>
      </c>
      <c r="G49" s="191">
        <f>IF(ISTEXT(OrderTable[[#This Row],[PART CODE]]),VLOOKUP(A49,'Price  List'!B:G,6,FALSE),"")</f>
        <v>112.99</v>
      </c>
      <c r="H49" s="158">
        <f>IF(ISTEXT(OrderTable[[#This Row],[PART CODE]]),VLOOKUP(A49,'Price  List'!B:G,5,FALSE),"")</f>
        <v>1</v>
      </c>
      <c r="I49"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49" s="158">
        <f>IF(ISTEXT(OrderTable[[#This Row],[PART CODE]]),IF((ROUND(OrderTable[[#This Row],[Order Qty]]/OrderTable[[#This Row],[Case Qty]],0))=OrderTable[[#This Row],[Order Qty]]/OrderTable[[#This Row],[Case Qty]],OrderTable[[#This Row],[Order Qty]]/OrderTable[[#This Row],[Case Qty]],OrderTable[[#This Row],[Order Qty]]),"")</f>
        <v>1</v>
      </c>
      <c r="K49" s="158" t="str">
        <f>IF(ISTEXT(OrderTable[[#This Row],[PART CODE]]),IF(OrderTable[[#This Row],[PART CODE]]="300.3712.GLV","PL",IF((ROUND(OrderTable[[#This Row],[Order Qty]]/OrderTable[[#This Row],[Case Qty]],0))=OrderTable[[#This Row],[Order Qty]]/OrderTable[[#This Row],[Case Qty]],"BOX","EA")),"")</f>
        <v>BOX</v>
      </c>
      <c r="L49" s="160">
        <f>IF(ISTEXT(OrderTable[[#This Row],[PART CODE]]),OrderTable[[#This Row],[Order Qty]]*OrderTable[[#This Row],[Price / Ea]],"")</f>
        <v>112.99</v>
      </c>
      <c r="M4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9" s="192" t="str">
        <f>IFERROR(VLOOKUP(OrderTable[[#This Row],[PART CODE]],'Short-Long Transition'!A:I,9,0)," ")</f>
        <v xml:space="preserve"> </v>
      </c>
    </row>
    <row r="50" spans="1:15" x14ac:dyDescent="0.25">
      <c r="A50" s="168"/>
      <c r="B50" s="112"/>
      <c r="C50" s="109"/>
      <c r="D50" s="157" t="str">
        <f>IF(ISTEXT(OrderTable[[#This Row],[PART CODE]]),VLOOKUP(A50,'Price  List'!B:G,3,FALSE),"")</f>
        <v/>
      </c>
      <c r="E50" s="157"/>
      <c r="F50" s="156">
        <f>OrderTable[[#This Row],[PART CODE]]</f>
        <v>0</v>
      </c>
      <c r="G50" s="191" t="str">
        <f>IF(ISTEXT(OrderTable[[#This Row],[PART CODE]]),VLOOKUP(A50,'Price  List'!B:G,6,FALSE),"")</f>
        <v/>
      </c>
      <c r="H50" s="158" t="str">
        <f>IF(ISTEXT(OrderTable[[#This Row],[PART CODE]]),VLOOKUP(A50,'Price  List'!B:G,5,FALSE),"")</f>
        <v/>
      </c>
      <c r="I5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50" s="158" t="str">
        <f>IF(ISTEXT(OrderTable[[#This Row],[PART CODE]]),IF((ROUND(OrderTable[[#This Row],[Order Qty]]/OrderTable[[#This Row],[Case Qty]],0))=OrderTable[[#This Row],[Order Qty]]/OrderTable[[#This Row],[Case Qty]],OrderTable[[#This Row],[Order Qty]]/OrderTable[[#This Row],[Case Qty]],OrderTable[[#This Row],[Order Qty]]),"")</f>
        <v/>
      </c>
      <c r="K50" s="158" t="str">
        <f>IF(ISTEXT(OrderTable[[#This Row],[PART CODE]]),IF(OrderTable[[#This Row],[PART CODE]]="300.3712.GLV","PL",IF((ROUND(OrderTable[[#This Row],[Order Qty]]/OrderTable[[#This Row],[Case Qty]],0))=OrderTable[[#This Row],[Order Qty]]/OrderTable[[#This Row],[Case Qty]],"BOX","EA")),"")</f>
        <v/>
      </c>
      <c r="L50" s="160" t="str">
        <f>IF(ISTEXT(OrderTable[[#This Row],[PART CODE]]),OrderTable[[#This Row],[Order Qty]]*OrderTable[[#This Row],[Price / Ea]],"")</f>
        <v/>
      </c>
      <c r="M5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0" s="192" t="str">
        <f>IFERROR(VLOOKUP(OrderTable[[#This Row],[PART CODE]],'Short-Long Transition'!A:I,9,0)," ")</f>
        <v xml:space="preserve"> </v>
      </c>
    </row>
    <row r="51" spans="1:15" x14ac:dyDescent="0.25">
      <c r="A51" s="168" t="s">
        <v>8416</v>
      </c>
      <c r="B51" s="112">
        <v>4</v>
      </c>
      <c r="C51" s="109"/>
      <c r="D51" s="157" t="str">
        <f>IF(ISTEXT(OrderTable[[#This Row],[PART CODE]]),VLOOKUP(A51,'Price  List'!B:G,3,FALSE),"")</f>
        <v>Everstyle w/Integrated Pull 14 Jewelry Drawer, 24" W, Gold w Oyster</v>
      </c>
      <c r="E51" s="157"/>
      <c r="F51" s="156" t="str">
        <f>OrderTable[[#This Row],[PART CODE]]</f>
        <v>310.1610.24.oys.mg</v>
      </c>
      <c r="G51" s="191">
        <f>IF(ISTEXT(OrderTable[[#This Row],[PART CODE]]),VLOOKUP(A51,'Price  List'!B:G,6,FALSE),"")</f>
        <v>218.15</v>
      </c>
      <c r="H51" s="158">
        <f>IF(ISTEXT(OrderTable[[#This Row],[PART CODE]]),VLOOKUP(A51,'Price  List'!B:G,5,FALSE),"")</f>
        <v>1</v>
      </c>
      <c r="I51"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4</v>
      </c>
      <c r="J51" s="158">
        <f>IF(ISTEXT(OrderTable[[#This Row],[PART CODE]]),IF((ROUND(OrderTable[[#This Row],[Order Qty]]/OrderTable[[#This Row],[Case Qty]],0))=OrderTable[[#This Row],[Order Qty]]/OrderTable[[#This Row],[Case Qty]],OrderTable[[#This Row],[Order Qty]]/OrderTable[[#This Row],[Case Qty]],OrderTable[[#This Row],[Order Qty]]),"")</f>
        <v>4</v>
      </c>
      <c r="K51" s="158" t="str">
        <f>IF(ISTEXT(OrderTable[[#This Row],[PART CODE]]),IF(OrderTable[[#This Row],[PART CODE]]="300.3712.GLV","PL",IF((ROUND(OrderTable[[#This Row],[Order Qty]]/OrderTable[[#This Row],[Case Qty]],0))=OrderTable[[#This Row],[Order Qty]]/OrderTable[[#This Row],[Case Qty]],"BOX","EA")),"")</f>
        <v>BOX</v>
      </c>
      <c r="L51" s="160">
        <f>IF(ISTEXT(OrderTable[[#This Row],[PART CODE]]),OrderTable[[#This Row],[Order Qty]]*OrderTable[[#This Row],[Price / Ea]],"")</f>
        <v>872.6</v>
      </c>
      <c r="M5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1" s="192" t="str">
        <f>IFERROR(VLOOKUP(OrderTable[[#This Row],[PART CODE]],'Short-Long Transition'!A:I,9,0)," ")</f>
        <v xml:space="preserve"> </v>
      </c>
    </row>
    <row r="52" spans="1:15" x14ac:dyDescent="0.25">
      <c r="A52" s="168" t="s">
        <v>8417</v>
      </c>
      <c r="B52" s="112">
        <v>1</v>
      </c>
      <c r="C52" s="109"/>
      <c r="D52" s="157" t="str">
        <f>IF(ISTEXT(OrderTable[[#This Row],[PART CODE]]),VLOOKUP(A52,'Price  List'!B:G,3,FALSE),"")</f>
        <v>Everstyle w/Integrated Pull 14 Tie &amp; Belt Drawer, 30" W, Matte Aluminum w Oyster</v>
      </c>
      <c r="E52" s="157"/>
      <c r="F52" s="156" t="str">
        <f>OrderTable[[#This Row],[PART CODE]]</f>
        <v>310.1600.30.oys.mal</v>
      </c>
      <c r="G52" s="191">
        <f>IF(ISTEXT(OrderTable[[#This Row],[PART CODE]]),VLOOKUP(A52,'Price  List'!B:G,6,FALSE),"")</f>
        <v>218.15</v>
      </c>
      <c r="H52" s="158">
        <f>IF(ISTEXT(OrderTable[[#This Row],[PART CODE]]),VLOOKUP(A52,'Price  List'!B:G,5,FALSE),"")</f>
        <v>1</v>
      </c>
      <c r="I52"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52" s="158">
        <f>IF(ISTEXT(OrderTable[[#This Row],[PART CODE]]),IF((ROUND(OrderTable[[#This Row],[Order Qty]]/OrderTable[[#This Row],[Case Qty]],0))=OrderTable[[#This Row],[Order Qty]]/OrderTable[[#This Row],[Case Qty]],OrderTable[[#This Row],[Order Qty]]/OrderTable[[#This Row],[Case Qty]],OrderTable[[#This Row],[Order Qty]]),"")</f>
        <v>1</v>
      </c>
      <c r="K52" s="158" t="str">
        <f>IF(ISTEXT(OrderTable[[#This Row],[PART CODE]]),IF(OrderTable[[#This Row],[PART CODE]]="300.3712.GLV","PL",IF((ROUND(OrderTable[[#This Row],[Order Qty]]/OrderTable[[#This Row],[Case Qty]],0))=OrderTable[[#This Row],[Order Qty]]/OrderTable[[#This Row],[Case Qty]],"BOX","EA")),"")</f>
        <v>BOX</v>
      </c>
      <c r="L52" s="160">
        <f>IF(ISTEXT(OrderTable[[#This Row],[PART CODE]]),OrderTable[[#This Row],[Order Qty]]*OrderTable[[#This Row],[Price / Ea]],"")</f>
        <v>218.15</v>
      </c>
      <c r="M5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2" s="192" t="str">
        <f>IFERROR(VLOOKUP(OrderTable[[#This Row],[PART CODE]],'Short-Long Transition'!A:I,9,0)," ")</f>
        <v xml:space="preserve"> </v>
      </c>
    </row>
    <row r="53" spans="1:15" x14ac:dyDescent="0.25">
      <c r="A53" s="168" t="s">
        <v>8418</v>
      </c>
      <c r="B53" s="112">
        <v>3</v>
      </c>
      <c r="C53" s="109"/>
      <c r="D53" s="157" t="str">
        <f>IF(ISTEXT(OrderTable[[#This Row],[PART CODE]]),VLOOKUP(A53,'Price  List'!B:G,3,FALSE),"")</f>
        <v>Everstyle w/Integrated Pull 14 Sunglasses Drawer, 30" W, Gold w Oyster</v>
      </c>
      <c r="E53" s="157"/>
      <c r="F53" s="156" t="str">
        <f>OrderTable[[#This Row],[PART CODE]]</f>
        <v>310.1620.30.oys.mg</v>
      </c>
      <c r="G53" s="191">
        <f>IF(ISTEXT(OrderTable[[#This Row],[PART CODE]]),VLOOKUP(A53,'Price  List'!B:G,6,FALSE),"")</f>
        <v>204.93</v>
      </c>
      <c r="H53" s="158">
        <f>IF(ISTEXT(OrderTable[[#This Row],[PART CODE]]),VLOOKUP(A53,'Price  List'!B:G,5,FALSE),"")</f>
        <v>1</v>
      </c>
      <c r="I53"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3</v>
      </c>
      <c r="J53" s="158">
        <f>IF(ISTEXT(OrderTable[[#This Row],[PART CODE]]),IF((ROUND(OrderTable[[#This Row],[Order Qty]]/OrderTable[[#This Row],[Case Qty]],0))=OrderTable[[#This Row],[Order Qty]]/OrderTable[[#This Row],[Case Qty]],OrderTable[[#This Row],[Order Qty]]/OrderTable[[#This Row],[Case Qty]],OrderTable[[#This Row],[Order Qty]]),"")</f>
        <v>3</v>
      </c>
      <c r="K53" s="158" t="str">
        <f>IF(ISTEXT(OrderTable[[#This Row],[PART CODE]]),IF(OrderTable[[#This Row],[PART CODE]]="300.3712.GLV","PL",IF((ROUND(OrderTable[[#This Row],[Order Qty]]/OrderTable[[#This Row],[Case Qty]],0))=OrderTable[[#This Row],[Order Qty]]/OrderTable[[#This Row],[Case Qty]],"BOX","EA")),"")</f>
        <v>BOX</v>
      </c>
      <c r="L53" s="160">
        <f>IF(ISTEXT(OrderTable[[#This Row],[PART CODE]]),OrderTable[[#This Row],[Order Qty]]*OrderTable[[#This Row],[Price / Ea]],"")</f>
        <v>614.79</v>
      </c>
      <c r="M5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3" s="192" t="str">
        <f>IFERROR(VLOOKUP(OrderTable[[#This Row],[PART CODE]],'Short-Long Transition'!A:I,9,0)," ")</f>
        <v xml:space="preserve"> </v>
      </c>
    </row>
    <row r="54" spans="1:15" x14ac:dyDescent="0.25">
      <c r="A54" s="168" t="s">
        <v>8419</v>
      </c>
      <c r="B54" s="112">
        <v>6</v>
      </c>
      <c r="C54" s="109"/>
      <c r="D54" s="157" t="str">
        <f>IF(ISTEXT(OrderTable[[#This Row],[PART CODE]]),VLOOKUP(A54,'Price  List'!B:G,3,FALSE),"")</f>
        <v>Elite Coat Hook - Cleat Mount</v>
      </c>
      <c r="E54" s="157"/>
      <c r="F54" s="156" t="str">
        <f>OrderTable[[#This Row],[PART CODE]]</f>
        <v>300.3193.blk</v>
      </c>
      <c r="G54" s="191">
        <f>IF(ISTEXT(OrderTable[[#This Row],[PART CODE]]),VLOOKUP(A54,'Price  List'!B:G,6,FALSE),"")</f>
        <v>17.329999999999998</v>
      </c>
      <c r="H54" s="158">
        <f>IF(ISTEXT(OrderTable[[#This Row],[PART CODE]]),VLOOKUP(A54,'Price  List'!B:G,5,FALSE),"")</f>
        <v>6</v>
      </c>
      <c r="I54"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6</v>
      </c>
      <c r="J54" s="158">
        <f>IF(ISTEXT(OrderTable[[#This Row],[PART CODE]]),IF((ROUND(OrderTable[[#This Row],[Order Qty]]/OrderTable[[#This Row],[Case Qty]],0))=OrderTable[[#This Row],[Order Qty]]/OrderTable[[#This Row],[Case Qty]],OrderTable[[#This Row],[Order Qty]]/OrderTable[[#This Row],[Case Qty]],OrderTable[[#This Row],[Order Qty]]),"")</f>
        <v>1</v>
      </c>
      <c r="K54" s="158" t="str">
        <f>IF(ISTEXT(OrderTable[[#This Row],[PART CODE]]),IF(OrderTable[[#This Row],[PART CODE]]="300.3712.GLV","PL",IF((ROUND(OrderTable[[#This Row],[Order Qty]]/OrderTable[[#This Row],[Case Qty]],0))=OrderTable[[#This Row],[Order Qty]]/OrderTable[[#This Row],[Case Qty]],"BOX","EA")),"")</f>
        <v>BOX</v>
      </c>
      <c r="L54" s="160">
        <f>IF(ISTEXT(OrderTable[[#This Row],[PART CODE]]),OrderTable[[#This Row],[Order Qty]]*OrderTable[[#This Row],[Price / Ea]],"")</f>
        <v>103.97999999999999</v>
      </c>
      <c r="M5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4" s="192" t="str">
        <f>IFERROR(VLOOKUP(OrderTable[[#This Row],[PART CODE]],'Short-Long Transition'!A:I,9,0)," ")</f>
        <v xml:space="preserve"> </v>
      </c>
    </row>
    <row r="55" spans="1:15" x14ac:dyDescent="0.25">
      <c r="A55" s="168" t="s">
        <v>1676</v>
      </c>
      <c r="B55" s="112">
        <v>3</v>
      </c>
      <c r="C55" s="109"/>
      <c r="D55" s="157" t="str">
        <f>IF(ISTEXT(OrderTable[[#This Row],[PART CODE]]),VLOOKUP(A55,'Price  List'!B:G,3,FALSE),"")</f>
        <v>Everstyle Glass Front - tall 24" W</v>
      </c>
      <c r="E55" s="157"/>
      <c r="F55" s="156" t="str">
        <f>OrderTable[[#This Row],[PART CODE]]</f>
        <v>310.2671.24</v>
      </c>
      <c r="G55" s="191">
        <f>IF(ISTEXT(OrderTable[[#This Row],[PART CODE]]),VLOOKUP(A55,'Price  List'!B:G,6,FALSE),"")</f>
        <v>52.88</v>
      </c>
      <c r="H55" s="158">
        <f>IF(ISTEXT(OrderTable[[#This Row],[PART CODE]]),VLOOKUP(A55,'Price  List'!B:G,5,FALSE),"")</f>
        <v>1</v>
      </c>
      <c r="I55"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3</v>
      </c>
      <c r="J55" s="158">
        <f>IF(ISTEXT(OrderTable[[#This Row],[PART CODE]]),IF((ROUND(OrderTable[[#This Row],[Order Qty]]/OrderTable[[#This Row],[Case Qty]],0))=OrderTable[[#This Row],[Order Qty]]/OrderTable[[#This Row],[Case Qty]],OrderTable[[#This Row],[Order Qty]]/OrderTable[[#This Row],[Case Qty]],OrderTable[[#This Row],[Order Qty]]),"")</f>
        <v>3</v>
      </c>
      <c r="K55" s="158" t="str">
        <f>IF(ISTEXT(OrderTable[[#This Row],[PART CODE]]),IF(OrderTable[[#This Row],[PART CODE]]="300.3712.GLV","PL",IF((ROUND(OrderTable[[#This Row],[Order Qty]]/OrderTable[[#This Row],[Case Qty]],0))=OrderTable[[#This Row],[Order Qty]]/OrderTable[[#This Row],[Case Qty]],"BOX","EA")),"")</f>
        <v>BOX</v>
      </c>
      <c r="L55" s="160">
        <f>IF(ISTEXT(OrderTable[[#This Row],[PART CODE]]),OrderTable[[#This Row],[Order Qty]]*OrderTable[[#This Row],[Price / Ea]],"")</f>
        <v>158.64000000000001</v>
      </c>
      <c r="M5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5" s="192" t="str">
        <f>IFERROR(VLOOKUP(OrderTable[[#This Row],[PART CODE]],'Short-Long Transition'!A:I,9,0)," ")</f>
        <v xml:space="preserve"> </v>
      </c>
    </row>
    <row r="56" spans="1:15" x14ac:dyDescent="0.25">
      <c r="A56" s="168" t="s">
        <v>1672</v>
      </c>
      <c r="B56" s="112">
        <v>11</v>
      </c>
      <c r="C56" s="109"/>
      <c r="D56" s="157" t="str">
        <f>IF(ISTEXT(OrderTable[[#This Row],[PART CODE]]),VLOOKUP(A56,'Price  List'!B:G,3,FALSE),"")</f>
        <v>Everstyle Glass Front - short 24" W</v>
      </c>
      <c r="E56" s="157"/>
      <c r="F56" s="156" t="str">
        <f>OrderTable[[#This Row],[PART CODE]]</f>
        <v>310.2670.24</v>
      </c>
      <c r="G56" s="191">
        <f>IF(ISTEXT(OrderTable[[#This Row],[PART CODE]]),VLOOKUP(A56,'Price  List'!B:G,6,FALSE),"")</f>
        <v>47.59</v>
      </c>
      <c r="H56" s="158">
        <f>IF(ISTEXT(OrderTable[[#This Row],[PART CODE]]),VLOOKUP(A56,'Price  List'!B:G,5,FALSE),"")</f>
        <v>1</v>
      </c>
      <c r="I56"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11</v>
      </c>
      <c r="J56" s="158">
        <f>IF(ISTEXT(OrderTable[[#This Row],[PART CODE]]),IF((ROUND(OrderTable[[#This Row],[Order Qty]]/OrderTable[[#This Row],[Case Qty]],0))=OrderTable[[#This Row],[Order Qty]]/OrderTable[[#This Row],[Case Qty]],OrderTable[[#This Row],[Order Qty]]/OrderTable[[#This Row],[Case Qty]],OrderTable[[#This Row],[Order Qty]]),"")</f>
        <v>11</v>
      </c>
      <c r="K56" s="158" t="str">
        <f>IF(ISTEXT(OrderTable[[#This Row],[PART CODE]]),IF(OrderTable[[#This Row],[PART CODE]]="300.3712.GLV","PL",IF((ROUND(OrderTable[[#This Row],[Order Qty]]/OrderTable[[#This Row],[Case Qty]],0))=OrderTable[[#This Row],[Order Qty]]/OrderTable[[#This Row],[Case Qty]],"BOX","EA")),"")</f>
        <v>BOX</v>
      </c>
      <c r="L56" s="160">
        <f>IF(ISTEXT(OrderTable[[#This Row],[PART CODE]]),OrderTable[[#This Row],[Order Qty]]*OrderTable[[#This Row],[Price / Ea]],"")</f>
        <v>523.49</v>
      </c>
      <c r="M5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6" s="192" t="str">
        <f>IFERROR(VLOOKUP(OrderTable[[#This Row],[PART CODE]],'Short-Long Transition'!A:I,9,0)," ")</f>
        <v xml:space="preserve"> </v>
      </c>
    </row>
    <row r="57" spans="1:15" x14ac:dyDescent="0.25">
      <c r="A57" s="168" t="s">
        <v>1673</v>
      </c>
      <c r="B57" s="112">
        <v>1</v>
      </c>
      <c r="C57" s="109"/>
      <c r="D57" s="157" t="str">
        <f>IF(ISTEXT(OrderTable[[#This Row],[PART CODE]]),VLOOKUP(A57,'Price  List'!B:G,3,FALSE),"")</f>
        <v>Everstyle Glass Front - short 30" W</v>
      </c>
      <c r="E57" s="157"/>
      <c r="F57" s="156" t="str">
        <f>OrderTable[[#This Row],[PART CODE]]</f>
        <v>310.2670.30</v>
      </c>
      <c r="G57" s="191">
        <f>IF(ISTEXT(OrderTable[[#This Row],[PART CODE]]),VLOOKUP(A57,'Price  List'!B:G,6,FALSE),"")</f>
        <v>50.24</v>
      </c>
      <c r="H57" s="158">
        <f>IF(ISTEXT(OrderTable[[#This Row],[PART CODE]]),VLOOKUP(A57,'Price  List'!B:G,5,FALSE),"")</f>
        <v>1</v>
      </c>
      <c r="I57"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57" s="158">
        <f>IF(ISTEXT(OrderTable[[#This Row],[PART CODE]]),IF((ROUND(OrderTable[[#This Row],[Order Qty]]/OrderTable[[#This Row],[Case Qty]],0))=OrderTable[[#This Row],[Order Qty]]/OrderTable[[#This Row],[Case Qty]],OrderTable[[#This Row],[Order Qty]]/OrderTable[[#This Row],[Case Qty]],OrderTable[[#This Row],[Order Qty]]),"")</f>
        <v>1</v>
      </c>
      <c r="K57" s="158" t="str">
        <f>IF(ISTEXT(OrderTable[[#This Row],[PART CODE]]),IF(OrderTable[[#This Row],[PART CODE]]="300.3712.GLV","PL",IF((ROUND(OrderTable[[#This Row],[Order Qty]]/OrderTable[[#This Row],[Case Qty]],0))=OrderTable[[#This Row],[Order Qty]]/OrderTable[[#This Row],[Case Qty]],"BOX","EA")),"")</f>
        <v>BOX</v>
      </c>
      <c r="L57" s="160">
        <f>IF(ISTEXT(OrderTable[[#This Row],[PART CODE]]),OrderTable[[#This Row],[Order Qty]]*OrderTable[[#This Row],[Price / Ea]],"")</f>
        <v>50.24</v>
      </c>
      <c r="M5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7" s="192" t="str">
        <f>IFERROR(VLOOKUP(OrderTable[[#This Row],[PART CODE]],'Short-Long Transition'!A:I,9,0)," ")</f>
        <v xml:space="preserve"> </v>
      </c>
    </row>
    <row r="58" spans="1:15" x14ac:dyDescent="0.25">
      <c r="A58" s="168" t="s">
        <v>1677</v>
      </c>
      <c r="B58" s="112">
        <v>1</v>
      </c>
      <c r="C58" s="109"/>
      <c r="D58" s="157" t="str">
        <f>IF(ISTEXT(OrderTable[[#This Row],[PART CODE]]),VLOOKUP(A58,'Price  List'!B:G,3,FALSE),"")</f>
        <v>Everstyle Glass Front - tall 30" W</v>
      </c>
      <c r="E58" s="157"/>
      <c r="F58" s="156" t="str">
        <f>OrderTable[[#This Row],[PART CODE]]</f>
        <v>310.2671.30</v>
      </c>
      <c r="G58" s="191">
        <f>IF(ISTEXT(OrderTable[[#This Row],[PART CODE]]),VLOOKUP(A58,'Price  List'!B:G,6,FALSE),"")</f>
        <v>55.53</v>
      </c>
      <c r="H58" s="158">
        <f>IF(ISTEXT(OrderTable[[#This Row],[PART CODE]]),VLOOKUP(A58,'Price  List'!B:G,5,FALSE),"")</f>
        <v>1</v>
      </c>
      <c r="I58"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58" s="158">
        <f>IF(ISTEXT(OrderTable[[#This Row],[PART CODE]]),IF((ROUND(OrderTable[[#This Row],[Order Qty]]/OrderTable[[#This Row],[Case Qty]],0))=OrderTable[[#This Row],[Order Qty]]/OrderTable[[#This Row],[Case Qty]],OrderTable[[#This Row],[Order Qty]]/OrderTable[[#This Row],[Case Qty]],OrderTable[[#This Row],[Order Qty]]),"")</f>
        <v>1</v>
      </c>
      <c r="K58" s="158" t="str">
        <f>IF(ISTEXT(OrderTable[[#This Row],[PART CODE]]),IF(OrderTable[[#This Row],[PART CODE]]="300.3712.GLV","PL",IF((ROUND(OrderTable[[#This Row],[Order Qty]]/OrderTable[[#This Row],[Case Qty]],0))=OrderTable[[#This Row],[Order Qty]]/OrderTable[[#This Row],[Case Qty]],"BOX","EA")),"")</f>
        <v>BOX</v>
      </c>
      <c r="L58" s="160">
        <f>IF(ISTEXT(OrderTable[[#This Row],[PART CODE]]),OrderTable[[#This Row],[Order Qty]]*OrderTable[[#This Row],[Price / Ea]],"")</f>
        <v>55.53</v>
      </c>
      <c r="M5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8" s="192" t="str">
        <f>IFERROR(VLOOKUP(OrderTable[[#This Row],[PART CODE]],'Short-Long Transition'!A:I,9,0)," ")</f>
        <v xml:space="preserve"> </v>
      </c>
    </row>
    <row r="59" spans="1:15" x14ac:dyDescent="0.25">
      <c r="A59" s="168" t="s">
        <v>8420</v>
      </c>
      <c r="B59" s="112">
        <v>1</v>
      </c>
      <c r="C59" s="109"/>
      <c r="D59" s="157" t="str">
        <f>IF(ISTEXT(OrderTable[[#This Row],[PART CODE]]),VLOOKUP(A59,'Price  List'!B:G,3,FALSE),"")</f>
        <v>Everstyle w/Integrated Pull 20 Jewelry Drawer, 18" W, Gold w Winter</v>
      </c>
      <c r="E59" s="157"/>
      <c r="F59" s="156" t="str">
        <f>OrderTable[[#This Row],[PART CODE]]</f>
        <v>310.2610.18.win.mg</v>
      </c>
      <c r="G59" s="191">
        <f>IF(ISTEXT(OrderTable[[#This Row],[PART CODE]]),VLOOKUP(A59,'Price  List'!B:G,6,FALSE),"")</f>
        <v>211.55</v>
      </c>
      <c r="H59" s="158">
        <f>IF(ISTEXT(OrderTable[[#This Row],[PART CODE]]),VLOOKUP(A59,'Price  List'!B:G,5,FALSE),"")</f>
        <v>1</v>
      </c>
      <c r="I59"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59" s="158">
        <f>IF(ISTEXT(OrderTable[[#This Row],[PART CODE]]),IF((ROUND(OrderTable[[#This Row],[Order Qty]]/OrderTable[[#This Row],[Case Qty]],0))=OrderTable[[#This Row],[Order Qty]]/OrderTable[[#This Row],[Case Qty]],OrderTable[[#This Row],[Order Qty]]/OrderTable[[#This Row],[Case Qty]],OrderTable[[#This Row],[Order Qty]]),"")</f>
        <v>1</v>
      </c>
      <c r="K59" s="158" t="str">
        <f>IF(ISTEXT(OrderTable[[#This Row],[PART CODE]]),IF(OrderTable[[#This Row],[PART CODE]]="300.3712.GLV","PL",IF((ROUND(OrderTable[[#This Row],[Order Qty]]/OrderTable[[#This Row],[Case Qty]],0))=OrderTable[[#This Row],[Order Qty]]/OrderTable[[#This Row],[Case Qty]],"BOX","EA")),"")</f>
        <v>BOX</v>
      </c>
      <c r="L59" s="160">
        <f>IF(ISTEXT(OrderTable[[#This Row],[PART CODE]]),OrderTable[[#This Row],[Order Qty]]*OrderTable[[#This Row],[Price / Ea]],"")</f>
        <v>211.55</v>
      </c>
      <c r="M5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9" s="192" t="str">
        <f>IFERROR(VLOOKUP(OrderTable[[#This Row],[PART CODE]],'Short-Long Transition'!A:I,9,0)," ")</f>
        <v xml:space="preserve"> </v>
      </c>
    </row>
    <row r="60" spans="1:15" x14ac:dyDescent="0.25">
      <c r="A60" s="111" t="s">
        <v>8422</v>
      </c>
      <c r="B60" s="112">
        <v>11</v>
      </c>
      <c r="C60" s="109"/>
      <c r="D60" s="157" t="str">
        <f>IF(ISTEXT(OrderTable[[#This Row],[PART CODE]]),VLOOKUP(A60,'Price  List'!B:G,3,FALSE),"")</f>
        <v>T-Bar Handle, 576mm W, 512mm CTC, Black</v>
      </c>
      <c r="E60" s="157"/>
      <c r="F60" s="156" t="str">
        <f>OrderTable[[#This Row],[PART CODE]]</f>
        <v>300.3240.576.blk</v>
      </c>
      <c r="G60" s="191">
        <f>IF(ISTEXT(OrderTable[[#This Row],[PART CODE]]),VLOOKUP(A60,'Price  List'!B:G,6,FALSE),"")</f>
        <v>12.73</v>
      </c>
      <c r="H60" s="158">
        <f>IF(ISTEXT(OrderTable[[#This Row],[PART CODE]]),VLOOKUP(A60,'Price  List'!B:G,5,FALSE),"")</f>
        <v>6</v>
      </c>
      <c r="I60"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12</v>
      </c>
      <c r="J60" s="158">
        <f>IF(ISTEXT(OrderTable[[#This Row],[PART CODE]]),IF((ROUND(OrderTable[[#This Row],[Order Qty]]/OrderTable[[#This Row],[Case Qty]],0))=OrderTable[[#This Row],[Order Qty]]/OrderTable[[#This Row],[Case Qty]],OrderTable[[#This Row],[Order Qty]]/OrderTable[[#This Row],[Case Qty]],OrderTable[[#This Row],[Order Qty]]),"")</f>
        <v>2</v>
      </c>
      <c r="K60" s="158" t="str">
        <f>IF(ISTEXT(OrderTable[[#This Row],[PART CODE]]),IF(OrderTable[[#This Row],[PART CODE]]="300.3712.GLV","PL",IF((ROUND(OrderTable[[#This Row],[Order Qty]]/OrderTable[[#This Row],[Case Qty]],0))=OrderTable[[#This Row],[Order Qty]]/OrderTable[[#This Row],[Case Qty]],"BOX","EA")),"")</f>
        <v>BOX</v>
      </c>
      <c r="L60" s="160">
        <f>IF(ISTEXT(OrderTable[[#This Row],[PART CODE]]),OrderTable[[#This Row],[Order Qty]]*OrderTable[[#This Row],[Price / Ea]],"")</f>
        <v>152.76</v>
      </c>
      <c r="M6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60" s="192" t="str">
        <f>IFERROR(VLOOKUP(OrderTable[[#This Row],[PART CODE]],'Short-Long Transition'!A:I,9,0)," ")</f>
        <v xml:space="preserve"> </v>
      </c>
    </row>
    <row r="61" spans="1:15" x14ac:dyDescent="0.25">
      <c r="A61" s="111" t="s">
        <v>8425</v>
      </c>
      <c r="B61" s="112">
        <v>23</v>
      </c>
      <c r="C61" s="109"/>
      <c r="D61" s="157" t="str">
        <f>IF(ISTEXT(OrderTable[[#This Row],[PART CODE]]),VLOOKUP(A61,'Price  List'!B:G,3,FALSE),"")</f>
        <v>T-Bar Handle, 576mm W, 512mm CTC, Matte Aluminum</v>
      </c>
      <c r="E61" s="157"/>
      <c r="F61" s="156" t="str">
        <f>OrderTable[[#This Row],[PART CODE]]</f>
        <v>300.3240.576.mal</v>
      </c>
      <c r="G61" s="191">
        <f>IF(ISTEXT(OrderTable[[#This Row],[PART CODE]]),VLOOKUP(A61,'Price  List'!B:G,6,FALSE),"")</f>
        <v>12.4</v>
      </c>
      <c r="H61" s="158">
        <f>IF(ISTEXT(OrderTable[[#This Row],[PART CODE]]),VLOOKUP(A61,'Price  List'!B:G,5,FALSE),"")</f>
        <v>6</v>
      </c>
      <c r="I61"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24</v>
      </c>
      <c r="J61" s="158">
        <f>IF(ISTEXT(OrderTable[[#This Row],[PART CODE]]),IF((ROUND(OrderTable[[#This Row],[Order Qty]]/OrderTable[[#This Row],[Case Qty]],0))=OrderTable[[#This Row],[Order Qty]]/OrderTable[[#This Row],[Case Qty]],OrderTable[[#This Row],[Order Qty]]/OrderTable[[#This Row],[Case Qty]],OrderTable[[#This Row],[Order Qty]]),"")</f>
        <v>4</v>
      </c>
      <c r="K61" s="158" t="str">
        <f>IF(ISTEXT(OrderTable[[#This Row],[PART CODE]]),IF(OrderTable[[#This Row],[PART CODE]]="300.3712.GLV","PL",IF((ROUND(OrderTable[[#This Row],[Order Qty]]/OrderTable[[#This Row],[Case Qty]],0))=OrderTable[[#This Row],[Order Qty]]/OrderTable[[#This Row],[Case Qty]],"BOX","EA")),"")</f>
        <v>BOX</v>
      </c>
      <c r="L61" s="160">
        <f>IF(ISTEXT(OrderTable[[#This Row],[PART CODE]]),OrderTable[[#This Row],[Order Qty]]*OrderTable[[#This Row],[Price / Ea]],"")</f>
        <v>297.60000000000002</v>
      </c>
      <c r="M6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61" s="192" t="str">
        <f>IFERROR(VLOOKUP(OrderTable[[#This Row],[PART CODE]],'Short-Long Transition'!A:I,9,0)," ")</f>
        <v xml:space="preserve"> </v>
      </c>
    </row>
    <row r="62" spans="1:15" x14ac:dyDescent="0.25">
      <c r="A62" s="111" t="s">
        <v>8426</v>
      </c>
      <c r="B62" s="112">
        <v>98</v>
      </c>
      <c r="C62" s="109"/>
      <c r="D62" s="157" t="str">
        <f>IF(ISTEXT(OrderTable[[#This Row],[PART CODE]]),VLOOKUP(A62,'Price  List'!B:G,3,FALSE),"")</f>
        <v>T-Bar Handle, 576mm W, 512mm CTC, Graphite</v>
      </c>
      <c r="E62" s="157"/>
      <c r="F62" s="156" t="str">
        <f>OrderTable[[#This Row],[PART CODE]]</f>
        <v>300.3240.576.sg</v>
      </c>
      <c r="G62" s="191">
        <f>IF(ISTEXT(OrderTable[[#This Row],[PART CODE]]),VLOOKUP(A62,'Price  List'!B:G,6,FALSE),"")</f>
        <v>13.08</v>
      </c>
      <c r="H62" s="158">
        <f>IF(ISTEXT(OrderTable[[#This Row],[PART CODE]]),VLOOKUP(A62,'Price  List'!B:G,5,FALSE),"")</f>
        <v>6</v>
      </c>
      <c r="I62"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102</v>
      </c>
      <c r="J62" s="158">
        <f>IF(ISTEXT(OrderTable[[#This Row],[PART CODE]]),IF((ROUND(OrderTable[[#This Row],[Order Qty]]/OrderTable[[#This Row],[Case Qty]],0))=OrderTable[[#This Row],[Order Qty]]/OrderTable[[#This Row],[Case Qty]],OrderTable[[#This Row],[Order Qty]]/OrderTable[[#This Row],[Case Qty]],OrderTable[[#This Row],[Order Qty]]),"")</f>
        <v>17</v>
      </c>
      <c r="K62" s="158" t="str">
        <f>IF(ISTEXT(OrderTable[[#This Row],[PART CODE]]),IF(OrderTable[[#This Row],[PART CODE]]="300.3712.GLV","PL",IF((ROUND(OrderTable[[#This Row],[Order Qty]]/OrderTable[[#This Row],[Case Qty]],0))=OrderTable[[#This Row],[Order Qty]]/OrderTable[[#This Row],[Case Qty]],"BOX","EA")),"")</f>
        <v>BOX</v>
      </c>
      <c r="L62" s="160">
        <f>IF(ISTEXT(OrderTable[[#This Row],[PART CODE]]),OrderTable[[#This Row],[Order Qty]]*OrderTable[[#This Row],[Price / Ea]],"")</f>
        <v>1334.16</v>
      </c>
      <c r="M6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62" s="192" t="str">
        <f>IFERROR(VLOOKUP(OrderTable[[#This Row],[PART CODE]],'Short-Long Transition'!A:I,9,0)," ")</f>
        <v xml:space="preserve"> </v>
      </c>
    </row>
    <row r="63" spans="1:15" x14ac:dyDescent="0.25">
      <c r="A63" s="111" t="s">
        <v>8427</v>
      </c>
      <c r="B63" s="112">
        <v>53</v>
      </c>
      <c r="C63" s="109"/>
      <c r="D63" s="157" t="str">
        <f>IF(ISTEXT(OrderTable[[#This Row],[PART CODE]]),VLOOKUP(A63,'Price  List'!B:G,3,FALSE),"")</f>
        <v>T-Bar Handle, 576mm W, 512mm CTC, Gold</v>
      </c>
      <c r="E63" s="157"/>
      <c r="F63" s="156" t="str">
        <f>OrderTable[[#This Row],[PART CODE]]</f>
        <v>300.3240.576.mg</v>
      </c>
      <c r="G63" s="191">
        <f>IF(ISTEXT(OrderTable[[#This Row],[PART CODE]]),VLOOKUP(A63,'Price  List'!B:G,6,FALSE),"")</f>
        <v>13.08</v>
      </c>
      <c r="H63" s="158">
        <f>IF(ISTEXT(OrderTable[[#This Row],[PART CODE]]),VLOOKUP(A63,'Price  List'!B:G,5,FALSE),"")</f>
        <v>6</v>
      </c>
      <c r="I63"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54</v>
      </c>
      <c r="J63" s="158">
        <f>IF(ISTEXT(OrderTable[[#This Row],[PART CODE]]),IF((ROUND(OrderTable[[#This Row],[Order Qty]]/OrderTable[[#This Row],[Case Qty]],0))=OrderTable[[#This Row],[Order Qty]]/OrderTable[[#This Row],[Case Qty]],OrderTable[[#This Row],[Order Qty]]/OrderTable[[#This Row],[Case Qty]],OrderTable[[#This Row],[Order Qty]]),"")</f>
        <v>9</v>
      </c>
      <c r="K63" s="158" t="str">
        <f>IF(ISTEXT(OrderTable[[#This Row],[PART CODE]]),IF(OrderTable[[#This Row],[PART CODE]]="300.3712.GLV","PL",IF((ROUND(OrderTable[[#This Row],[Order Qty]]/OrderTable[[#This Row],[Case Qty]],0))=OrderTable[[#This Row],[Order Qty]]/OrderTable[[#This Row],[Case Qty]],"BOX","EA")),"")</f>
        <v>BOX</v>
      </c>
      <c r="L63" s="160">
        <f>IF(ISTEXT(OrderTable[[#This Row],[PART CODE]]),OrderTable[[#This Row],[Order Qty]]*OrderTable[[#This Row],[Price / Ea]],"")</f>
        <v>706.32</v>
      </c>
      <c r="M6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63" s="192" t="str">
        <f>IFERROR(VLOOKUP(OrderTable[[#This Row],[PART CODE]],'Short-Long Transition'!A:I,9,0)," ")</f>
        <v xml:space="preserve"> </v>
      </c>
    </row>
    <row r="64" spans="1:15" x14ac:dyDescent="0.25">
      <c r="A64" s="111" t="s">
        <v>8423</v>
      </c>
      <c r="B64" s="112">
        <v>35</v>
      </c>
      <c r="C64" s="109"/>
      <c r="D64" s="157" t="str">
        <f>IF(ISTEXT(OrderTable[[#This Row],[PART CODE]]),VLOOKUP(A64,'Price  List'!B:G,3,FALSE),"")</f>
        <v>T-Bar Handle, 416mm W, 352mm CTC, Black</v>
      </c>
      <c r="E64" s="157"/>
      <c r="F64" s="156" t="str">
        <f>OrderTable[[#This Row],[PART CODE]]</f>
        <v>300.3240.416.blk</v>
      </c>
      <c r="G64" s="191">
        <f>IF(ISTEXT(OrderTable[[#This Row],[PART CODE]]),VLOOKUP(A64,'Price  List'!B:G,6,FALSE),"")</f>
        <v>11.06</v>
      </c>
      <c r="H64" s="158">
        <f>IF(ISTEXT(OrderTable[[#This Row],[PART CODE]]),VLOOKUP(A64,'Price  List'!B:G,5,FALSE),"")</f>
        <v>6</v>
      </c>
      <c r="I64"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36</v>
      </c>
      <c r="J64" s="158">
        <f>IF(ISTEXT(OrderTable[[#This Row],[PART CODE]]),IF((ROUND(OrderTable[[#This Row],[Order Qty]]/OrderTable[[#This Row],[Case Qty]],0))=OrderTable[[#This Row],[Order Qty]]/OrderTable[[#This Row],[Case Qty]],OrderTable[[#This Row],[Order Qty]]/OrderTable[[#This Row],[Case Qty]],OrderTable[[#This Row],[Order Qty]]),"")</f>
        <v>6</v>
      </c>
      <c r="K64" s="158" t="str">
        <f>IF(ISTEXT(OrderTable[[#This Row],[PART CODE]]),IF(OrderTable[[#This Row],[PART CODE]]="300.3712.GLV","PL",IF((ROUND(OrderTable[[#This Row],[Order Qty]]/OrderTable[[#This Row],[Case Qty]],0))=OrderTable[[#This Row],[Order Qty]]/OrderTable[[#This Row],[Case Qty]],"BOX","EA")),"")</f>
        <v>BOX</v>
      </c>
      <c r="L64" s="160">
        <f>IF(ISTEXT(OrderTable[[#This Row],[PART CODE]]),OrderTable[[#This Row],[Order Qty]]*OrderTable[[#This Row],[Price / Ea]],"")</f>
        <v>398.16</v>
      </c>
      <c r="M6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64" s="192" t="str">
        <f>IFERROR(VLOOKUP(OrderTable[[#This Row],[PART CODE]],'Short-Long Transition'!A:I,9,0)," ")</f>
        <v xml:space="preserve"> </v>
      </c>
    </row>
    <row r="65" spans="1:15" x14ac:dyDescent="0.25">
      <c r="A65" s="111" t="s">
        <v>8428</v>
      </c>
      <c r="B65" s="112">
        <v>38</v>
      </c>
      <c r="C65" s="109"/>
      <c r="D65" s="157" t="str">
        <f>IF(ISTEXT(OrderTable[[#This Row],[PART CODE]]),VLOOKUP(A65,'Price  List'!B:G,3,FALSE),"")</f>
        <v>T-Bar Handle, 416mm W, 352mm CTC, Matte Aluminum</v>
      </c>
      <c r="E65" s="157"/>
      <c r="F65" s="156" t="str">
        <f>OrderTable[[#This Row],[PART CODE]]</f>
        <v>300.3240.416.mal</v>
      </c>
      <c r="G65" s="191">
        <f>IF(ISTEXT(OrderTable[[#This Row],[PART CODE]]),VLOOKUP(A65,'Price  List'!B:G,6,FALSE),"")</f>
        <v>10.72</v>
      </c>
      <c r="H65" s="158">
        <f>IF(ISTEXT(OrderTable[[#This Row],[PART CODE]]),VLOOKUP(A65,'Price  List'!B:G,5,FALSE),"")</f>
        <v>6</v>
      </c>
      <c r="I65"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42</v>
      </c>
      <c r="J65" s="158">
        <f>IF(ISTEXT(OrderTable[[#This Row],[PART CODE]]),IF((ROUND(OrderTable[[#This Row],[Order Qty]]/OrderTable[[#This Row],[Case Qty]],0))=OrderTable[[#This Row],[Order Qty]]/OrderTable[[#This Row],[Case Qty]],OrderTable[[#This Row],[Order Qty]]/OrderTable[[#This Row],[Case Qty]],OrderTable[[#This Row],[Order Qty]]),"")</f>
        <v>7</v>
      </c>
      <c r="K65" s="158" t="str">
        <f>IF(ISTEXT(OrderTable[[#This Row],[PART CODE]]),IF(OrderTable[[#This Row],[PART CODE]]="300.3712.GLV","PL",IF((ROUND(OrderTable[[#This Row],[Order Qty]]/OrderTable[[#This Row],[Case Qty]],0))=OrderTable[[#This Row],[Order Qty]]/OrderTable[[#This Row],[Case Qty]],"BOX","EA")),"")</f>
        <v>BOX</v>
      </c>
      <c r="L65" s="160">
        <f>IF(ISTEXT(OrderTable[[#This Row],[PART CODE]]),OrderTable[[#This Row],[Order Qty]]*OrderTable[[#This Row],[Price / Ea]],"")</f>
        <v>450.24</v>
      </c>
      <c r="M6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65" s="192" t="str">
        <f>IFERROR(VLOOKUP(OrderTable[[#This Row],[PART CODE]],'Short-Long Transition'!A:I,9,0)," ")</f>
        <v xml:space="preserve"> </v>
      </c>
    </row>
    <row r="66" spans="1:15" x14ac:dyDescent="0.25">
      <c r="A66" s="111" t="s">
        <v>8429</v>
      </c>
      <c r="B66" s="112">
        <v>104</v>
      </c>
      <c r="C66" s="109"/>
      <c r="D66" s="157" t="str">
        <f>IF(ISTEXT(OrderTable[[#This Row],[PART CODE]]),VLOOKUP(A66,'Price  List'!B:G,3,FALSE),"")</f>
        <v>T-Bar Handle, 416mm W, 352mm CTC, Graphite</v>
      </c>
      <c r="E66" s="157"/>
      <c r="F66" s="156" t="str">
        <f>OrderTable[[#This Row],[PART CODE]]</f>
        <v>300.3240.416.sg</v>
      </c>
      <c r="G66" s="191">
        <f>IF(ISTEXT(OrderTable[[#This Row],[PART CODE]]),VLOOKUP(A66,'Price  List'!B:G,6,FALSE),"")</f>
        <v>11.4</v>
      </c>
      <c r="H66" s="158">
        <f>IF(ISTEXT(OrderTable[[#This Row],[PART CODE]]),VLOOKUP(A66,'Price  List'!B:G,5,FALSE),"")</f>
        <v>6</v>
      </c>
      <c r="I66"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108</v>
      </c>
      <c r="J66" s="158">
        <f>IF(ISTEXT(OrderTable[[#This Row],[PART CODE]]),IF((ROUND(OrderTable[[#This Row],[Order Qty]]/OrderTable[[#This Row],[Case Qty]],0))=OrderTable[[#This Row],[Order Qty]]/OrderTable[[#This Row],[Case Qty]],OrderTable[[#This Row],[Order Qty]]/OrderTable[[#This Row],[Case Qty]],OrderTable[[#This Row],[Order Qty]]),"")</f>
        <v>18</v>
      </c>
      <c r="K66" s="158" t="str">
        <f>IF(ISTEXT(OrderTable[[#This Row],[PART CODE]]),IF(OrderTable[[#This Row],[PART CODE]]="300.3712.GLV","PL",IF((ROUND(OrderTable[[#This Row],[Order Qty]]/OrderTable[[#This Row],[Case Qty]],0))=OrderTable[[#This Row],[Order Qty]]/OrderTable[[#This Row],[Case Qty]],"BOX","EA")),"")</f>
        <v>BOX</v>
      </c>
      <c r="L66" s="160">
        <f>IF(ISTEXT(OrderTable[[#This Row],[PART CODE]]),OrderTable[[#This Row],[Order Qty]]*OrderTable[[#This Row],[Price / Ea]],"")</f>
        <v>1231.2</v>
      </c>
      <c r="M6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66" s="192" t="str">
        <f>IFERROR(VLOOKUP(OrderTable[[#This Row],[PART CODE]],'Short-Long Transition'!A:I,9,0)," ")</f>
        <v xml:space="preserve"> </v>
      </c>
    </row>
    <row r="67" spans="1:15" x14ac:dyDescent="0.25">
      <c r="A67" s="111" t="s">
        <v>8430</v>
      </c>
      <c r="B67" s="112">
        <v>83</v>
      </c>
      <c r="C67" s="109"/>
      <c r="D67" s="157" t="str">
        <f>IF(ISTEXT(OrderTable[[#This Row],[PART CODE]]),VLOOKUP(A67,'Price  List'!B:G,3,FALSE),"")</f>
        <v>T-Bar Handle, 416mm W, 352mm CTC, Gold</v>
      </c>
      <c r="E67" s="157"/>
      <c r="F67" s="156" t="str">
        <f>OrderTable[[#This Row],[PART CODE]]</f>
        <v>300.3240.416.mg</v>
      </c>
      <c r="G67" s="191">
        <f>IF(ISTEXT(OrderTable[[#This Row],[PART CODE]]),VLOOKUP(A67,'Price  List'!B:G,6,FALSE),"")</f>
        <v>11.4</v>
      </c>
      <c r="H67" s="158">
        <f>IF(ISTEXT(OrderTable[[#This Row],[PART CODE]]),VLOOKUP(A67,'Price  List'!B:G,5,FALSE),"")</f>
        <v>6</v>
      </c>
      <c r="I67"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84</v>
      </c>
      <c r="J67" s="158">
        <f>IF(ISTEXT(OrderTable[[#This Row],[PART CODE]]),IF((ROUND(OrderTable[[#This Row],[Order Qty]]/OrderTable[[#This Row],[Case Qty]],0))=OrderTable[[#This Row],[Order Qty]]/OrderTable[[#This Row],[Case Qty]],OrderTable[[#This Row],[Order Qty]]/OrderTable[[#This Row],[Case Qty]],OrderTable[[#This Row],[Order Qty]]),"")</f>
        <v>14</v>
      </c>
      <c r="K67" s="158" t="str">
        <f>IF(ISTEXT(OrderTable[[#This Row],[PART CODE]]),IF(OrderTable[[#This Row],[PART CODE]]="300.3712.GLV","PL",IF((ROUND(OrderTable[[#This Row],[Order Qty]]/OrderTable[[#This Row],[Case Qty]],0))=OrderTable[[#This Row],[Order Qty]]/OrderTable[[#This Row],[Case Qty]],"BOX","EA")),"")</f>
        <v>BOX</v>
      </c>
      <c r="L67" s="160">
        <f>IF(ISTEXT(OrderTable[[#This Row],[PART CODE]]),OrderTable[[#This Row],[Order Qty]]*OrderTable[[#This Row],[Price / Ea]],"")</f>
        <v>957.6</v>
      </c>
      <c r="M6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67" s="192" t="str">
        <f>IFERROR(VLOOKUP(OrderTable[[#This Row],[PART CODE]],'Short-Long Transition'!A:I,9,0)," ")</f>
        <v xml:space="preserve"> </v>
      </c>
    </row>
    <row r="68" spans="1:15" x14ac:dyDescent="0.25">
      <c r="A68" s="111" t="s">
        <v>8424</v>
      </c>
      <c r="B68" s="112">
        <v>43</v>
      </c>
      <c r="C68" s="109"/>
      <c r="D68" s="157" t="str">
        <f>IF(ISTEXT(OrderTable[[#This Row],[PART CODE]]),VLOOKUP(A68,'Price  List'!B:G,3,FALSE),"")</f>
        <v>T-Bar Handle, 256mm W, 192mm CTC, Black</v>
      </c>
      <c r="E68" s="157"/>
      <c r="F68" s="156" t="str">
        <f>OrderTable[[#This Row],[PART CODE]]</f>
        <v>300.3240.256.blk</v>
      </c>
      <c r="G68" s="191">
        <f>IF(ISTEXT(OrderTable[[#This Row],[PART CODE]]),VLOOKUP(A68,'Price  List'!B:G,6,FALSE),"")</f>
        <v>9.3800000000000008</v>
      </c>
      <c r="H68" s="158">
        <f>IF(ISTEXT(OrderTable[[#This Row],[PART CODE]]),VLOOKUP(A68,'Price  List'!B:G,5,FALSE),"")</f>
        <v>6</v>
      </c>
      <c r="I68"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48</v>
      </c>
      <c r="J68" s="158">
        <f>IF(ISTEXT(OrderTable[[#This Row],[PART CODE]]),IF((ROUND(OrderTable[[#This Row],[Order Qty]]/OrderTable[[#This Row],[Case Qty]],0))=OrderTable[[#This Row],[Order Qty]]/OrderTable[[#This Row],[Case Qty]],OrderTable[[#This Row],[Order Qty]]/OrderTable[[#This Row],[Case Qty]],OrderTable[[#This Row],[Order Qty]]),"")</f>
        <v>8</v>
      </c>
      <c r="K68" s="158" t="str">
        <f>IF(ISTEXT(OrderTable[[#This Row],[PART CODE]]),IF(OrderTable[[#This Row],[PART CODE]]="300.3712.GLV","PL",IF((ROUND(OrderTable[[#This Row],[Order Qty]]/OrderTable[[#This Row],[Case Qty]],0))=OrderTable[[#This Row],[Order Qty]]/OrderTable[[#This Row],[Case Qty]],"BOX","EA")),"")</f>
        <v>BOX</v>
      </c>
      <c r="L68" s="160">
        <f>IF(ISTEXT(OrderTable[[#This Row],[PART CODE]]),OrderTable[[#This Row],[Order Qty]]*OrderTable[[#This Row],[Price / Ea]],"")</f>
        <v>450.24</v>
      </c>
      <c r="M6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68" s="192" t="str">
        <f>IFERROR(VLOOKUP(OrderTable[[#This Row],[PART CODE]],'Short-Long Transition'!A:I,9,0)," ")</f>
        <v xml:space="preserve"> </v>
      </c>
    </row>
    <row r="69" spans="1:15" x14ac:dyDescent="0.25">
      <c r="A69" s="111" t="s">
        <v>8431</v>
      </c>
      <c r="B69" s="112">
        <v>45</v>
      </c>
      <c r="C69" s="109"/>
      <c r="D69" s="157" t="str">
        <f>IF(ISTEXT(OrderTable[[#This Row],[PART CODE]]),VLOOKUP(A69,'Price  List'!B:G,3,FALSE),"")</f>
        <v>T-Bar Handle, 256mm W, 192mm CTC, Matte Aluminum</v>
      </c>
      <c r="E69" s="157"/>
      <c r="F69" s="156" t="str">
        <f>OrderTable[[#This Row],[PART CODE]]</f>
        <v>300.3240.256.mal</v>
      </c>
      <c r="G69" s="191">
        <f>IF(ISTEXT(OrderTable[[#This Row],[PART CODE]]),VLOOKUP(A69,'Price  List'!B:G,6,FALSE),"")</f>
        <v>9.0500000000000007</v>
      </c>
      <c r="H69" s="158">
        <f>IF(ISTEXT(OrderTable[[#This Row],[PART CODE]]),VLOOKUP(A69,'Price  List'!B:G,5,FALSE),"")</f>
        <v>6</v>
      </c>
      <c r="I69"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48</v>
      </c>
      <c r="J69" s="158">
        <f>IF(ISTEXT(OrderTable[[#This Row],[PART CODE]]),IF((ROUND(OrderTable[[#This Row],[Order Qty]]/OrderTable[[#This Row],[Case Qty]],0))=OrderTable[[#This Row],[Order Qty]]/OrderTable[[#This Row],[Case Qty]],OrderTable[[#This Row],[Order Qty]]/OrderTable[[#This Row],[Case Qty]],OrderTable[[#This Row],[Order Qty]]),"")</f>
        <v>8</v>
      </c>
      <c r="K69" s="158" t="str">
        <f>IF(ISTEXT(OrderTable[[#This Row],[PART CODE]]),IF(OrderTable[[#This Row],[PART CODE]]="300.3712.GLV","PL",IF((ROUND(OrderTable[[#This Row],[Order Qty]]/OrderTable[[#This Row],[Case Qty]],0))=OrderTable[[#This Row],[Order Qty]]/OrderTable[[#This Row],[Case Qty]],"BOX","EA")),"")</f>
        <v>BOX</v>
      </c>
      <c r="L69" s="160">
        <f>IF(ISTEXT(OrderTable[[#This Row],[PART CODE]]),OrderTable[[#This Row],[Order Qty]]*OrderTable[[#This Row],[Price / Ea]],"")</f>
        <v>434.40000000000003</v>
      </c>
      <c r="M6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69" s="192" t="str">
        <f>IFERROR(VLOOKUP(OrderTable[[#This Row],[PART CODE]],'Short-Long Transition'!A:I,9,0)," ")</f>
        <v xml:space="preserve"> </v>
      </c>
    </row>
    <row r="70" spans="1:15" x14ac:dyDescent="0.25">
      <c r="A70" s="111" t="s">
        <v>8432</v>
      </c>
      <c r="B70" s="112">
        <v>104</v>
      </c>
      <c r="C70" s="109"/>
      <c r="D70" s="157" t="str">
        <f>IF(ISTEXT(OrderTable[[#This Row],[PART CODE]]),VLOOKUP(A70,'Price  List'!B:G,3,FALSE),"")</f>
        <v>T-Bar Handle, 256mm W, 192mm CTC, Graphite</v>
      </c>
      <c r="E70" s="157"/>
      <c r="F70" s="156" t="str">
        <f>OrderTable[[#This Row],[PART CODE]]</f>
        <v>300.3240.256.sg</v>
      </c>
      <c r="G70" s="191">
        <f>IF(ISTEXT(OrderTable[[#This Row],[PART CODE]]),VLOOKUP(A70,'Price  List'!B:G,6,FALSE),"")</f>
        <v>9.73</v>
      </c>
      <c r="H70" s="158">
        <f>IF(ISTEXT(OrderTable[[#This Row],[PART CODE]]),VLOOKUP(A70,'Price  List'!B:G,5,FALSE),"")</f>
        <v>6</v>
      </c>
      <c r="I70"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108</v>
      </c>
      <c r="J70" s="158">
        <f>IF(ISTEXT(OrderTable[[#This Row],[PART CODE]]),IF((ROUND(OrderTable[[#This Row],[Order Qty]]/OrderTable[[#This Row],[Case Qty]],0))=OrderTable[[#This Row],[Order Qty]]/OrderTable[[#This Row],[Case Qty]],OrderTable[[#This Row],[Order Qty]]/OrderTable[[#This Row],[Case Qty]],OrderTable[[#This Row],[Order Qty]]),"")</f>
        <v>18</v>
      </c>
      <c r="K70" s="158" t="str">
        <f>IF(ISTEXT(OrderTable[[#This Row],[PART CODE]]),IF(OrderTable[[#This Row],[PART CODE]]="300.3712.GLV","PL",IF((ROUND(OrderTable[[#This Row],[Order Qty]]/OrderTable[[#This Row],[Case Qty]],0))=OrderTable[[#This Row],[Order Qty]]/OrderTable[[#This Row],[Case Qty]],"BOX","EA")),"")</f>
        <v>BOX</v>
      </c>
      <c r="L70" s="160">
        <f>IF(ISTEXT(OrderTable[[#This Row],[PART CODE]]),OrderTable[[#This Row],[Order Qty]]*OrderTable[[#This Row],[Price / Ea]],"")</f>
        <v>1050.8400000000001</v>
      </c>
      <c r="M7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70" s="192" t="str">
        <f>IFERROR(VLOOKUP(OrderTable[[#This Row],[PART CODE]],'Short-Long Transition'!A:I,9,0)," ")</f>
        <v xml:space="preserve"> </v>
      </c>
    </row>
    <row r="71" spans="1:15" x14ac:dyDescent="0.25">
      <c r="A71" s="111" t="s">
        <v>8433</v>
      </c>
      <c r="B71" s="112">
        <v>145</v>
      </c>
      <c r="C71" s="109"/>
      <c r="D71" s="157" t="str">
        <f>IF(ISTEXT(OrderTable[[#This Row],[PART CODE]]),VLOOKUP(A71,'Price  List'!B:G,3,FALSE),"")</f>
        <v>T-Bar Handle, 256mm W, 192mm CTC, Gold</v>
      </c>
      <c r="E71" s="157"/>
      <c r="F71" s="156" t="str">
        <f>OrderTable[[#This Row],[PART CODE]]</f>
        <v>300.3240.256.mg</v>
      </c>
      <c r="G71" s="191">
        <f>IF(ISTEXT(OrderTable[[#This Row],[PART CODE]]),VLOOKUP(A71,'Price  List'!B:G,6,FALSE),"")</f>
        <v>9.73</v>
      </c>
      <c r="H71" s="158">
        <f>IF(ISTEXT(OrderTable[[#This Row],[PART CODE]]),VLOOKUP(A71,'Price  List'!B:G,5,FALSE),"")</f>
        <v>6</v>
      </c>
      <c r="I71"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150</v>
      </c>
      <c r="J71" s="158">
        <f>IF(ISTEXT(OrderTable[[#This Row],[PART CODE]]),IF((ROUND(OrderTable[[#This Row],[Order Qty]]/OrderTable[[#This Row],[Case Qty]],0))=OrderTable[[#This Row],[Order Qty]]/OrderTable[[#This Row],[Case Qty]],OrderTable[[#This Row],[Order Qty]]/OrderTable[[#This Row],[Case Qty]],OrderTable[[#This Row],[Order Qty]]),"")</f>
        <v>25</v>
      </c>
      <c r="K71" s="158" t="str">
        <f>IF(ISTEXT(OrderTable[[#This Row],[PART CODE]]),IF(OrderTable[[#This Row],[PART CODE]]="300.3712.GLV","PL",IF((ROUND(OrderTable[[#This Row],[Order Qty]]/OrderTable[[#This Row],[Case Qty]],0))=OrderTable[[#This Row],[Order Qty]]/OrderTable[[#This Row],[Case Qty]],"BOX","EA")),"")</f>
        <v>BOX</v>
      </c>
      <c r="L71" s="160">
        <f>IF(ISTEXT(OrderTable[[#This Row],[PART CODE]]),OrderTable[[#This Row],[Order Qty]]*OrderTable[[#This Row],[Price / Ea]],"")</f>
        <v>1459.5</v>
      </c>
      <c r="M7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71" s="192" t="str">
        <f>IFERROR(VLOOKUP(OrderTable[[#This Row],[PART CODE]],'Short-Long Transition'!A:I,9,0)," ")</f>
        <v xml:space="preserve"> </v>
      </c>
    </row>
    <row r="72" spans="1:15" x14ac:dyDescent="0.25">
      <c r="A72" s="111" t="s">
        <v>8434</v>
      </c>
      <c r="B72" s="112">
        <v>39</v>
      </c>
      <c r="C72" s="109"/>
      <c r="D72" s="157" t="str">
        <f>IF(ISTEXT(OrderTable[[#This Row],[PART CODE]]),VLOOKUP(A72,'Price  List'!B:G,3,FALSE),"")</f>
        <v>Elite Traditional Round Knob MAL w screw</v>
      </c>
      <c r="E72" s="157"/>
      <c r="F72" s="156" t="str">
        <f>OrderTable[[#This Row],[PART CODE]]</f>
        <v>300.3219.000.mal</v>
      </c>
      <c r="G72" s="191">
        <f>IF(ISTEXT(OrderTable[[#This Row],[PART CODE]]),VLOOKUP(A72,'Price  List'!B:G,6,FALSE),"")</f>
        <v>2.52</v>
      </c>
      <c r="H72" s="158">
        <f>IF(ISTEXT(OrderTable[[#This Row],[PART CODE]]),VLOOKUP(A72,'Price  List'!B:G,5,FALSE),"")</f>
        <v>25</v>
      </c>
      <c r="I72"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50</v>
      </c>
      <c r="J72" s="158">
        <f>IF(ISTEXT(OrderTable[[#This Row],[PART CODE]]),IF((ROUND(OrderTable[[#This Row],[Order Qty]]/OrderTable[[#This Row],[Case Qty]],0))=OrderTable[[#This Row],[Order Qty]]/OrderTable[[#This Row],[Case Qty]],OrderTable[[#This Row],[Order Qty]]/OrderTable[[#This Row],[Case Qty]],OrderTable[[#This Row],[Order Qty]]),"")</f>
        <v>2</v>
      </c>
      <c r="K72" s="158" t="str">
        <f>IF(ISTEXT(OrderTable[[#This Row],[PART CODE]]),IF(OrderTable[[#This Row],[PART CODE]]="300.3712.GLV","PL",IF((ROUND(OrderTable[[#This Row],[Order Qty]]/OrderTable[[#This Row],[Case Qty]],0))=OrderTable[[#This Row],[Order Qty]]/OrderTable[[#This Row],[Case Qty]],"BOX","EA")),"")</f>
        <v>BOX</v>
      </c>
      <c r="L72" s="160">
        <f>IF(ISTEXT(OrderTable[[#This Row],[PART CODE]]),OrderTable[[#This Row],[Order Qty]]*OrderTable[[#This Row],[Price / Ea]],"")</f>
        <v>126</v>
      </c>
      <c r="M7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72" s="192" t="str">
        <f>IFERROR(VLOOKUP(OrderTable[[#This Row],[PART CODE]],'Short-Long Transition'!A:I,9,0)," ")</f>
        <v xml:space="preserve"> </v>
      </c>
    </row>
    <row r="73" spans="1:15" x14ac:dyDescent="0.25">
      <c r="A73" s="111" t="s">
        <v>8435</v>
      </c>
      <c r="B73" s="112">
        <v>66</v>
      </c>
      <c r="C73" s="109"/>
      <c r="D73" s="157" t="str">
        <f>IF(ISTEXT(OrderTable[[#This Row],[PART CODE]]),VLOOKUP(A73,'Price  List'!B:G,3,FALSE),"")</f>
        <v>Elite Traditional Round Knob MG w screw</v>
      </c>
      <c r="E73" s="157"/>
      <c r="F73" s="156" t="str">
        <f>OrderTable[[#This Row],[PART CODE]]</f>
        <v>300.3219.000.mg</v>
      </c>
      <c r="G73" s="191">
        <f>IF(ISTEXT(OrderTable[[#This Row],[PART CODE]]),VLOOKUP(A73,'Price  List'!B:G,6,FALSE),"")</f>
        <v>2.97</v>
      </c>
      <c r="H73" s="158">
        <f>IF(ISTEXT(OrderTable[[#This Row],[PART CODE]]),VLOOKUP(A73,'Price  List'!B:G,5,FALSE),"")</f>
        <v>25</v>
      </c>
      <c r="I73"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75</v>
      </c>
      <c r="J73" s="158">
        <f>IF(ISTEXT(OrderTable[[#This Row],[PART CODE]]),IF((ROUND(OrderTable[[#This Row],[Order Qty]]/OrderTable[[#This Row],[Case Qty]],0))=OrderTable[[#This Row],[Order Qty]]/OrderTable[[#This Row],[Case Qty]],OrderTable[[#This Row],[Order Qty]]/OrderTable[[#This Row],[Case Qty]],OrderTable[[#This Row],[Order Qty]]),"")</f>
        <v>3</v>
      </c>
      <c r="K73" s="158" t="str">
        <f>IF(ISTEXT(OrderTable[[#This Row],[PART CODE]]),IF(OrderTable[[#This Row],[PART CODE]]="300.3712.GLV","PL",IF((ROUND(OrderTable[[#This Row],[Order Qty]]/OrderTable[[#This Row],[Case Qty]],0))=OrderTable[[#This Row],[Order Qty]]/OrderTable[[#This Row],[Case Qty]],"BOX","EA")),"")</f>
        <v>BOX</v>
      </c>
      <c r="L73" s="160">
        <f>IF(ISTEXT(OrderTable[[#This Row],[PART CODE]]),OrderTable[[#This Row],[Order Qty]]*OrderTable[[#This Row],[Price / Ea]],"")</f>
        <v>222.75000000000003</v>
      </c>
      <c r="M7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73" s="192" t="str">
        <f>IFERROR(VLOOKUP(OrderTable[[#This Row],[PART CODE]],'Short-Long Transition'!A:I,9,0)," ")</f>
        <v xml:space="preserve"> </v>
      </c>
    </row>
    <row r="74" spans="1:15" x14ac:dyDescent="0.25">
      <c r="A74" s="111" t="s">
        <v>8436</v>
      </c>
      <c r="B74" s="112">
        <v>20</v>
      </c>
      <c r="C74" s="109"/>
      <c r="D74" s="157" t="str">
        <f>IF(ISTEXT(OrderTable[[#This Row],[PART CODE]]),VLOOKUP(A74,'Price  List'!B:G,3,FALSE),"")</f>
        <v>Elite Traditional Round Knob CR w screw</v>
      </c>
      <c r="E74" s="157"/>
      <c r="F74" s="156" t="str">
        <f>OrderTable[[#This Row],[PART CODE]]</f>
        <v>300.3219.000.cr</v>
      </c>
      <c r="G74" s="191">
        <f>IF(ISTEXT(OrderTable[[#This Row],[PART CODE]]),VLOOKUP(A74,'Price  List'!B:G,6,FALSE),"")</f>
        <v>2.2999999999999998</v>
      </c>
      <c r="H74" s="158">
        <f>IF(ISTEXT(OrderTable[[#This Row],[PART CODE]]),VLOOKUP(A74,'Price  List'!B:G,5,FALSE),"")</f>
        <v>25</v>
      </c>
      <c r="I74"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25</v>
      </c>
      <c r="J74" s="158">
        <f>IF(ISTEXT(OrderTable[[#This Row],[PART CODE]]),IF((ROUND(OrderTable[[#This Row],[Order Qty]]/OrderTable[[#This Row],[Case Qty]],0))=OrderTable[[#This Row],[Order Qty]]/OrderTable[[#This Row],[Case Qty]],OrderTable[[#This Row],[Order Qty]]/OrderTable[[#This Row],[Case Qty]],OrderTable[[#This Row],[Order Qty]]),"")</f>
        <v>1</v>
      </c>
      <c r="K74" s="158" t="str">
        <f>IF(ISTEXT(OrderTable[[#This Row],[PART CODE]]),IF(OrderTable[[#This Row],[PART CODE]]="300.3712.GLV","PL",IF((ROUND(OrderTable[[#This Row],[Order Qty]]/OrderTable[[#This Row],[Case Qty]],0))=OrderTable[[#This Row],[Order Qty]]/OrderTable[[#This Row],[Case Qty]],"BOX","EA")),"")</f>
        <v>BOX</v>
      </c>
      <c r="L74" s="160">
        <f>IF(ISTEXT(OrderTable[[#This Row],[PART CODE]]),OrderTable[[#This Row],[Order Qty]]*OrderTable[[#This Row],[Price / Ea]],"")</f>
        <v>57.499999999999993</v>
      </c>
      <c r="M7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74" s="192" t="str">
        <f>IFERROR(VLOOKUP(OrderTable[[#This Row],[PART CODE]],'Short-Long Transition'!A:I,9,0)," ")</f>
        <v xml:space="preserve"> </v>
      </c>
    </row>
    <row r="75" spans="1:15" x14ac:dyDescent="0.25">
      <c r="A75" s="111" t="s">
        <v>8437</v>
      </c>
      <c r="B75" s="112">
        <v>20</v>
      </c>
      <c r="C75" s="109"/>
      <c r="D75" s="157" t="str">
        <f>IF(ISTEXT(OrderTable[[#This Row],[PART CODE]]),VLOOKUP(A75,'Price  List'!B:G,3,FALSE),"")</f>
        <v>Elite Traditional Round Knob BLK w screw</v>
      </c>
      <c r="E75" s="157"/>
      <c r="F75" s="156" t="str">
        <f>OrderTable[[#This Row],[PART CODE]]</f>
        <v>300.3219.000.blk</v>
      </c>
      <c r="G75" s="191">
        <f>IF(ISTEXT(OrderTable[[#This Row],[PART CODE]]),VLOOKUP(A75,'Price  List'!B:G,6,FALSE),"")</f>
        <v>2.52</v>
      </c>
      <c r="H75" s="158">
        <f>IF(ISTEXT(OrderTable[[#This Row],[PART CODE]]),VLOOKUP(A75,'Price  List'!B:G,5,FALSE),"")</f>
        <v>25</v>
      </c>
      <c r="I75"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25</v>
      </c>
      <c r="J75" s="158">
        <f>IF(ISTEXT(OrderTable[[#This Row],[PART CODE]]),IF((ROUND(OrderTable[[#This Row],[Order Qty]]/OrderTable[[#This Row],[Case Qty]],0))=OrderTable[[#This Row],[Order Qty]]/OrderTable[[#This Row],[Case Qty]],OrderTable[[#This Row],[Order Qty]]/OrderTable[[#This Row],[Case Qty]],OrderTable[[#This Row],[Order Qty]]),"")</f>
        <v>1</v>
      </c>
      <c r="K75" s="158" t="str">
        <f>IF(ISTEXT(OrderTable[[#This Row],[PART CODE]]),IF(OrderTable[[#This Row],[PART CODE]]="300.3712.GLV","PL",IF((ROUND(OrderTable[[#This Row],[Order Qty]]/OrderTable[[#This Row],[Case Qty]],0))=OrderTable[[#This Row],[Order Qty]]/OrderTable[[#This Row],[Case Qty]],"BOX","EA")),"")</f>
        <v>BOX</v>
      </c>
      <c r="L75" s="160">
        <f>IF(ISTEXT(OrderTable[[#This Row],[PART CODE]]),OrderTable[[#This Row],[Order Qty]]*OrderTable[[#This Row],[Price / Ea]],"")</f>
        <v>63</v>
      </c>
      <c r="M7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75" s="192" t="str">
        <f>IFERROR(VLOOKUP(OrderTable[[#This Row],[PART CODE]],'Short-Long Transition'!A:I,9,0)," ")</f>
        <v xml:space="preserve"> </v>
      </c>
    </row>
    <row r="76" spans="1:15" x14ac:dyDescent="0.25">
      <c r="A76" s="111" t="s">
        <v>8438</v>
      </c>
      <c r="B76" s="112">
        <v>20</v>
      </c>
      <c r="C76" s="109"/>
      <c r="D76" s="157" t="str">
        <f>IF(ISTEXT(OrderTable[[#This Row],[PART CODE]]),VLOOKUP(A76,'Price  List'!B:G,3,FALSE),"")</f>
        <v>Elite Traditional Round Knob SG w screw</v>
      </c>
      <c r="E76" s="157"/>
      <c r="F76" s="156" t="str">
        <f>OrderTable[[#This Row],[PART CODE]]</f>
        <v>300.3219.000.sg</v>
      </c>
      <c r="G76" s="191">
        <f>IF(ISTEXT(OrderTable[[#This Row],[PART CODE]]),VLOOKUP(A76,'Price  List'!B:G,6,FALSE),"")</f>
        <v>2.97</v>
      </c>
      <c r="H76" s="158">
        <f>IF(ISTEXT(OrderTable[[#This Row],[PART CODE]]),VLOOKUP(A76,'Price  List'!B:G,5,FALSE),"")</f>
        <v>25</v>
      </c>
      <c r="I76"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25</v>
      </c>
      <c r="J76" s="158">
        <f>IF(ISTEXT(OrderTable[[#This Row],[PART CODE]]),IF((ROUND(OrderTable[[#This Row],[Order Qty]]/OrderTable[[#This Row],[Case Qty]],0))=OrderTable[[#This Row],[Order Qty]]/OrderTable[[#This Row],[Case Qty]],OrderTable[[#This Row],[Order Qty]]/OrderTable[[#This Row],[Case Qty]],OrderTable[[#This Row],[Order Qty]]),"")</f>
        <v>1</v>
      </c>
      <c r="K76" s="158" t="str">
        <f>IF(ISTEXT(OrderTable[[#This Row],[PART CODE]]),IF(OrderTable[[#This Row],[PART CODE]]="300.3712.GLV","PL",IF((ROUND(OrderTable[[#This Row],[Order Qty]]/OrderTable[[#This Row],[Case Qty]],0))=OrderTable[[#This Row],[Order Qty]]/OrderTable[[#This Row],[Case Qty]],"BOX","EA")),"")</f>
        <v>BOX</v>
      </c>
      <c r="L76" s="160">
        <f>IF(ISTEXT(OrderTable[[#This Row],[PART CODE]]),OrderTable[[#This Row],[Order Qty]]*OrderTable[[#This Row],[Price / Ea]],"")</f>
        <v>74.25</v>
      </c>
      <c r="M7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76" s="192" t="str">
        <f>IFERROR(VLOOKUP(OrderTable[[#This Row],[PART CODE]],'Short-Long Transition'!A:I,9,0)," ")</f>
        <v xml:space="preserve"> </v>
      </c>
    </row>
    <row r="77" spans="1:15" x14ac:dyDescent="0.25">
      <c r="A77" s="111" t="s">
        <v>8439</v>
      </c>
      <c r="B77" s="112">
        <v>53</v>
      </c>
      <c r="C77" s="109"/>
      <c r="D77" s="157" t="str">
        <f>IF(ISTEXT(OrderTable[[#This Row],[PART CODE]]),VLOOKUP(A77,'Price  List'!B:G,3,FALSE),"")</f>
        <v>Elite Traditional Round Handle 128mm MAL w screw</v>
      </c>
      <c r="E77" s="157"/>
      <c r="F77" s="156" t="str">
        <f>OrderTable[[#This Row],[PART CODE]]</f>
        <v>300.3219.128.mal</v>
      </c>
      <c r="G77" s="191">
        <f>IF(ISTEXT(OrderTable[[#This Row],[PART CODE]]),VLOOKUP(A77,'Price  List'!B:G,6,FALSE),"")</f>
        <v>5.51</v>
      </c>
      <c r="H77" s="158">
        <f>IF(ISTEXT(OrderTable[[#This Row],[PART CODE]]),VLOOKUP(A77,'Price  List'!B:G,5,FALSE),"")</f>
        <v>20</v>
      </c>
      <c r="I77"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60</v>
      </c>
      <c r="J77" s="158">
        <f>IF(ISTEXT(OrderTable[[#This Row],[PART CODE]]),IF((ROUND(OrderTable[[#This Row],[Order Qty]]/OrderTable[[#This Row],[Case Qty]],0))=OrderTable[[#This Row],[Order Qty]]/OrderTable[[#This Row],[Case Qty]],OrderTable[[#This Row],[Order Qty]]/OrderTable[[#This Row],[Case Qty]],OrderTable[[#This Row],[Order Qty]]),"")</f>
        <v>3</v>
      </c>
      <c r="K77" s="158" t="str">
        <f>IF(ISTEXT(OrderTable[[#This Row],[PART CODE]]),IF(OrderTable[[#This Row],[PART CODE]]="300.3712.GLV","PL",IF((ROUND(OrderTable[[#This Row],[Order Qty]]/OrderTable[[#This Row],[Case Qty]],0))=OrderTable[[#This Row],[Order Qty]]/OrderTable[[#This Row],[Case Qty]],"BOX","EA")),"")</f>
        <v>BOX</v>
      </c>
      <c r="L77" s="160">
        <f>IF(ISTEXT(OrderTable[[#This Row],[PART CODE]]),OrderTable[[#This Row],[Order Qty]]*OrderTable[[#This Row],[Price / Ea]],"")</f>
        <v>330.59999999999997</v>
      </c>
      <c r="M7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77" s="192" t="str">
        <f>IFERROR(VLOOKUP(OrderTable[[#This Row],[PART CODE]],'Short-Long Transition'!A:I,9,0)," ")</f>
        <v xml:space="preserve"> </v>
      </c>
    </row>
    <row r="78" spans="1:15" x14ac:dyDescent="0.25">
      <c r="A78" s="111" t="s">
        <v>8440</v>
      </c>
      <c r="B78" s="112">
        <v>51</v>
      </c>
      <c r="C78" s="109"/>
      <c r="D78" s="157" t="str">
        <f>IF(ISTEXT(OrderTable[[#This Row],[PART CODE]]),VLOOKUP(A78,'Price  List'!B:G,3,FALSE),"")</f>
        <v>Elite Traditional Round Handle 128mm MG w screw</v>
      </c>
      <c r="E78" s="157"/>
      <c r="F78" s="156" t="str">
        <f>OrderTable[[#This Row],[PART CODE]]</f>
        <v>300.3219.128.mg</v>
      </c>
      <c r="G78" s="191">
        <f>IF(ISTEXT(OrderTable[[#This Row],[PART CODE]]),VLOOKUP(A78,'Price  List'!B:G,6,FALSE),"")</f>
        <v>6.63</v>
      </c>
      <c r="H78" s="158">
        <f>IF(ISTEXT(OrderTable[[#This Row],[PART CODE]]),VLOOKUP(A78,'Price  List'!B:G,5,FALSE),"")</f>
        <v>20</v>
      </c>
      <c r="I78"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60</v>
      </c>
      <c r="J78" s="158">
        <f>IF(ISTEXT(OrderTable[[#This Row],[PART CODE]]),IF((ROUND(OrderTable[[#This Row],[Order Qty]]/OrderTable[[#This Row],[Case Qty]],0))=OrderTable[[#This Row],[Order Qty]]/OrderTable[[#This Row],[Case Qty]],OrderTable[[#This Row],[Order Qty]]/OrderTable[[#This Row],[Case Qty]],OrderTable[[#This Row],[Order Qty]]),"")</f>
        <v>3</v>
      </c>
      <c r="K78" s="158" t="str">
        <f>IF(ISTEXT(OrderTable[[#This Row],[PART CODE]]),IF(OrderTable[[#This Row],[PART CODE]]="300.3712.GLV","PL",IF((ROUND(OrderTable[[#This Row],[Order Qty]]/OrderTable[[#This Row],[Case Qty]],0))=OrderTable[[#This Row],[Order Qty]]/OrderTable[[#This Row],[Case Qty]],"BOX","EA")),"")</f>
        <v>BOX</v>
      </c>
      <c r="L78" s="160">
        <f>IF(ISTEXT(OrderTable[[#This Row],[PART CODE]]),OrderTable[[#This Row],[Order Qty]]*OrderTable[[#This Row],[Price / Ea]],"")</f>
        <v>397.8</v>
      </c>
      <c r="M7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78" s="192" t="str">
        <f>IFERROR(VLOOKUP(OrderTable[[#This Row],[PART CODE]],'Short-Long Transition'!A:I,9,0)," ")</f>
        <v xml:space="preserve"> </v>
      </c>
    </row>
    <row r="79" spans="1:15" x14ac:dyDescent="0.25">
      <c r="A79" s="111" t="s">
        <v>8441</v>
      </c>
      <c r="B79" s="112">
        <v>14</v>
      </c>
      <c r="C79" s="109"/>
      <c r="D79" s="157" t="str">
        <f>IF(ISTEXT(OrderTable[[#This Row],[PART CODE]]),VLOOKUP(A79,'Price  List'!B:G,3,FALSE),"")</f>
        <v>Elite Traditional Round Handle 128mm CR w screw</v>
      </c>
      <c r="E79" s="157"/>
      <c r="F79" s="156" t="str">
        <f>OrderTable[[#This Row],[PART CODE]]</f>
        <v>300.3219.128.cr</v>
      </c>
      <c r="G79" s="191">
        <f>IF(ISTEXT(OrderTable[[#This Row],[PART CODE]]),VLOOKUP(A79,'Price  List'!B:G,6,FALSE),"")</f>
        <v>5.0199999999999996</v>
      </c>
      <c r="H79" s="158">
        <f>IF(ISTEXT(OrderTable[[#This Row],[PART CODE]]),VLOOKUP(A79,'Price  List'!B:G,5,FALSE),"")</f>
        <v>20</v>
      </c>
      <c r="I79"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20</v>
      </c>
      <c r="J79" s="158">
        <f>IF(ISTEXT(OrderTable[[#This Row],[PART CODE]]),IF((ROUND(OrderTable[[#This Row],[Order Qty]]/OrderTable[[#This Row],[Case Qty]],0))=OrderTable[[#This Row],[Order Qty]]/OrderTable[[#This Row],[Case Qty]],OrderTable[[#This Row],[Order Qty]]/OrderTable[[#This Row],[Case Qty]],OrderTable[[#This Row],[Order Qty]]),"")</f>
        <v>1</v>
      </c>
      <c r="K79" s="158" t="str">
        <f>IF(ISTEXT(OrderTable[[#This Row],[PART CODE]]),IF(OrderTable[[#This Row],[PART CODE]]="300.3712.GLV","PL",IF((ROUND(OrderTable[[#This Row],[Order Qty]]/OrderTable[[#This Row],[Case Qty]],0))=OrderTable[[#This Row],[Order Qty]]/OrderTable[[#This Row],[Case Qty]],"BOX","EA")),"")</f>
        <v>BOX</v>
      </c>
      <c r="L79" s="160">
        <f>IF(ISTEXT(OrderTable[[#This Row],[PART CODE]]),OrderTable[[#This Row],[Order Qty]]*OrderTable[[#This Row],[Price / Ea]],"")</f>
        <v>100.39999999999999</v>
      </c>
      <c r="M7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79" s="192" t="str">
        <f>IFERROR(VLOOKUP(OrderTable[[#This Row],[PART CODE]],'Short-Long Transition'!A:I,9,0)," ")</f>
        <v xml:space="preserve"> </v>
      </c>
    </row>
    <row r="80" spans="1:15" x14ac:dyDescent="0.25">
      <c r="A80" s="111" t="s">
        <v>8442</v>
      </c>
      <c r="B80" s="112">
        <v>46</v>
      </c>
      <c r="C80" s="109"/>
      <c r="D80" s="157" t="str">
        <f>IF(ISTEXT(OrderTable[[#This Row],[PART CODE]]),VLOOKUP(A80,'Price  List'!B:G,3,FALSE),"")</f>
        <v>Elite Traditional Round Handle 128mm SG w screw</v>
      </c>
      <c r="E80" s="157"/>
      <c r="F80" s="156" t="str">
        <f>OrderTable[[#This Row],[PART CODE]]</f>
        <v>300.3219.128.sg</v>
      </c>
      <c r="G80" s="191">
        <f>IF(ISTEXT(OrderTable[[#This Row],[PART CODE]]),VLOOKUP(A80,'Price  List'!B:G,6,FALSE),"")</f>
        <v>6.63</v>
      </c>
      <c r="H80" s="158">
        <f>IF(ISTEXT(OrderTable[[#This Row],[PART CODE]]),VLOOKUP(A80,'Price  List'!B:G,5,FALSE),"")</f>
        <v>20</v>
      </c>
      <c r="I80"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60</v>
      </c>
      <c r="J80" s="158">
        <f>IF(ISTEXT(OrderTable[[#This Row],[PART CODE]]),IF((ROUND(OrderTable[[#This Row],[Order Qty]]/OrderTable[[#This Row],[Case Qty]],0))=OrderTable[[#This Row],[Order Qty]]/OrderTable[[#This Row],[Case Qty]],OrderTable[[#This Row],[Order Qty]]/OrderTable[[#This Row],[Case Qty]],OrderTable[[#This Row],[Order Qty]]),"")</f>
        <v>3</v>
      </c>
      <c r="K80" s="158" t="str">
        <f>IF(ISTEXT(OrderTable[[#This Row],[PART CODE]]),IF(OrderTable[[#This Row],[PART CODE]]="300.3712.GLV","PL",IF((ROUND(OrderTable[[#This Row],[Order Qty]]/OrderTable[[#This Row],[Case Qty]],0))=OrderTable[[#This Row],[Order Qty]]/OrderTable[[#This Row],[Case Qty]],"BOX","EA")),"")</f>
        <v>BOX</v>
      </c>
      <c r="L80" s="160">
        <f>IF(ISTEXT(OrderTable[[#This Row],[PART CODE]]),OrderTable[[#This Row],[Order Qty]]*OrderTable[[#This Row],[Price / Ea]],"")</f>
        <v>397.8</v>
      </c>
      <c r="M8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80" s="192" t="str">
        <f>IFERROR(VLOOKUP(OrderTable[[#This Row],[PART CODE]],'Short-Long Transition'!A:I,9,0)," ")</f>
        <v xml:space="preserve"> </v>
      </c>
    </row>
    <row r="81" spans="1:15" x14ac:dyDescent="0.25">
      <c r="A81" s="111" t="s">
        <v>8443</v>
      </c>
      <c r="B81" s="112">
        <v>40</v>
      </c>
      <c r="C81" s="109"/>
      <c r="D81" s="157" t="str">
        <f>IF(ISTEXT(OrderTable[[#This Row],[PART CODE]]),VLOOKUP(A81,'Price  List'!B:G,3,FALSE),"")</f>
        <v>Elite Traditional Round Handle 128mm BLK w screw</v>
      </c>
      <c r="E81" s="157"/>
      <c r="F81" s="156" t="str">
        <f>OrderTable[[#This Row],[PART CODE]]</f>
        <v>300.3219.128.blk</v>
      </c>
      <c r="G81" s="191">
        <f>IF(ISTEXT(OrderTable[[#This Row],[PART CODE]]),VLOOKUP(A81,'Price  List'!B:G,6,FALSE),"")</f>
        <v>5.51</v>
      </c>
      <c r="H81" s="158">
        <f>IF(ISTEXT(OrderTable[[#This Row],[PART CODE]]),VLOOKUP(A81,'Price  List'!B:G,5,FALSE),"")</f>
        <v>20</v>
      </c>
      <c r="I81"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40</v>
      </c>
      <c r="J81" s="158">
        <f>IF(ISTEXT(OrderTable[[#This Row],[PART CODE]]),IF((ROUND(OrderTable[[#This Row],[Order Qty]]/OrderTable[[#This Row],[Case Qty]],0))=OrderTable[[#This Row],[Order Qty]]/OrderTable[[#This Row],[Case Qty]],OrderTable[[#This Row],[Order Qty]]/OrderTable[[#This Row],[Case Qty]],OrderTable[[#This Row],[Order Qty]]),"")</f>
        <v>2</v>
      </c>
      <c r="K81" s="158" t="str">
        <f>IF(ISTEXT(OrderTable[[#This Row],[PART CODE]]),IF(OrderTable[[#This Row],[PART CODE]]="300.3712.GLV","PL",IF((ROUND(OrderTable[[#This Row],[Order Qty]]/OrderTable[[#This Row],[Case Qty]],0))=OrderTable[[#This Row],[Order Qty]]/OrderTable[[#This Row],[Case Qty]],"BOX","EA")),"")</f>
        <v>BOX</v>
      </c>
      <c r="L81" s="160">
        <f>IF(ISTEXT(OrderTable[[#This Row],[PART CODE]]),OrderTable[[#This Row],[Order Qty]]*OrderTable[[#This Row],[Price / Ea]],"")</f>
        <v>220.39999999999998</v>
      </c>
      <c r="M8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1" s="192" t="str">
        <f>IFERROR(VLOOKUP(OrderTable[[#This Row],[PART CODE]],'Short-Long Transition'!A:I,9,0)," ")</f>
        <v xml:space="preserve"> </v>
      </c>
    </row>
    <row r="82" spans="1:15" x14ac:dyDescent="0.25">
      <c r="A82" s="111" t="s">
        <v>8444</v>
      </c>
      <c r="B82" s="112">
        <v>14</v>
      </c>
      <c r="C82" s="109"/>
      <c r="D82" s="157" t="str">
        <f>IF(ISTEXT(OrderTable[[#This Row],[PART CODE]]),VLOOKUP(A82,'Price  List'!B:G,3,FALSE),"")</f>
        <v>Elite Traditional Round Handle 256mm SG w screw</v>
      </c>
      <c r="E82" s="157"/>
      <c r="F82" s="156" t="str">
        <f>OrderTable[[#This Row],[PART CODE]]</f>
        <v>300.3219.256.sg</v>
      </c>
      <c r="G82" s="191">
        <f>IF(ISTEXT(OrderTable[[#This Row],[PART CODE]]),VLOOKUP(A82,'Price  List'!B:G,6,FALSE),"")</f>
        <v>14.03</v>
      </c>
      <c r="H82" s="158">
        <f>IF(ISTEXT(OrderTable[[#This Row],[PART CODE]]),VLOOKUP(A82,'Price  List'!B:G,5,FALSE),"")</f>
        <v>20</v>
      </c>
      <c r="I82"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20</v>
      </c>
      <c r="J82" s="158">
        <f>IF(ISTEXT(OrderTable[[#This Row],[PART CODE]]),IF((ROUND(OrderTable[[#This Row],[Order Qty]]/OrderTable[[#This Row],[Case Qty]],0))=OrderTable[[#This Row],[Order Qty]]/OrderTable[[#This Row],[Case Qty]],OrderTable[[#This Row],[Order Qty]]/OrderTable[[#This Row],[Case Qty]],OrderTable[[#This Row],[Order Qty]]),"")</f>
        <v>1</v>
      </c>
      <c r="K82" s="158" t="str">
        <f>IF(ISTEXT(OrderTable[[#This Row],[PART CODE]]),IF(OrderTable[[#This Row],[PART CODE]]="300.3712.GLV","PL",IF((ROUND(OrderTable[[#This Row],[Order Qty]]/OrderTable[[#This Row],[Case Qty]],0))=OrderTable[[#This Row],[Order Qty]]/OrderTable[[#This Row],[Case Qty]],"BOX","EA")),"")</f>
        <v>BOX</v>
      </c>
      <c r="L82" s="160">
        <f>IF(ISTEXT(OrderTable[[#This Row],[PART CODE]]),OrderTable[[#This Row],[Order Qty]]*OrderTable[[#This Row],[Price / Ea]],"")</f>
        <v>280.59999999999997</v>
      </c>
      <c r="M8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82" s="192" t="str">
        <f>IFERROR(VLOOKUP(OrderTable[[#This Row],[PART CODE]],'Short-Long Transition'!A:I,9,0)," ")</f>
        <v xml:space="preserve"> </v>
      </c>
    </row>
    <row r="83" spans="1:15" x14ac:dyDescent="0.25">
      <c r="A83" s="111" t="s">
        <v>8445</v>
      </c>
      <c r="B83" s="112">
        <v>10</v>
      </c>
      <c r="C83" s="109"/>
      <c r="D83" s="157" t="str">
        <f>IF(ISTEXT(OrderTable[[#This Row],[PART CODE]]),VLOOKUP(A83,'Price  List'!B:G,3,FALSE),"")</f>
        <v>Elite Traditional Round Handle 256mm BLK w screw</v>
      </c>
      <c r="E83" s="157"/>
      <c r="F83" s="156" t="str">
        <f>OrderTable[[#This Row],[PART CODE]]</f>
        <v>300.3219.256.blk</v>
      </c>
      <c r="G83" s="191">
        <f>IF(ISTEXT(OrderTable[[#This Row],[PART CODE]]),VLOOKUP(A83,'Price  List'!B:G,6,FALSE),"")</f>
        <v>11.97</v>
      </c>
      <c r="H83" s="158">
        <f>IF(ISTEXT(OrderTable[[#This Row],[PART CODE]]),VLOOKUP(A83,'Price  List'!B:G,5,FALSE),"")</f>
        <v>20</v>
      </c>
      <c r="I83"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20</v>
      </c>
      <c r="J83" s="158">
        <f>IF(ISTEXT(OrderTable[[#This Row],[PART CODE]]),IF((ROUND(OrderTable[[#This Row],[Order Qty]]/OrderTable[[#This Row],[Case Qty]],0))=OrderTable[[#This Row],[Order Qty]]/OrderTable[[#This Row],[Case Qty]],OrderTable[[#This Row],[Order Qty]]/OrderTable[[#This Row],[Case Qty]],OrderTable[[#This Row],[Order Qty]]),"")</f>
        <v>1</v>
      </c>
      <c r="K83" s="158" t="str">
        <f>IF(ISTEXT(OrderTable[[#This Row],[PART CODE]]),IF(OrderTable[[#This Row],[PART CODE]]="300.3712.GLV","PL",IF((ROUND(OrderTable[[#This Row],[Order Qty]]/OrderTable[[#This Row],[Case Qty]],0))=OrderTable[[#This Row],[Order Qty]]/OrderTable[[#This Row],[Case Qty]],"BOX","EA")),"")</f>
        <v>BOX</v>
      </c>
      <c r="L83" s="160">
        <f>IF(ISTEXT(OrderTable[[#This Row],[PART CODE]]),OrderTable[[#This Row],[Order Qty]]*OrderTable[[#This Row],[Price / Ea]],"")</f>
        <v>239.4</v>
      </c>
      <c r="M8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83" s="192" t="str">
        <f>IFERROR(VLOOKUP(OrderTable[[#This Row],[PART CODE]],'Short-Long Transition'!A:I,9,0)," ")</f>
        <v xml:space="preserve"> </v>
      </c>
    </row>
    <row r="84" spans="1:15" x14ac:dyDescent="0.25">
      <c r="A84" s="111" t="s">
        <v>8421</v>
      </c>
      <c r="B84" s="112">
        <v>39</v>
      </c>
      <c r="C84" s="109"/>
      <c r="D84" s="157" t="str">
        <f>IF(ISTEXT(OrderTable[[#This Row],[PART CODE]]),VLOOKUP(A84,'Price  List'!B:G,3,FALSE),"")</f>
        <v>Elite Traditional Round Handle 256mm MG w screw</v>
      </c>
      <c r="E84" s="157"/>
      <c r="F84" s="156" t="str">
        <f>OrderTable[[#This Row],[PART CODE]]</f>
        <v>300.3219.256.mg</v>
      </c>
      <c r="G84" s="191">
        <f>IF(ISTEXT(OrderTable[[#This Row],[PART CODE]]),VLOOKUP(A84,'Price  List'!B:G,6,FALSE),"")</f>
        <v>14.03</v>
      </c>
      <c r="H84" s="158">
        <f>IF(ISTEXT(OrderTable[[#This Row],[PART CODE]]),VLOOKUP(A84,'Price  List'!B:G,5,FALSE),"")</f>
        <v>20</v>
      </c>
      <c r="I84"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40</v>
      </c>
      <c r="J84" s="158">
        <f>IF(ISTEXT(OrderTable[[#This Row],[PART CODE]]),IF((ROUND(OrderTable[[#This Row],[Order Qty]]/OrderTable[[#This Row],[Case Qty]],0))=OrderTable[[#This Row],[Order Qty]]/OrderTable[[#This Row],[Case Qty]],OrderTable[[#This Row],[Order Qty]]/OrderTable[[#This Row],[Case Qty]],OrderTable[[#This Row],[Order Qty]]),"")</f>
        <v>2</v>
      </c>
      <c r="K84" s="158" t="str">
        <f>IF(ISTEXT(OrderTable[[#This Row],[PART CODE]]),IF(OrderTable[[#This Row],[PART CODE]]="300.3712.GLV","PL",IF((ROUND(OrderTable[[#This Row],[Order Qty]]/OrderTable[[#This Row],[Case Qty]],0))=OrderTable[[#This Row],[Order Qty]]/OrderTable[[#This Row],[Case Qty]],"BOX","EA")),"")</f>
        <v>BOX</v>
      </c>
      <c r="L84" s="160">
        <f>IF(ISTEXT(OrderTable[[#This Row],[PART CODE]]),OrderTable[[#This Row],[Order Qty]]*OrderTable[[#This Row],[Price / Ea]],"")</f>
        <v>561.19999999999993</v>
      </c>
      <c r="M8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84" s="192" t="str">
        <f>IFERROR(VLOOKUP(OrderTable[[#This Row],[PART CODE]],'Short-Long Transition'!A:I,9,0)," ")</f>
        <v xml:space="preserve"> </v>
      </c>
    </row>
    <row r="85" spans="1:15" x14ac:dyDescent="0.25">
      <c r="A85" s="111" t="s">
        <v>8446</v>
      </c>
      <c r="B85" s="112">
        <v>20</v>
      </c>
      <c r="C85" s="109"/>
      <c r="D85" s="157" t="str">
        <f>IF(ISTEXT(OrderTable[[#This Row],[PART CODE]]),VLOOKUP(A85,'Price  List'!B:G,3,FALSE),"")</f>
        <v>Elite Traditional Round Handle 352mm BLK w screw</v>
      </c>
      <c r="E85" s="157"/>
      <c r="F85" s="156" t="str">
        <f>OrderTable[[#This Row],[PART CODE]]</f>
        <v>300.3219.352.blk</v>
      </c>
      <c r="G85" s="191">
        <f>IF(ISTEXT(OrderTable[[#This Row],[PART CODE]]),VLOOKUP(A85,'Price  List'!B:G,6,FALSE),"")</f>
        <v>16.46</v>
      </c>
      <c r="H85" s="158">
        <f>IF(ISTEXT(OrderTable[[#This Row],[PART CODE]]),VLOOKUP(A85,'Price  List'!B:G,5,FALSE),"")</f>
        <v>20</v>
      </c>
      <c r="I85"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20</v>
      </c>
      <c r="J85" s="158">
        <f>IF(ISTEXT(OrderTable[[#This Row],[PART CODE]]),IF((ROUND(OrderTable[[#This Row],[Order Qty]]/OrderTable[[#This Row],[Case Qty]],0))=OrderTable[[#This Row],[Order Qty]]/OrderTable[[#This Row],[Case Qty]],OrderTable[[#This Row],[Order Qty]]/OrderTable[[#This Row],[Case Qty]],OrderTable[[#This Row],[Order Qty]]),"")</f>
        <v>1</v>
      </c>
      <c r="K85" s="158" t="str">
        <f>IF(ISTEXT(OrderTable[[#This Row],[PART CODE]]),IF(OrderTable[[#This Row],[PART CODE]]="300.3712.GLV","PL",IF((ROUND(OrderTable[[#This Row],[Order Qty]]/OrderTable[[#This Row],[Case Qty]],0))=OrderTable[[#This Row],[Order Qty]]/OrderTable[[#This Row],[Case Qty]],"BOX","EA")),"")</f>
        <v>BOX</v>
      </c>
      <c r="L85" s="160">
        <f>IF(ISTEXT(OrderTable[[#This Row],[PART CODE]]),OrderTable[[#This Row],[Order Qty]]*OrderTable[[#This Row],[Price / Ea]],"")</f>
        <v>329.20000000000005</v>
      </c>
      <c r="M8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5" s="192" t="str">
        <f>IFERROR(VLOOKUP(OrderTable[[#This Row],[PART CODE]],'Short-Long Transition'!A:I,9,0)," ")</f>
        <v xml:space="preserve"> </v>
      </c>
    </row>
    <row r="86" spans="1:15" x14ac:dyDescent="0.25">
      <c r="A86" s="111" t="s">
        <v>8447</v>
      </c>
      <c r="B86" s="112">
        <v>20</v>
      </c>
      <c r="C86" s="109"/>
      <c r="D86" s="157" t="str">
        <f>IF(ISTEXT(OrderTable[[#This Row],[PART CODE]]),VLOOKUP(A86,'Price  List'!B:G,3,FALSE),"")</f>
        <v>Elite Traditional Round Handle 352mm MG w screw</v>
      </c>
      <c r="E86" s="157"/>
      <c r="F86" s="156" t="str">
        <f>OrderTable[[#This Row],[PART CODE]]</f>
        <v>300.3219.352.mg</v>
      </c>
      <c r="G86" s="191">
        <f>IF(ISTEXT(OrderTable[[#This Row],[PART CODE]]),VLOOKUP(A86,'Price  List'!B:G,6,FALSE),"")</f>
        <v>19.29</v>
      </c>
      <c r="H86" s="158">
        <f>IF(ISTEXT(OrderTable[[#This Row],[PART CODE]]),VLOOKUP(A86,'Price  List'!B:G,5,FALSE),"")</f>
        <v>20</v>
      </c>
      <c r="I86"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20</v>
      </c>
      <c r="J86" s="158">
        <f>IF(ISTEXT(OrderTable[[#This Row],[PART CODE]]),IF((ROUND(OrderTable[[#This Row],[Order Qty]]/OrderTable[[#This Row],[Case Qty]],0))=OrderTable[[#This Row],[Order Qty]]/OrderTable[[#This Row],[Case Qty]],OrderTable[[#This Row],[Order Qty]]/OrderTable[[#This Row],[Case Qty]],OrderTable[[#This Row],[Order Qty]]),"")</f>
        <v>1</v>
      </c>
      <c r="K86" s="158" t="str">
        <f>IF(ISTEXT(OrderTable[[#This Row],[PART CODE]]),IF(OrderTable[[#This Row],[PART CODE]]="300.3712.GLV","PL",IF((ROUND(OrderTable[[#This Row],[Order Qty]]/OrderTable[[#This Row],[Case Qty]],0))=OrderTable[[#This Row],[Order Qty]]/OrderTable[[#This Row],[Case Qty]],"BOX","EA")),"")</f>
        <v>BOX</v>
      </c>
      <c r="L86" s="160">
        <f>IF(ISTEXT(OrderTable[[#This Row],[PART CODE]]),OrderTable[[#This Row],[Order Qty]]*OrderTable[[#This Row],[Price / Ea]],"")</f>
        <v>385.79999999999995</v>
      </c>
      <c r="M8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6" s="192" t="str">
        <f>IFERROR(VLOOKUP(OrderTable[[#This Row],[PART CODE]],'Short-Long Transition'!A:I,9,0)," ")</f>
        <v xml:space="preserve"> </v>
      </c>
    </row>
    <row r="87" spans="1:15" x14ac:dyDescent="0.25">
      <c r="A87" s="111" t="s">
        <v>780</v>
      </c>
      <c r="B87" s="112">
        <v>1</v>
      </c>
      <c r="C87" s="109"/>
      <c r="D87" s="157" t="str">
        <f>IF(ISTEXT(OrderTable[[#This Row],[PART CODE]]),VLOOKUP(A87,'Price  List'!B:G,3,FALSE),"")</f>
        <v>LAUNDRY ORGANIZER - 18"</v>
      </c>
      <c r="E87" s="157"/>
      <c r="F87" s="156" t="str">
        <f>OrderTable[[#This Row],[PART CODE]]</f>
        <v>310.6530.18.BEA.MG</v>
      </c>
      <c r="G87" s="191">
        <f>IF(ISTEXT(OrderTable[[#This Row],[PART CODE]]),VLOOKUP(A87,'Price  List'!B:G,6,FALSE),"")</f>
        <v>115.95</v>
      </c>
      <c r="H87" s="158">
        <f>IF(ISTEXT(OrderTable[[#This Row],[PART CODE]]),VLOOKUP(A87,'Price  List'!B:G,5,FALSE),"")</f>
        <v>1</v>
      </c>
      <c r="I87"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87" s="158">
        <f>IF(ISTEXT(OrderTable[[#This Row],[PART CODE]]),IF((ROUND(OrderTable[[#This Row],[Order Qty]]/OrderTable[[#This Row],[Case Qty]],0))=OrderTable[[#This Row],[Order Qty]]/OrderTable[[#This Row],[Case Qty]],OrderTable[[#This Row],[Order Qty]]/OrderTable[[#This Row],[Case Qty]],OrderTable[[#This Row],[Order Qty]]),"")</f>
        <v>1</v>
      </c>
      <c r="K87" s="158" t="str">
        <f>IF(ISTEXT(OrderTable[[#This Row],[PART CODE]]),IF(OrderTable[[#This Row],[PART CODE]]="300.3712.GLV","PL",IF((ROUND(OrderTable[[#This Row],[Order Qty]]/OrderTable[[#This Row],[Case Qty]],0))=OrderTable[[#This Row],[Order Qty]]/OrderTable[[#This Row],[Case Qty]],"BOX","EA")),"")</f>
        <v>BOX</v>
      </c>
      <c r="L87" s="160">
        <f>IF(ISTEXT(OrderTable[[#This Row],[PART CODE]]),OrderTable[[#This Row],[Order Qty]]*OrderTable[[#This Row],[Price / Ea]],"")</f>
        <v>115.95</v>
      </c>
      <c r="M8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7" s="192" t="str">
        <f>IFERROR(VLOOKUP(OrderTable[[#This Row],[PART CODE]],'Short-Long Transition'!A:I,9,0)," ")</f>
        <v xml:space="preserve"> </v>
      </c>
    </row>
    <row r="88" spans="1:15" x14ac:dyDescent="0.25">
      <c r="A88" s="111" t="s">
        <v>637</v>
      </c>
      <c r="B88" s="112">
        <v>1</v>
      </c>
      <c r="C88" s="109"/>
      <c r="D88" s="157" t="str">
        <f>IF(ISTEXT(OrderTable[[#This Row],[PART CODE]]),VLOOKUP(A88,'Price  List'!B:G,3,FALSE),"")</f>
        <v xml:space="preserve">SHELF /  FOLDING STATION 30" </v>
      </c>
      <c r="E88" s="157"/>
      <c r="F88" s="156" t="str">
        <f>OrderTable[[#This Row],[PART CODE]]</f>
        <v>310.6110.30.SLA.MG</v>
      </c>
      <c r="G88" s="191">
        <f>IF(ISTEXT(OrderTable[[#This Row],[PART CODE]]),VLOOKUP(A88,'Price  List'!B:G,6,FALSE),"")</f>
        <v>92.03</v>
      </c>
      <c r="H88" s="158">
        <f>IF(ISTEXT(OrderTable[[#This Row],[PART CODE]]),VLOOKUP(A88,'Price  List'!B:G,5,FALSE),"")</f>
        <v>1</v>
      </c>
      <c r="I88"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88" s="158">
        <f>IF(ISTEXT(OrderTable[[#This Row],[PART CODE]]),IF((ROUND(OrderTable[[#This Row],[Order Qty]]/OrderTable[[#This Row],[Case Qty]],0))=OrderTable[[#This Row],[Order Qty]]/OrderTable[[#This Row],[Case Qty]],OrderTable[[#This Row],[Order Qty]]/OrderTable[[#This Row],[Case Qty]],OrderTable[[#This Row],[Order Qty]]),"")</f>
        <v>1</v>
      </c>
      <c r="K88" s="158" t="str">
        <f>IF(ISTEXT(OrderTable[[#This Row],[PART CODE]]),IF(OrderTable[[#This Row],[PART CODE]]="300.3712.GLV","PL",IF((ROUND(OrderTable[[#This Row],[Order Qty]]/OrderTable[[#This Row],[Case Qty]],0))=OrderTable[[#This Row],[Order Qty]]/OrderTable[[#This Row],[Case Qty]],"BOX","EA")),"")</f>
        <v>BOX</v>
      </c>
      <c r="L88" s="160">
        <f>IF(ISTEXT(OrderTable[[#This Row],[PART CODE]]),OrderTable[[#This Row],[Order Qty]]*OrderTable[[#This Row],[Price / Ea]],"")</f>
        <v>92.03</v>
      </c>
      <c r="M8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8" s="192" t="str">
        <f>IFERROR(VLOOKUP(OrderTable[[#This Row],[PART CODE]],'Short-Long Transition'!A:I,9,0)," ")</f>
        <v xml:space="preserve"> </v>
      </c>
    </row>
    <row r="89" spans="1:15" x14ac:dyDescent="0.25">
      <c r="A89" s="111" t="s">
        <v>1199</v>
      </c>
      <c r="B89" s="112">
        <v>1</v>
      </c>
      <c r="C89" s="109"/>
      <c r="D89" s="157" t="str">
        <f>IF(ISTEXT(OrderTable[[#This Row],[PART CODE]]),VLOOKUP(A89,'Price  List'!B:G,3,FALSE),"")</f>
        <v>Everstyle w/Integrated Pull 14 Deep Divided Basket, 36" W, Gold w Winter</v>
      </c>
      <c r="E89" s="157"/>
      <c r="F89" s="156" t="str">
        <f>OrderTable[[#This Row],[PART CODE]]</f>
        <v>310.1810.36.WIN.MG</v>
      </c>
      <c r="G89" s="191">
        <f>IF(ISTEXT(OrderTable[[#This Row],[PART CODE]]),VLOOKUP(A89,'Price  List'!B:G,6,FALSE),"")</f>
        <v>218.15</v>
      </c>
      <c r="H89" s="158">
        <f>IF(ISTEXT(OrderTable[[#This Row],[PART CODE]]),VLOOKUP(A89,'Price  List'!B:G,5,FALSE),"")</f>
        <v>1</v>
      </c>
      <c r="I89"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89" s="158">
        <f>IF(ISTEXT(OrderTable[[#This Row],[PART CODE]]),IF((ROUND(OrderTable[[#This Row],[Order Qty]]/OrderTable[[#This Row],[Case Qty]],0))=OrderTable[[#This Row],[Order Qty]]/OrderTable[[#This Row],[Case Qty]],OrderTable[[#This Row],[Order Qty]]/OrderTable[[#This Row],[Case Qty]],OrderTable[[#This Row],[Order Qty]]),"")</f>
        <v>1</v>
      </c>
      <c r="K89" s="158" t="str">
        <f>IF(ISTEXT(OrderTable[[#This Row],[PART CODE]]),IF(OrderTable[[#This Row],[PART CODE]]="300.3712.GLV","PL",IF((ROUND(OrderTable[[#This Row],[Order Qty]]/OrderTable[[#This Row],[Case Qty]],0))=OrderTable[[#This Row],[Order Qty]]/OrderTable[[#This Row],[Case Qty]],"BOX","EA")),"")</f>
        <v>BOX</v>
      </c>
      <c r="L89" s="160">
        <f>IF(ISTEXT(OrderTable[[#This Row],[PART CODE]]),OrderTable[[#This Row],[Order Qty]]*OrderTable[[#This Row],[Price / Ea]],"")</f>
        <v>218.15</v>
      </c>
      <c r="M8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9" s="192" t="str">
        <f>IFERROR(VLOOKUP(OrderTable[[#This Row],[PART CODE]],'Short-Long Transition'!A:I,9,0)," ")</f>
        <v xml:space="preserve"> </v>
      </c>
    </row>
    <row r="90" spans="1:15" x14ac:dyDescent="0.25">
      <c r="A90" s="111" t="s">
        <v>993</v>
      </c>
      <c r="B90" s="112">
        <v>1</v>
      </c>
      <c r="C90" s="109"/>
      <c r="D90" s="157" t="str">
        <f>IF(ISTEXT(OrderTable[[#This Row],[PART CODE]]),VLOOKUP(A90,'Price  List'!B:G,3,FALSE),"")</f>
        <v>Everstyle w/Integrated Pull 14 Tie &amp; Belt Drawer, 30" W, Graphite w Oyster</v>
      </c>
      <c r="E90" s="157"/>
      <c r="F90" s="156" t="str">
        <f>OrderTable[[#This Row],[PART CODE]]</f>
        <v>310.1600.30.OYS.SG</v>
      </c>
      <c r="G90" s="191">
        <f>IF(ISTEXT(OrderTable[[#This Row],[PART CODE]]),VLOOKUP(A90,'Price  List'!B:G,6,FALSE),"")</f>
        <v>218.15</v>
      </c>
      <c r="H90" s="158">
        <f>IF(ISTEXT(OrderTable[[#This Row],[PART CODE]]),VLOOKUP(A90,'Price  List'!B:G,5,FALSE),"")</f>
        <v>1</v>
      </c>
      <c r="I90"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90" s="158">
        <f>IF(ISTEXT(OrderTable[[#This Row],[PART CODE]]),IF((ROUND(OrderTable[[#This Row],[Order Qty]]/OrderTable[[#This Row],[Case Qty]],0))=OrderTable[[#This Row],[Order Qty]]/OrderTable[[#This Row],[Case Qty]],OrderTable[[#This Row],[Order Qty]]/OrderTable[[#This Row],[Case Qty]],OrderTable[[#This Row],[Order Qty]]),"")</f>
        <v>1</v>
      </c>
      <c r="K90" s="158" t="str">
        <f>IF(ISTEXT(OrderTable[[#This Row],[PART CODE]]),IF(OrderTable[[#This Row],[PART CODE]]="300.3712.GLV","PL",IF((ROUND(OrderTable[[#This Row],[Order Qty]]/OrderTable[[#This Row],[Case Qty]],0))=OrderTable[[#This Row],[Order Qty]]/OrderTable[[#This Row],[Case Qty]],"BOX","EA")),"")</f>
        <v>BOX</v>
      </c>
      <c r="L90" s="160">
        <f>IF(ISTEXT(OrderTable[[#This Row],[PART CODE]]),OrderTable[[#This Row],[Order Qty]]*OrderTable[[#This Row],[Price / Ea]],"")</f>
        <v>218.15</v>
      </c>
      <c r="M9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0" s="192" t="str">
        <f>IFERROR(VLOOKUP(OrderTable[[#This Row],[PART CODE]],'Short-Long Transition'!A:I,9,0)," ")</f>
        <v xml:space="preserve"> </v>
      </c>
    </row>
    <row r="91" spans="1:15" x14ac:dyDescent="0.25">
      <c r="A91" s="111" t="s">
        <v>1673</v>
      </c>
      <c r="B91" s="112">
        <v>1</v>
      </c>
      <c r="C91" s="109"/>
      <c r="D91" s="157" t="str">
        <f>IF(ISTEXT(OrderTable[[#This Row],[PART CODE]]),VLOOKUP(A91,'Price  List'!B:G,3,FALSE),"")</f>
        <v>Everstyle Glass Front - short 30" W</v>
      </c>
      <c r="E91" s="157"/>
      <c r="F91" s="156" t="str">
        <f>OrderTable[[#This Row],[PART CODE]]</f>
        <v>310.2670.30</v>
      </c>
      <c r="G91" s="191">
        <f>IF(ISTEXT(OrderTable[[#This Row],[PART CODE]]),VLOOKUP(A91,'Price  List'!B:G,6,FALSE),"")</f>
        <v>50.24</v>
      </c>
      <c r="H91" s="158">
        <f>IF(ISTEXT(OrderTable[[#This Row],[PART CODE]]),VLOOKUP(A91,'Price  List'!B:G,5,FALSE),"")</f>
        <v>1</v>
      </c>
      <c r="I91"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91" s="158">
        <f>IF(ISTEXT(OrderTable[[#This Row],[PART CODE]]),IF((ROUND(OrderTable[[#This Row],[Order Qty]]/OrderTable[[#This Row],[Case Qty]],0))=OrderTable[[#This Row],[Order Qty]]/OrderTable[[#This Row],[Case Qty]],OrderTable[[#This Row],[Order Qty]]/OrderTable[[#This Row],[Case Qty]],OrderTable[[#This Row],[Order Qty]]),"")</f>
        <v>1</v>
      </c>
      <c r="K91" s="158" t="str">
        <f>IF(ISTEXT(OrderTable[[#This Row],[PART CODE]]),IF(OrderTable[[#This Row],[PART CODE]]="300.3712.GLV","PL",IF((ROUND(OrderTable[[#This Row],[Order Qty]]/OrderTable[[#This Row],[Case Qty]],0))=OrderTable[[#This Row],[Order Qty]]/OrderTable[[#This Row],[Case Qty]],"BOX","EA")),"")</f>
        <v>BOX</v>
      </c>
      <c r="L91" s="160">
        <f>IF(ISTEXT(OrderTable[[#This Row],[PART CODE]]),OrderTable[[#This Row],[Order Qty]]*OrderTable[[#This Row],[Price / Ea]],"")</f>
        <v>50.24</v>
      </c>
      <c r="M9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1" s="192" t="str">
        <f>IFERROR(VLOOKUP(OrderTable[[#This Row],[PART CODE]],'Short-Long Transition'!A:I,9,0)," ")</f>
        <v xml:space="preserve"> </v>
      </c>
    </row>
    <row r="92" spans="1:15" x14ac:dyDescent="0.25">
      <c r="A92" s="111" t="s">
        <v>7694</v>
      </c>
      <c r="B92" s="112">
        <v>2</v>
      </c>
      <c r="C92" s="109"/>
      <c r="D92" s="157" t="str">
        <f>IF(ISTEXT(OrderTable[[#This Row],[PART CODE]]),VLOOKUP(A92,'Price  List'!B:G,3,FALSE),"")</f>
        <v>Elite Traditional Round Handle 256mm MG w screw</v>
      </c>
      <c r="E92" s="157"/>
      <c r="F92" s="156" t="str">
        <f>OrderTable[[#This Row],[PART CODE]]</f>
        <v>300.3219.256.MG</v>
      </c>
      <c r="G92" s="191">
        <f>IF(ISTEXT(OrderTable[[#This Row],[PART CODE]]),VLOOKUP(A92,'Price  List'!B:G,6,FALSE),"")</f>
        <v>14.03</v>
      </c>
      <c r="H92" s="158">
        <f>IF(ISTEXT(OrderTable[[#This Row],[PART CODE]]),VLOOKUP(A92,'Price  List'!B:G,5,FALSE),"")</f>
        <v>20</v>
      </c>
      <c r="I92"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20</v>
      </c>
      <c r="J92" s="158">
        <f>IF(ISTEXT(OrderTable[[#This Row],[PART CODE]]),IF((ROUND(OrderTable[[#This Row],[Order Qty]]/OrderTable[[#This Row],[Case Qty]],0))=OrderTable[[#This Row],[Order Qty]]/OrderTable[[#This Row],[Case Qty]],OrderTable[[#This Row],[Order Qty]]/OrderTable[[#This Row],[Case Qty]],OrderTable[[#This Row],[Order Qty]]),"")</f>
        <v>1</v>
      </c>
      <c r="K92" s="158" t="str">
        <f>IF(ISTEXT(OrderTable[[#This Row],[PART CODE]]),IF(OrderTable[[#This Row],[PART CODE]]="300.3712.GLV","PL",IF((ROUND(OrderTable[[#This Row],[Order Qty]]/OrderTable[[#This Row],[Case Qty]],0))=OrderTable[[#This Row],[Order Qty]]/OrderTable[[#This Row],[Case Qty]],"BOX","EA")),"")</f>
        <v>BOX</v>
      </c>
      <c r="L92" s="160">
        <f>IF(ISTEXT(OrderTable[[#This Row],[PART CODE]]),OrderTable[[#This Row],[Order Qty]]*OrderTable[[#This Row],[Price / Ea]],"")</f>
        <v>280.59999999999997</v>
      </c>
      <c r="M9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92" s="192" t="str">
        <f>IFERROR(VLOOKUP(OrderTable[[#This Row],[PART CODE]],'Short-Long Transition'!A:I,9,0)," ")</f>
        <v xml:space="preserve"> </v>
      </c>
    </row>
    <row r="93" spans="1:15" x14ac:dyDescent="0.25">
      <c r="A93" s="111" t="s">
        <v>776</v>
      </c>
      <c r="B93" s="112">
        <v>1</v>
      </c>
      <c r="C93" s="109"/>
      <c r="D93" s="157" t="str">
        <f>IF(ISTEXT(OrderTable[[#This Row],[PART CODE]]),VLOOKUP(A93,'Price  List'!B:G,3,FALSE),"")</f>
        <v>LAUNDRY ORGANIZER - 30"</v>
      </c>
      <c r="E93" s="157"/>
      <c r="F93" s="156" t="str">
        <f>OrderTable[[#This Row],[PART CODE]]</f>
        <v>310.6530.30.SLA.MAL</v>
      </c>
      <c r="G93" s="191">
        <f>IF(ISTEXT(OrderTable[[#This Row],[PART CODE]]),VLOOKUP(A93,'Price  List'!B:G,6,FALSE),"")</f>
        <v>147.96</v>
      </c>
      <c r="H93" s="158">
        <f>IF(ISTEXT(OrderTable[[#This Row],[PART CODE]]),VLOOKUP(A93,'Price  List'!B:G,5,FALSE),"")</f>
        <v>1</v>
      </c>
      <c r="I93"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93" s="158">
        <f>IF(ISTEXT(OrderTable[[#This Row],[PART CODE]]),IF((ROUND(OrderTable[[#This Row],[Order Qty]]/OrderTable[[#This Row],[Case Qty]],0))=OrderTable[[#This Row],[Order Qty]]/OrderTable[[#This Row],[Case Qty]],OrderTable[[#This Row],[Order Qty]]/OrderTable[[#This Row],[Case Qty]],OrderTable[[#This Row],[Order Qty]]),"")</f>
        <v>1</v>
      </c>
      <c r="K93" s="158" t="str">
        <f>IF(ISTEXT(OrderTable[[#This Row],[PART CODE]]),IF(OrderTable[[#This Row],[PART CODE]]="300.3712.GLV","PL",IF((ROUND(OrderTable[[#This Row],[Order Qty]]/OrderTable[[#This Row],[Case Qty]],0))=OrderTable[[#This Row],[Order Qty]]/OrderTable[[#This Row],[Case Qty]],"BOX","EA")),"")</f>
        <v>BOX</v>
      </c>
      <c r="L93" s="160">
        <f>IF(ISTEXT(OrderTable[[#This Row],[PART CODE]]),OrderTable[[#This Row],[Order Qty]]*OrderTable[[#This Row],[Price / Ea]],"")</f>
        <v>147.96</v>
      </c>
      <c r="M9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3" s="192" t="str">
        <f>IFERROR(VLOOKUP(OrderTable[[#This Row],[PART CODE]],'Short-Long Transition'!A:I,9,0)," ")</f>
        <v xml:space="preserve"> </v>
      </c>
    </row>
    <row r="94" spans="1:15" x14ac:dyDescent="0.25">
      <c r="A94" s="111" t="s">
        <v>1413</v>
      </c>
      <c r="B94" s="112">
        <v>1</v>
      </c>
      <c r="C94" s="109"/>
      <c r="D94" s="157" t="str">
        <f>IF(ISTEXT(OrderTable[[#This Row],[PART CODE]]),VLOOKUP(A94,'Price  List'!B:G,3,FALSE),"")</f>
        <v>Everstyle w/Integrated Pull 20 Tie &amp; Belt Drawer, 30" W, Matte Aluminum w Oyster</v>
      </c>
      <c r="E94" s="157"/>
      <c r="F94" s="156" t="str">
        <f>OrderTable[[#This Row],[PART CODE]]</f>
        <v>310.2600.30.OYS.MAL</v>
      </c>
      <c r="G94" s="191">
        <f>IF(ISTEXT(OrderTable[[#This Row],[PART CODE]]),VLOOKUP(A94,'Price  List'!B:G,6,FALSE),"")</f>
        <v>284.26</v>
      </c>
      <c r="H94" s="158">
        <f>IF(ISTEXT(OrderTable[[#This Row],[PART CODE]]),VLOOKUP(A94,'Price  List'!B:G,5,FALSE),"")</f>
        <v>1</v>
      </c>
      <c r="I94"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94" s="158">
        <f>IF(ISTEXT(OrderTable[[#This Row],[PART CODE]]),IF((ROUND(OrderTable[[#This Row],[Order Qty]]/OrderTable[[#This Row],[Case Qty]],0))=OrderTable[[#This Row],[Order Qty]]/OrderTable[[#This Row],[Case Qty]],OrderTable[[#This Row],[Order Qty]]/OrderTable[[#This Row],[Case Qty]],OrderTable[[#This Row],[Order Qty]]),"")</f>
        <v>1</v>
      </c>
      <c r="K94" s="158" t="str">
        <f>IF(ISTEXT(OrderTable[[#This Row],[PART CODE]]),IF(OrderTable[[#This Row],[PART CODE]]="300.3712.GLV","PL",IF((ROUND(OrderTable[[#This Row],[Order Qty]]/OrderTable[[#This Row],[Case Qty]],0))=OrderTable[[#This Row],[Order Qty]]/OrderTable[[#This Row],[Case Qty]],"BOX","EA")),"")</f>
        <v>BOX</v>
      </c>
      <c r="L94" s="160">
        <f>IF(ISTEXT(OrderTable[[#This Row],[PART CODE]]),OrderTable[[#This Row],[Order Qty]]*OrderTable[[#This Row],[Price / Ea]],"")</f>
        <v>284.26</v>
      </c>
      <c r="M9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4" s="192" t="str">
        <f>IFERROR(VLOOKUP(OrderTable[[#This Row],[PART CODE]],'Short-Long Transition'!A:I,9,0)," ")</f>
        <v xml:space="preserve"> </v>
      </c>
    </row>
    <row r="95" spans="1:15" x14ac:dyDescent="0.25">
      <c r="A95" s="111" t="s">
        <v>1716</v>
      </c>
      <c r="B95" s="112">
        <v>1</v>
      </c>
      <c r="C95" s="109"/>
      <c r="D95" s="157" t="str">
        <f>IF(ISTEXT(OrderTable[[#This Row],[PART CODE]]),VLOOKUP(A95,'Price  List'!B:G,3,FALSE),"")</f>
        <v>Everstyle 20 Glass Shelf, 30" W, Warm White w Matte Aluminum</v>
      </c>
      <c r="E95" s="157"/>
      <c r="F95" s="156" t="str">
        <f>OrderTable[[#This Row],[PART CODE]]</f>
        <v>310.2200.30.3K.MAL</v>
      </c>
      <c r="G95" s="191">
        <f>IF(ISTEXT(OrderTable[[#This Row],[PART CODE]]),VLOOKUP(A95,'Price  List'!B:G,6,FALSE),"")</f>
        <v>163.25</v>
      </c>
      <c r="H95" s="158">
        <f>IF(ISTEXT(OrderTable[[#This Row],[PART CODE]]),VLOOKUP(A95,'Price  List'!B:G,5,FALSE),"")</f>
        <v>1</v>
      </c>
      <c r="I95"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95" s="158">
        <f>IF(ISTEXT(OrderTable[[#This Row],[PART CODE]]),IF((ROUND(OrderTable[[#This Row],[Order Qty]]/OrderTable[[#This Row],[Case Qty]],0))=OrderTable[[#This Row],[Order Qty]]/OrderTable[[#This Row],[Case Qty]],OrderTable[[#This Row],[Order Qty]]/OrderTable[[#This Row],[Case Qty]],OrderTable[[#This Row],[Order Qty]]),"")</f>
        <v>1</v>
      </c>
      <c r="K95" s="158" t="str">
        <f>IF(ISTEXT(OrderTable[[#This Row],[PART CODE]]),IF(OrderTable[[#This Row],[PART CODE]]="300.3712.GLV","PL",IF((ROUND(OrderTable[[#This Row],[Order Qty]]/OrderTable[[#This Row],[Case Qty]],0))=OrderTable[[#This Row],[Order Qty]]/OrderTable[[#This Row],[Case Qty]],"BOX","EA")),"")</f>
        <v>BOX</v>
      </c>
      <c r="L95" s="160">
        <f>IF(ISTEXT(OrderTable[[#This Row],[PART CODE]]),OrderTable[[#This Row],[Order Qty]]*OrderTable[[#This Row],[Price / Ea]],"")</f>
        <v>163.25</v>
      </c>
      <c r="M9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5" s="192" t="str">
        <f>IFERROR(VLOOKUP(OrderTable[[#This Row],[PART CODE]],'Short-Long Transition'!A:I,9,0)," ")</f>
        <v xml:space="preserve"> </v>
      </c>
    </row>
    <row r="96" spans="1:15" x14ac:dyDescent="0.25">
      <c r="A96" s="111" t="s">
        <v>762</v>
      </c>
      <c r="B96" s="112">
        <v>1</v>
      </c>
      <c r="C96" s="109"/>
      <c r="D96" s="157" t="str">
        <f>IF(ISTEXT(OrderTable[[#This Row],[PART CODE]]),VLOOKUP(A96,'Price  List'!B:G,3,FALSE),"")</f>
        <v xml:space="preserve">PULL-OUT SHOE ORGANIZER - 24" </v>
      </c>
      <c r="E96" s="157"/>
      <c r="F96" s="156" t="str">
        <f>OrderTable[[#This Row],[PART CODE]]</f>
        <v>310.6410.24.SLA.SG</v>
      </c>
      <c r="G96" s="191">
        <f>IF(ISTEXT(OrderTable[[#This Row],[PART CODE]]),VLOOKUP(A96,'Price  List'!B:G,6,FALSE),"")</f>
        <v>120.91</v>
      </c>
      <c r="H96" s="158">
        <f>IF(ISTEXT(OrderTable[[#This Row],[PART CODE]]),VLOOKUP(A96,'Price  List'!B:G,5,FALSE),"")</f>
        <v>1</v>
      </c>
      <c r="I96"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96" s="158">
        <f>IF(ISTEXT(OrderTable[[#This Row],[PART CODE]]),IF((ROUND(OrderTable[[#This Row],[Order Qty]]/OrderTable[[#This Row],[Case Qty]],0))=OrderTable[[#This Row],[Order Qty]]/OrderTable[[#This Row],[Case Qty]],OrderTable[[#This Row],[Order Qty]]/OrderTable[[#This Row],[Case Qty]],OrderTable[[#This Row],[Order Qty]]),"")</f>
        <v>1</v>
      </c>
      <c r="K96" s="158" t="str">
        <f>IF(ISTEXT(OrderTable[[#This Row],[PART CODE]]),IF(OrderTable[[#This Row],[PART CODE]]="300.3712.GLV","PL",IF((ROUND(OrderTable[[#This Row],[Order Qty]]/OrderTable[[#This Row],[Case Qty]],0))=OrderTable[[#This Row],[Order Qty]]/OrderTable[[#This Row],[Case Qty]],"BOX","EA")),"")</f>
        <v>BOX</v>
      </c>
      <c r="L96" s="160">
        <f>IF(ISTEXT(OrderTable[[#This Row],[PART CODE]]),OrderTable[[#This Row],[Order Qty]]*OrderTable[[#This Row],[Price / Ea]],"")</f>
        <v>120.91</v>
      </c>
      <c r="M9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6" s="192" t="str">
        <f>IFERROR(VLOOKUP(OrderTable[[#This Row],[PART CODE]],'Short-Long Transition'!A:I,9,0)," ")</f>
        <v xml:space="preserve"> </v>
      </c>
    </row>
    <row r="97" spans="1:15" x14ac:dyDescent="0.25">
      <c r="A97" s="111" t="s">
        <v>8448</v>
      </c>
      <c r="B97" s="112">
        <v>5</v>
      </c>
      <c r="C97" s="109"/>
      <c r="D97" s="157" t="str">
        <f>IF(ISTEXT(OrderTable[[#This Row],[PART CODE]]),VLOOKUP(A97,'Price  List'!B:G,3,FALSE),"")</f>
        <v>Wall Mount Organizer, Shoe Hook, Black</v>
      </c>
      <c r="E97" s="157"/>
      <c r="F97" s="156" t="str">
        <f>OrderTable[[#This Row],[PART CODE]]</f>
        <v>310.8218.05.blk</v>
      </c>
      <c r="G97" s="191">
        <f>IF(ISTEXT(OrderTable[[#This Row],[PART CODE]]),VLOOKUP(A97,'Price  List'!B:G,6,FALSE),"")</f>
        <v>10.61</v>
      </c>
      <c r="H97" s="158">
        <f>IF(ISTEXT(OrderTable[[#This Row],[PART CODE]]),VLOOKUP(A97,'Price  List'!B:G,5,FALSE),"")</f>
        <v>4</v>
      </c>
      <c r="I97"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8</v>
      </c>
      <c r="J97" s="158">
        <f>IF(ISTEXT(OrderTable[[#This Row],[PART CODE]]),IF((ROUND(OrderTable[[#This Row],[Order Qty]]/OrderTable[[#This Row],[Case Qty]],0))=OrderTable[[#This Row],[Order Qty]]/OrderTable[[#This Row],[Case Qty]],OrderTable[[#This Row],[Order Qty]]/OrderTable[[#This Row],[Case Qty]],OrderTable[[#This Row],[Order Qty]]),"")</f>
        <v>2</v>
      </c>
      <c r="K97" s="158" t="str">
        <f>IF(ISTEXT(OrderTable[[#This Row],[PART CODE]]),IF(OrderTable[[#This Row],[PART CODE]]="300.3712.GLV","PL",IF((ROUND(OrderTable[[#This Row],[Order Qty]]/OrderTable[[#This Row],[Case Qty]],0))=OrderTable[[#This Row],[Order Qty]]/OrderTable[[#This Row],[Case Qty]],"BOX","EA")),"")</f>
        <v>BOX</v>
      </c>
      <c r="L97" s="160">
        <f>IF(ISTEXT(OrderTable[[#This Row],[PART CODE]]),OrderTable[[#This Row],[Order Qty]]*OrderTable[[#This Row],[Price / Ea]],"")</f>
        <v>84.88</v>
      </c>
      <c r="M9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97" s="192" t="str">
        <f>IFERROR(VLOOKUP(OrderTable[[#This Row],[PART CODE]],'Short-Long Transition'!A:I,9,0)," ")</f>
        <v xml:space="preserve"> </v>
      </c>
    </row>
    <row r="98" spans="1:15" x14ac:dyDescent="0.25">
      <c r="A98" s="111" t="s">
        <v>8449</v>
      </c>
      <c r="B98" s="112">
        <v>17</v>
      </c>
      <c r="C98" s="109"/>
      <c r="D98" s="157" t="str">
        <f>IF(ISTEXT(OrderTable[[#This Row],[PART CODE]]),VLOOKUP(A98,'Price  List'!B:G,3,FALSE),"")</f>
        <v>Wall Mount Organizer, Shoe Hook, Matte Aluminum</v>
      </c>
      <c r="E98" s="157"/>
      <c r="F98" s="156" t="str">
        <f>OrderTable[[#This Row],[PART CODE]]</f>
        <v>310.8218.05.mal</v>
      </c>
      <c r="G98" s="191">
        <f>IF(ISTEXT(OrderTable[[#This Row],[PART CODE]]),VLOOKUP(A98,'Price  List'!B:G,6,FALSE),"")</f>
        <v>10.61</v>
      </c>
      <c r="H98" s="158">
        <f>IF(ISTEXT(OrderTable[[#This Row],[PART CODE]]),VLOOKUP(A98,'Price  List'!B:G,5,FALSE),"")</f>
        <v>4</v>
      </c>
      <c r="I98"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20</v>
      </c>
      <c r="J98" s="158">
        <f>IF(ISTEXT(OrderTable[[#This Row],[PART CODE]]),IF((ROUND(OrderTable[[#This Row],[Order Qty]]/OrderTable[[#This Row],[Case Qty]],0))=OrderTable[[#This Row],[Order Qty]]/OrderTable[[#This Row],[Case Qty]],OrderTable[[#This Row],[Order Qty]]/OrderTable[[#This Row],[Case Qty]],OrderTable[[#This Row],[Order Qty]]),"")</f>
        <v>5</v>
      </c>
      <c r="K98" s="158" t="str">
        <f>IF(ISTEXT(OrderTable[[#This Row],[PART CODE]]),IF(OrderTable[[#This Row],[PART CODE]]="300.3712.GLV","PL",IF((ROUND(OrderTable[[#This Row],[Order Qty]]/OrderTable[[#This Row],[Case Qty]],0))=OrderTable[[#This Row],[Order Qty]]/OrderTable[[#This Row],[Case Qty]],"BOX","EA")),"")</f>
        <v>BOX</v>
      </c>
      <c r="L98" s="160">
        <f>IF(ISTEXT(OrderTable[[#This Row],[PART CODE]]),OrderTable[[#This Row],[Order Qty]]*OrderTable[[#This Row],[Price / Ea]],"")</f>
        <v>212.2</v>
      </c>
      <c r="M9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98" s="192" t="str">
        <f>IFERROR(VLOOKUP(OrderTable[[#This Row],[PART CODE]],'Short-Long Transition'!A:I,9,0)," ")</f>
        <v xml:space="preserve"> </v>
      </c>
    </row>
    <row r="99" spans="1:15" x14ac:dyDescent="0.25">
      <c r="A99" s="111" t="s">
        <v>8450</v>
      </c>
      <c r="B99" s="112">
        <v>13</v>
      </c>
      <c r="C99" s="109"/>
      <c r="D99" s="157" t="str">
        <f>IF(ISTEXT(OrderTable[[#This Row],[PART CODE]]),VLOOKUP(A99,'Price  List'!B:G,3,FALSE),"")</f>
        <v>Wall Mount Organizer, Shoe Hook, Graphite</v>
      </c>
      <c r="E99" s="157"/>
      <c r="F99" s="156" t="str">
        <f>OrderTable[[#This Row],[PART CODE]]</f>
        <v>310.8218.05.sg</v>
      </c>
      <c r="G99" s="191">
        <f>IF(ISTEXT(OrderTable[[#This Row],[PART CODE]]),VLOOKUP(A99,'Price  List'!B:G,6,FALSE),"")</f>
        <v>10.61</v>
      </c>
      <c r="H99" s="158">
        <f>IF(ISTEXT(OrderTable[[#This Row],[PART CODE]]),VLOOKUP(A99,'Price  List'!B:G,5,FALSE),"")</f>
        <v>4</v>
      </c>
      <c r="I99"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16</v>
      </c>
      <c r="J99" s="158">
        <f>IF(ISTEXT(OrderTable[[#This Row],[PART CODE]]),IF((ROUND(OrderTable[[#This Row],[Order Qty]]/OrderTable[[#This Row],[Case Qty]],0))=OrderTable[[#This Row],[Order Qty]]/OrderTable[[#This Row],[Case Qty]],OrderTable[[#This Row],[Order Qty]]/OrderTable[[#This Row],[Case Qty]],OrderTable[[#This Row],[Order Qty]]),"")</f>
        <v>4</v>
      </c>
      <c r="K99" s="158" t="str">
        <f>IF(ISTEXT(OrderTable[[#This Row],[PART CODE]]),IF(OrderTable[[#This Row],[PART CODE]]="300.3712.GLV","PL",IF((ROUND(OrderTable[[#This Row],[Order Qty]]/OrderTable[[#This Row],[Case Qty]],0))=OrderTable[[#This Row],[Order Qty]]/OrderTable[[#This Row],[Case Qty]],"BOX","EA")),"")</f>
        <v>BOX</v>
      </c>
      <c r="L99" s="160">
        <f>IF(ISTEXT(OrderTable[[#This Row],[PART CODE]]),OrderTable[[#This Row],[Order Qty]]*OrderTable[[#This Row],[Price / Ea]],"")</f>
        <v>169.76</v>
      </c>
      <c r="M9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99" s="192" t="str">
        <f>IFERROR(VLOOKUP(OrderTable[[#This Row],[PART CODE]],'Short-Long Transition'!A:I,9,0)," ")</f>
        <v xml:space="preserve"> </v>
      </c>
    </row>
    <row r="100" spans="1:15" x14ac:dyDescent="0.25">
      <c r="A100" s="111" t="s">
        <v>8451</v>
      </c>
      <c r="B100" s="112">
        <v>15</v>
      </c>
      <c r="C100" s="109"/>
      <c r="D100" s="157" t="str">
        <f>IF(ISTEXT(OrderTable[[#This Row],[PART CODE]]),VLOOKUP(A100,'Price  List'!B:G,3,FALSE),"")</f>
        <v>Wall Mount Organizer, Shoe Hook, Gold</v>
      </c>
      <c r="E100" s="157"/>
      <c r="F100" s="156" t="str">
        <f>OrderTable[[#This Row],[PART CODE]]</f>
        <v>310.8218.05.mg</v>
      </c>
      <c r="G100" s="191">
        <f>IF(ISTEXT(OrderTable[[#This Row],[PART CODE]]),VLOOKUP(A100,'Price  List'!B:G,6,FALSE),"")</f>
        <v>10.61</v>
      </c>
      <c r="H100" s="158">
        <f>IF(ISTEXT(OrderTable[[#This Row],[PART CODE]]),VLOOKUP(A100,'Price  List'!B:G,5,FALSE),"")</f>
        <v>4</v>
      </c>
      <c r="I100"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16</v>
      </c>
      <c r="J100" s="158">
        <f>IF(ISTEXT(OrderTable[[#This Row],[PART CODE]]),IF((ROUND(OrderTable[[#This Row],[Order Qty]]/OrderTable[[#This Row],[Case Qty]],0))=OrderTable[[#This Row],[Order Qty]]/OrderTable[[#This Row],[Case Qty]],OrderTable[[#This Row],[Order Qty]]/OrderTable[[#This Row],[Case Qty]],OrderTable[[#This Row],[Order Qty]]),"")</f>
        <v>4</v>
      </c>
      <c r="K100" s="158" t="str">
        <f>IF(ISTEXT(OrderTable[[#This Row],[PART CODE]]),IF(OrderTable[[#This Row],[PART CODE]]="300.3712.GLV","PL",IF((ROUND(OrderTable[[#This Row],[Order Qty]]/OrderTable[[#This Row],[Case Qty]],0))=OrderTable[[#This Row],[Order Qty]]/OrderTable[[#This Row],[Case Qty]],"BOX","EA")),"")</f>
        <v>BOX</v>
      </c>
      <c r="L100" s="160">
        <f>IF(ISTEXT(OrderTable[[#This Row],[PART CODE]]),OrderTable[[#This Row],[Order Qty]]*OrderTable[[#This Row],[Price / Ea]],"")</f>
        <v>169.76</v>
      </c>
      <c r="M10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100" s="192" t="str">
        <f>IFERROR(VLOOKUP(OrderTable[[#This Row],[PART CODE]],'Short-Long Transition'!A:I,9,0)," ")</f>
        <v xml:space="preserve"> </v>
      </c>
    </row>
    <row r="101" spans="1:15" x14ac:dyDescent="0.25">
      <c r="A101" s="111" t="s">
        <v>8452</v>
      </c>
      <c r="B101" s="112">
        <v>15</v>
      </c>
      <c r="C101" s="109"/>
      <c r="D101" s="157" t="str">
        <f>IF(ISTEXT(OrderTable[[#This Row],[PART CODE]]),VLOOKUP(A101,'Price  List'!B:G,3,FALSE),"")</f>
        <v>Wall Mount Organizer, Coat Hook, Matte Aluminum</v>
      </c>
      <c r="E101" s="157"/>
      <c r="F101" s="156" t="str">
        <f>OrderTable[[#This Row],[PART CODE]]</f>
        <v>310.8215.mal</v>
      </c>
      <c r="G101" s="191">
        <f>IF(ISTEXT(OrderTable[[#This Row],[PART CODE]]),VLOOKUP(A101,'Price  List'!B:G,6,FALSE),"")</f>
        <v>10.61</v>
      </c>
      <c r="H101" s="158">
        <f>IF(ISTEXT(OrderTable[[#This Row],[PART CODE]]),VLOOKUP(A101,'Price  List'!B:G,5,FALSE),"")</f>
        <v>4</v>
      </c>
      <c r="I101"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16</v>
      </c>
      <c r="J101" s="158">
        <f>IF(ISTEXT(OrderTable[[#This Row],[PART CODE]]),IF((ROUND(OrderTable[[#This Row],[Order Qty]]/OrderTable[[#This Row],[Case Qty]],0))=OrderTable[[#This Row],[Order Qty]]/OrderTable[[#This Row],[Case Qty]],OrderTable[[#This Row],[Order Qty]]/OrderTable[[#This Row],[Case Qty]],OrderTable[[#This Row],[Order Qty]]),"")</f>
        <v>4</v>
      </c>
      <c r="K101" s="158" t="str">
        <f>IF(ISTEXT(OrderTable[[#This Row],[PART CODE]]),IF(OrderTable[[#This Row],[PART CODE]]="300.3712.GLV","PL",IF((ROUND(OrderTable[[#This Row],[Order Qty]]/OrderTable[[#This Row],[Case Qty]],0))=OrderTable[[#This Row],[Order Qty]]/OrderTable[[#This Row],[Case Qty]],"BOX","EA")),"")</f>
        <v>BOX</v>
      </c>
      <c r="L101" s="160">
        <f>IF(ISTEXT(OrderTable[[#This Row],[PART CODE]]),OrderTable[[#This Row],[Order Qty]]*OrderTable[[#This Row],[Price / Ea]],"")</f>
        <v>169.76</v>
      </c>
      <c r="M10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101" s="192" t="str">
        <f>IFERROR(VLOOKUP(OrderTable[[#This Row],[PART CODE]],'Short-Long Transition'!A:I,9,0)," ")</f>
        <v xml:space="preserve"> </v>
      </c>
    </row>
    <row r="102" spans="1:15" x14ac:dyDescent="0.25">
      <c r="A102" s="111" t="s">
        <v>8453</v>
      </c>
      <c r="B102" s="112">
        <v>12</v>
      </c>
      <c r="C102" s="109"/>
      <c r="D102" s="157" t="str">
        <f>IF(ISTEXT(OrderTable[[#This Row],[PART CODE]]),VLOOKUP(A102,'Price  List'!B:G,3,FALSE),"")</f>
        <v>Wall Mount Organizer, Coat Hook, Graphite</v>
      </c>
      <c r="E102" s="157"/>
      <c r="F102" s="156" t="str">
        <f>OrderTable[[#This Row],[PART CODE]]</f>
        <v>310.8215.sg</v>
      </c>
      <c r="G102" s="191">
        <f>IF(ISTEXT(OrderTable[[#This Row],[PART CODE]]),VLOOKUP(A102,'Price  List'!B:G,6,FALSE),"")</f>
        <v>10.61</v>
      </c>
      <c r="H102" s="158">
        <f>IF(ISTEXT(OrderTable[[#This Row],[PART CODE]]),VLOOKUP(A102,'Price  List'!B:G,5,FALSE),"")</f>
        <v>4</v>
      </c>
      <c r="I102"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12</v>
      </c>
      <c r="J102" s="158">
        <f>IF(ISTEXT(OrderTable[[#This Row],[PART CODE]]),IF((ROUND(OrderTable[[#This Row],[Order Qty]]/OrderTable[[#This Row],[Case Qty]],0))=OrderTable[[#This Row],[Order Qty]]/OrderTable[[#This Row],[Case Qty]],OrderTable[[#This Row],[Order Qty]]/OrderTable[[#This Row],[Case Qty]],OrderTable[[#This Row],[Order Qty]]),"")</f>
        <v>3</v>
      </c>
      <c r="K102" s="158" t="str">
        <f>IF(ISTEXT(OrderTable[[#This Row],[PART CODE]]),IF(OrderTable[[#This Row],[PART CODE]]="300.3712.GLV","PL",IF((ROUND(OrderTable[[#This Row],[Order Qty]]/OrderTable[[#This Row],[Case Qty]],0))=OrderTable[[#This Row],[Order Qty]]/OrderTable[[#This Row],[Case Qty]],"BOX","EA")),"")</f>
        <v>BOX</v>
      </c>
      <c r="L102" s="160">
        <f>IF(ISTEXT(OrderTable[[#This Row],[PART CODE]]),OrderTable[[#This Row],[Order Qty]]*OrderTable[[#This Row],[Price / Ea]],"")</f>
        <v>127.32</v>
      </c>
      <c r="M10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2" s="192" t="str">
        <f>IFERROR(VLOOKUP(OrderTable[[#This Row],[PART CODE]],'Short-Long Transition'!A:I,9,0)," ")</f>
        <v xml:space="preserve"> </v>
      </c>
    </row>
    <row r="103" spans="1:15" x14ac:dyDescent="0.25">
      <c r="A103" s="111" t="s">
        <v>8454</v>
      </c>
      <c r="B103" s="112">
        <v>7</v>
      </c>
      <c r="C103" s="109"/>
      <c r="D103" s="157" t="str">
        <f>IF(ISTEXT(OrderTable[[#This Row],[PART CODE]]),VLOOKUP(A103,'Price  List'!B:G,3,FALSE),"")</f>
        <v>Wall Mount Organizer, Coat Hook, Gold</v>
      </c>
      <c r="E103" s="157"/>
      <c r="F103" s="156" t="str">
        <f>OrderTable[[#This Row],[PART CODE]]</f>
        <v>310.8215.mg</v>
      </c>
      <c r="G103" s="191">
        <f>IF(ISTEXT(OrderTable[[#This Row],[PART CODE]]),VLOOKUP(A103,'Price  List'!B:G,6,FALSE),"")</f>
        <v>10.61</v>
      </c>
      <c r="H103" s="158">
        <f>IF(ISTEXT(OrderTable[[#This Row],[PART CODE]]),VLOOKUP(A103,'Price  List'!B:G,5,FALSE),"")</f>
        <v>4</v>
      </c>
      <c r="I103"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8</v>
      </c>
      <c r="J103" s="158">
        <f>IF(ISTEXT(OrderTable[[#This Row],[PART CODE]]),IF((ROUND(OrderTable[[#This Row],[Order Qty]]/OrderTable[[#This Row],[Case Qty]],0))=OrderTable[[#This Row],[Order Qty]]/OrderTable[[#This Row],[Case Qty]],OrderTable[[#This Row],[Order Qty]]/OrderTable[[#This Row],[Case Qty]],OrderTable[[#This Row],[Order Qty]]),"")</f>
        <v>2</v>
      </c>
      <c r="K103" s="158" t="str">
        <f>IF(ISTEXT(OrderTable[[#This Row],[PART CODE]]),IF(OrderTable[[#This Row],[PART CODE]]="300.3712.GLV","PL",IF((ROUND(OrderTable[[#This Row],[Order Qty]]/OrderTable[[#This Row],[Case Qty]],0))=OrderTable[[#This Row],[Order Qty]]/OrderTable[[#This Row],[Case Qty]],"BOX","EA")),"")</f>
        <v>BOX</v>
      </c>
      <c r="L103" s="160">
        <f>IF(ISTEXT(OrderTable[[#This Row],[PART CODE]]),OrderTable[[#This Row],[Order Qty]]*OrderTable[[#This Row],[Price / Ea]],"")</f>
        <v>84.88</v>
      </c>
      <c r="M10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103" s="192" t="str">
        <f>IFERROR(VLOOKUP(OrderTable[[#This Row],[PART CODE]],'Short-Long Transition'!A:I,9,0)," ")</f>
        <v xml:space="preserve"> </v>
      </c>
    </row>
    <row r="104" spans="1:15" x14ac:dyDescent="0.25">
      <c r="A104" s="111" t="s">
        <v>8455</v>
      </c>
      <c r="B104" s="112">
        <v>3</v>
      </c>
      <c r="C104" s="109"/>
      <c r="D104" s="157" t="str">
        <f>IF(ISTEXT(OrderTable[[#This Row],[PART CODE]]),VLOOKUP(A104,'Price  List'!B:G,3,FALSE),"")</f>
        <v>Wall Mount Organizer, Triple Hook, Black</v>
      </c>
      <c r="E104" s="157"/>
      <c r="F104" s="156" t="str">
        <f>OrderTable[[#This Row],[PART CODE]]</f>
        <v>310.8201.05.blk</v>
      </c>
      <c r="G104" s="191">
        <f>IF(ISTEXT(OrderTable[[#This Row],[PART CODE]]),VLOOKUP(A104,'Price  List'!B:G,6,FALSE),"")</f>
        <v>7.06</v>
      </c>
      <c r="H104" s="158">
        <f>IF(ISTEXT(OrderTable[[#This Row],[PART CODE]]),VLOOKUP(A104,'Price  List'!B:G,5,FALSE),"")</f>
        <v>4</v>
      </c>
      <c r="I104"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4</v>
      </c>
      <c r="J104" s="158">
        <f>IF(ISTEXT(OrderTable[[#This Row],[PART CODE]]),IF((ROUND(OrderTable[[#This Row],[Order Qty]]/OrderTable[[#This Row],[Case Qty]],0))=OrderTable[[#This Row],[Order Qty]]/OrderTable[[#This Row],[Case Qty]],OrderTable[[#This Row],[Order Qty]]/OrderTable[[#This Row],[Case Qty]],OrderTable[[#This Row],[Order Qty]]),"")</f>
        <v>1</v>
      </c>
      <c r="K104" s="158" t="str">
        <f>IF(ISTEXT(OrderTable[[#This Row],[PART CODE]]),IF(OrderTable[[#This Row],[PART CODE]]="300.3712.GLV","PL",IF((ROUND(OrderTable[[#This Row],[Order Qty]]/OrderTable[[#This Row],[Case Qty]],0))=OrderTable[[#This Row],[Order Qty]]/OrderTable[[#This Row],[Case Qty]],"BOX","EA")),"")</f>
        <v>BOX</v>
      </c>
      <c r="L104" s="160">
        <f>IF(ISTEXT(OrderTable[[#This Row],[PART CODE]]),OrderTable[[#This Row],[Order Qty]]*OrderTable[[#This Row],[Price / Ea]],"")</f>
        <v>28.24</v>
      </c>
      <c r="M10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104" s="192" t="str">
        <f>IFERROR(VLOOKUP(OrderTable[[#This Row],[PART CODE]],'Short-Long Transition'!A:I,9,0)," ")</f>
        <v xml:space="preserve"> </v>
      </c>
    </row>
    <row r="105" spans="1:15" x14ac:dyDescent="0.25">
      <c r="A105" s="111" t="s">
        <v>8456</v>
      </c>
      <c r="B105" s="112">
        <v>28</v>
      </c>
      <c r="C105" s="109"/>
      <c r="D105" s="157" t="str">
        <f>IF(ISTEXT(OrderTable[[#This Row],[PART CODE]]),VLOOKUP(A105,'Price  List'!B:G,3,FALSE),"")</f>
        <v>Wall Mount Organizer, Triple Hook, Matte Aluminum</v>
      </c>
      <c r="E105" s="157"/>
      <c r="F105" s="156" t="str">
        <f>OrderTable[[#This Row],[PART CODE]]</f>
        <v>310.8201.05.mal</v>
      </c>
      <c r="G105" s="191">
        <f>IF(ISTEXT(OrderTable[[#This Row],[PART CODE]]),VLOOKUP(A105,'Price  List'!B:G,6,FALSE),"")</f>
        <v>7.06</v>
      </c>
      <c r="H105" s="158">
        <f>IF(ISTEXT(OrderTable[[#This Row],[PART CODE]]),VLOOKUP(A105,'Price  List'!B:G,5,FALSE),"")</f>
        <v>4</v>
      </c>
      <c r="I105"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28</v>
      </c>
      <c r="J105" s="158">
        <f>IF(ISTEXT(OrderTable[[#This Row],[PART CODE]]),IF((ROUND(OrderTable[[#This Row],[Order Qty]]/OrderTable[[#This Row],[Case Qty]],0))=OrderTable[[#This Row],[Order Qty]]/OrderTable[[#This Row],[Case Qty]],OrderTable[[#This Row],[Order Qty]]/OrderTable[[#This Row],[Case Qty]],OrderTable[[#This Row],[Order Qty]]),"")</f>
        <v>7</v>
      </c>
      <c r="K105" s="158" t="str">
        <f>IF(ISTEXT(OrderTable[[#This Row],[PART CODE]]),IF(OrderTable[[#This Row],[PART CODE]]="300.3712.GLV","PL",IF((ROUND(OrderTable[[#This Row],[Order Qty]]/OrderTable[[#This Row],[Case Qty]],0))=OrderTable[[#This Row],[Order Qty]]/OrderTable[[#This Row],[Case Qty]],"BOX","EA")),"")</f>
        <v>BOX</v>
      </c>
      <c r="L105" s="160">
        <f>IF(ISTEXT(OrderTable[[#This Row],[PART CODE]]),OrderTable[[#This Row],[Order Qty]]*OrderTable[[#This Row],[Price / Ea]],"")</f>
        <v>197.67999999999998</v>
      </c>
      <c r="M10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5" s="192" t="str">
        <f>IFERROR(VLOOKUP(OrderTable[[#This Row],[PART CODE]],'Short-Long Transition'!A:I,9,0)," ")</f>
        <v xml:space="preserve"> </v>
      </c>
    </row>
    <row r="106" spans="1:15" x14ac:dyDescent="0.25">
      <c r="A106" s="111" t="s">
        <v>8457</v>
      </c>
      <c r="B106" s="112">
        <v>9</v>
      </c>
      <c r="C106" s="109"/>
      <c r="D106" s="157" t="str">
        <f>IF(ISTEXT(OrderTable[[#This Row],[PART CODE]]),VLOOKUP(A106,'Price  List'!B:G,3,FALSE),"")</f>
        <v>Wall Mount Organizer, Triple Hook, Gold</v>
      </c>
      <c r="E106" s="157"/>
      <c r="F106" s="156" t="str">
        <f>OrderTable[[#This Row],[PART CODE]]</f>
        <v>310.8201.05.mg</v>
      </c>
      <c r="G106" s="191">
        <f>IF(ISTEXT(OrderTable[[#This Row],[PART CODE]]),VLOOKUP(A106,'Price  List'!B:G,6,FALSE),"")</f>
        <v>7.06</v>
      </c>
      <c r="H106" s="158">
        <f>IF(ISTEXT(OrderTable[[#This Row],[PART CODE]]),VLOOKUP(A106,'Price  List'!B:G,5,FALSE),"")</f>
        <v>4</v>
      </c>
      <c r="I106"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12</v>
      </c>
      <c r="J106" s="158">
        <f>IF(ISTEXT(OrderTable[[#This Row],[PART CODE]]),IF((ROUND(OrderTable[[#This Row],[Order Qty]]/OrderTable[[#This Row],[Case Qty]],0))=OrderTable[[#This Row],[Order Qty]]/OrderTable[[#This Row],[Case Qty]],OrderTable[[#This Row],[Order Qty]]/OrderTable[[#This Row],[Case Qty]],OrderTable[[#This Row],[Order Qty]]),"")</f>
        <v>3</v>
      </c>
      <c r="K106" s="158" t="str">
        <f>IF(ISTEXT(OrderTable[[#This Row],[PART CODE]]),IF(OrderTable[[#This Row],[PART CODE]]="300.3712.GLV","PL",IF((ROUND(OrderTable[[#This Row],[Order Qty]]/OrderTable[[#This Row],[Case Qty]],0))=OrderTable[[#This Row],[Order Qty]]/OrderTable[[#This Row],[Case Qty]],"BOX","EA")),"")</f>
        <v>BOX</v>
      </c>
      <c r="L106" s="160">
        <f>IF(ISTEXT(OrderTable[[#This Row],[PART CODE]]),OrderTable[[#This Row],[Order Qty]]*OrderTable[[#This Row],[Price / Ea]],"")</f>
        <v>84.72</v>
      </c>
      <c r="M10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106" s="192" t="str">
        <f>IFERROR(VLOOKUP(OrderTable[[#This Row],[PART CODE]],'Short-Long Transition'!A:I,9,0)," ")</f>
        <v xml:space="preserve"> </v>
      </c>
    </row>
    <row r="107" spans="1:15" x14ac:dyDescent="0.25">
      <c r="A107" s="111"/>
      <c r="B107" s="112"/>
      <c r="C107" s="109"/>
      <c r="D107" s="157" t="str">
        <f>IF(ISTEXT(OrderTable[[#This Row],[PART CODE]]),VLOOKUP(A107,'Price  List'!B:G,3,FALSE),"")</f>
        <v/>
      </c>
      <c r="E107" s="157"/>
      <c r="F107" s="156">
        <f>OrderTable[[#This Row],[PART CODE]]</f>
        <v>0</v>
      </c>
      <c r="G107" s="191" t="str">
        <f>IF(ISTEXT(OrderTable[[#This Row],[PART CODE]]),VLOOKUP(A107,'Price  List'!B:G,6,FALSE),"")</f>
        <v/>
      </c>
      <c r="H107" s="158" t="str">
        <f>IF(ISTEXT(OrderTable[[#This Row],[PART CODE]]),VLOOKUP(A107,'Price  List'!B:G,5,FALSE),"")</f>
        <v/>
      </c>
      <c r="I10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07" s="158" t="str">
        <f>IF(ISTEXT(OrderTable[[#This Row],[PART CODE]]),IF((ROUND(OrderTable[[#This Row],[Order Qty]]/OrderTable[[#This Row],[Case Qty]],0))=OrderTable[[#This Row],[Order Qty]]/OrderTable[[#This Row],[Case Qty]],OrderTable[[#This Row],[Order Qty]]/OrderTable[[#This Row],[Case Qty]],OrderTable[[#This Row],[Order Qty]]),"")</f>
        <v/>
      </c>
      <c r="K107" s="158" t="str">
        <f>IF(ISTEXT(OrderTable[[#This Row],[PART CODE]]),IF(OrderTable[[#This Row],[PART CODE]]="300.3712.GLV","PL",IF((ROUND(OrderTable[[#This Row],[Order Qty]]/OrderTable[[#This Row],[Case Qty]],0))=OrderTable[[#This Row],[Order Qty]]/OrderTable[[#This Row],[Case Qty]],"BOX","EA")),"")</f>
        <v/>
      </c>
      <c r="L107" s="160" t="str">
        <f>IF(ISTEXT(OrderTable[[#This Row],[PART CODE]]),OrderTable[[#This Row],[Order Qty]]*OrderTable[[#This Row],[Price / Ea]],"")</f>
        <v/>
      </c>
      <c r="M10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7" s="192" t="str">
        <f>IFERROR(VLOOKUP(OrderTable[[#This Row],[PART CODE]],'Short-Long Transition'!A:I,9,0)," ")</f>
        <v xml:space="preserve"> </v>
      </c>
    </row>
    <row r="108" spans="1:15" x14ac:dyDescent="0.25">
      <c r="A108" s="111"/>
      <c r="B108" s="112"/>
      <c r="C108" s="109"/>
      <c r="D108" s="157" t="str">
        <f>IF(ISTEXT(OrderTable[[#This Row],[PART CODE]]),VLOOKUP(A108,'Price  List'!B:G,3,FALSE),"")</f>
        <v/>
      </c>
      <c r="E108" s="157"/>
      <c r="F108" s="156">
        <f>OrderTable[[#This Row],[PART CODE]]</f>
        <v>0</v>
      </c>
      <c r="G108" s="191" t="str">
        <f>IF(ISTEXT(OrderTable[[#This Row],[PART CODE]]),VLOOKUP(A108,'Price  List'!B:G,6,FALSE),"")</f>
        <v/>
      </c>
      <c r="H108" s="158" t="str">
        <f>IF(ISTEXT(OrderTable[[#This Row],[PART CODE]]),VLOOKUP(A108,'Price  List'!B:G,5,FALSE),"")</f>
        <v/>
      </c>
      <c r="I10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08" s="158" t="str">
        <f>IF(ISTEXT(OrderTable[[#This Row],[PART CODE]]),IF((ROUND(OrderTable[[#This Row],[Order Qty]]/OrderTable[[#This Row],[Case Qty]],0))=OrderTable[[#This Row],[Order Qty]]/OrderTable[[#This Row],[Case Qty]],OrderTable[[#This Row],[Order Qty]]/OrderTable[[#This Row],[Case Qty]],OrderTable[[#This Row],[Order Qty]]),"")</f>
        <v/>
      </c>
      <c r="K108" s="158" t="str">
        <f>IF(ISTEXT(OrderTable[[#This Row],[PART CODE]]),IF(OrderTable[[#This Row],[PART CODE]]="300.3712.GLV","PL",IF((ROUND(OrderTable[[#This Row],[Order Qty]]/OrderTable[[#This Row],[Case Qty]],0))=OrderTable[[#This Row],[Order Qty]]/OrderTable[[#This Row],[Case Qty]],"BOX","EA")),"")</f>
        <v/>
      </c>
      <c r="L108" s="160" t="str">
        <f>IF(ISTEXT(OrderTable[[#This Row],[PART CODE]]),OrderTable[[#This Row],[Order Qty]]*OrderTable[[#This Row],[Price / Ea]],"")</f>
        <v/>
      </c>
      <c r="M10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8" s="192" t="str">
        <f>IFERROR(VLOOKUP(OrderTable[[#This Row],[PART CODE]],'Short-Long Transition'!A:I,9,0)," ")</f>
        <v xml:space="preserve"> </v>
      </c>
    </row>
    <row r="109" spans="1:15" x14ac:dyDescent="0.25">
      <c r="A109" s="111"/>
      <c r="B109" s="112"/>
      <c r="C109" s="109"/>
      <c r="D109" s="157" t="str">
        <f>IF(ISTEXT(OrderTable[[#This Row],[PART CODE]]),VLOOKUP(A109,'Price  List'!B:G,3,FALSE),"")</f>
        <v/>
      </c>
      <c r="E109" s="157"/>
      <c r="F109" s="156">
        <f>OrderTable[[#This Row],[PART CODE]]</f>
        <v>0</v>
      </c>
      <c r="G109" s="191" t="str">
        <f>IF(ISTEXT(OrderTable[[#This Row],[PART CODE]]),VLOOKUP(A109,'Price  List'!B:G,6,FALSE),"")</f>
        <v/>
      </c>
      <c r="H109" s="158" t="str">
        <f>IF(ISTEXT(OrderTable[[#This Row],[PART CODE]]),VLOOKUP(A109,'Price  List'!B:G,5,FALSE),"")</f>
        <v/>
      </c>
      <c r="I10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09" s="158" t="str">
        <f>IF(ISTEXT(OrderTable[[#This Row],[PART CODE]]),IF((ROUND(OrderTable[[#This Row],[Order Qty]]/OrderTable[[#This Row],[Case Qty]],0))=OrderTable[[#This Row],[Order Qty]]/OrderTable[[#This Row],[Case Qty]],OrderTable[[#This Row],[Order Qty]]/OrderTable[[#This Row],[Case Qty]],OrderTable[[#This Row],[Order Qty]]),"")</f>
        <v/>
      </c>
      <c r="K109" s="158" t="str">
        <f>IF(ISTEXT(OrderTable[[#This Row],[PART CODE]]),IF(OrderTable[[#This Row],[PART CODE]]="300.3712.GLV","PL",IF((ROUND(OrderTable[[#This Row],[Order Qty]]/OrderTable[[#This Row],[Case Qty]],0))=OrderTable[[#This Row],[Order Qty]]/OrderTable[[#This Row],[Case Qty]],"BOX","EA")),"")</f>
        <v/>
      </c>
      <c r="L109" s="160" t="str">
        <f>IF(ISTEXT(OrderTable[[#This Row],[PART CODE]]),OrderTable[[#This Row],[Order Qty]]*OrderTable[[#This Row],[Price / Ea]],"")</f>
        <v/>
      </c>
      <c r="M10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9" s="192" t="str">
        <f>IFERROR(VLOOKUP(OrderTable[[#This Row],[PART CODE]],'Short-Long Transition'!A:I,9,0)," ")</f>
        <v xml:space="preserve"> </v>
      </c>
    </row>
    <row r="110" spans="1:15" x14ac:dyDescent="0.25">
      <c r="A110" s="111"/>
      <c r="B110" s="112"/>
      <c r="C110" s="109"/>
      <c r="D110" s="157" t="str">
        <f>IF(ISTEXT(OrderTable[[#This Row],[PART CODE]]),VLOOKUP(A110,'Price  List'!B:G,3,FALSE),"")</f>
        <v/>
      </c>
      <c r="E110" s="157"/>
      <c r="F110" s="156">
        <f>OrderTable[[#This Row],[PART CODE]]</f>
        <v>0</v>
      </c>
      <c r="G110" s="191" t="str">
        <f>IF(ISTEXT(OrderTable[[#This Row],[PART CODE]]),VLOOKUP(A110,'Price  List'!B:G,6,FALSE),"")</f>
        <v/>
      </c>
      <c r="H110" s="158" t="str">
        <f>IF(ISTEXT(OrderTable[[#This Row],[PART CODE]]),VLOOKUP(A110,'Price  List'!B:G,5,FALSE),"")</f>
        <v/>
      </c>
      <c r="I11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0" s="158" t="str">
        <f>IF(ISTEXT(OrderTable[[#This Row],[PART CODE]]),IF((ROUND(OrderTable[[#This Row],[Order Qty]]/OrderTable[[#This Row],[Case Qty]],0))=OrderTable[[#This Row],[Order Qty]]/OrderTable[[#This Row],[Case Qty]],OrderTable[[#This Row],[Order Qty]]/OrderTable[[#This Row],[Case Qty]],OrderTable[[#This Row],[Order Qty]]),"")</f>
        <v/>
      </c>
      <c r="K110" s="158" t="str">
        <f>IF(ISTEXT(OrderTable[[#This Row],[PART CODE]]),IF(OrderTable[[#This Row],[PART CODE]]="300.3712.GLV","PL",IF((ROUND(OrderTable[[#This Row],[Order Qty]]/OrderTable[[#This Row],[Case Qty]],0))=OrderTable[[#This Row],[Order Qty]]/OrderTable[[#This Row],[Case Qty]],"BOX","EA")),"")</f>
        <v/>
      </c>
      <c r="L110" s="160" t="str">
        <f>IF(ISTEXT(OrderTable[[#This Row],[PART CODE]]),OrderTable[[#This Row],[Order Qty]]*OrderTable[[#This Row],[Price / Ea]],"")</f>
        <v/>
      </c>
      <c r="M11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0" s="192" t="str">
        <f>IFERROR(VLOOKUP(OrderTable[[#This Row],[PART CODE]],'Short-Long Transition'!A:I,9,0)," ")</f>
        <v xml:space="preserve"> </v>
      </c>
    </row>
    <row r="111" spans="1:15" x14ac:dyDescent="0.25">
      <c r="A111" s="111"/>
      <c r="B111" s="112"/>
      <c r="C111" s="109"/>
      <c r="D111" s="157" t="str">
        <f>IF(ISTEXT(OrderTable[[#This Row],[PART CODE]]),VLOOKUP(A111,'Price  List'!B:G,3,FALSE),"")</f>
        <v/>
      </c>
      <c r="E111" s="157"/>
      <c r="F111" s="156">
        <f>OrderTable[[#This Row],[PART CODE]]</f>
        <v>0</v>
      </c>
      <c r="G111" s="191" t="str">
        <f>IF(ISTEXT(OrderTable[[#This Row],[PART CODE]]),VLOOKUP(A111,'Price  List'!B:G,6,FALSE),"")</f>
        <v/>
      </c>
      <c r="H111" s="158" t="str">
        <f>IF(ISTEXT(OrderTable[[#This Row],[PART CODE]]),VLOOKUP(A111,'Price  List'!B:G,5,FALSE),"")</f>
        <v/>
      </c>
      <c r="I11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1" s="158" t="str">
        <f>IF(ISTEXT(OrderTable[[#This Row],[PART CODE]]),IF((ROUND(OrderTable[[#This Row],[Order Qty]]/OrderTable[[#This Row],[Case Qty]],0))=OrderTable[[#This Row],[Order Qty]]/OrderTable[[#This Row],[Case Qty]],OrderTable[[#This Row],[Order Qty]]/OrderTable[[#This Row],[Case Qty]],OrderTable[[#This Row],[Order Qty]]),"")</f>
        <v/>
      </c>
      <c r="K111" s="158" t="str">
        <f>IF(ISTEXT(OrderTable[[#This Row],[PART CODE]]),IF(OrderTable[[#This Row],[PART CODE]]="300.3712.GLV","PL",IF((ROUND(OrderTable[[#This Row],[Order Qty]]/OrderTable[[#This Row],[Case Qty]],0))=OrderTable[[#This Row],[Order Qty]]/OrderTable[[#This Row],[Case Qty]],"BOX","EA")),"")</f>
        <v/>
      </c>
      <c r="L111" s="160" t="str">
        <f>IF(ISTEXT(OrderTable[[#This Row],[PART CODE]]),OrderTable[[#This Row],[Order Qty]]*OrderTable[[#This Row],[Price / Ea]],"")</f>
        <v/>
      </c>
      <c r="M11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1" s="192" t="str">
        <f>IFERROR(VLOOKUP(OrderTable[[#This Row],[PART CODE]],'Short-Long Transition'!A:I,9,0)," ")</f>
        <v xml:space="preserve"> </v>
      </c>
    </row>
    <row r="112" spans="1:15" x14ac:dyDescent="0.25">
      <c r="A112" s="111"/>
      <c r="B112" s="112"/>
      <c r="C112" s="109"/>
      <c r="D112" s="157" t="str">
        <f>IF(ISTEXT(OrderTable[[#This Row],[PART CODE]]),VLOOKUP(A112,'Price  List'!B:G,3,FALSE),"")</f>
        <v/>
      </c>
      <c r="E112" s="157"/>
      <c r="F112" s="156">
        <f>OrderTable[[#This Row],[PART CODE]]</f>
        <v>0</v>
      </c>
      <c r="G112" s="191" t="str">
        <f>IF(ISTEXT(OrderTable[[#This Row],[PART CODE]]),VLOOKUP(A112,'Price  List'!B:G,6,FALSE),"")</f>
        <v/>
      </c>
      <c r="H112" s="158" t="str">
        <f>IF(ISTEXT(OrderTable[[#This Row],[PART CODE]]),VLOOKUP(A112,'Price  List'!B:G,5,FALSE),"")</f>
        <v/>
      </c>
      <c r="I11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2" s="158" t="str">
        <f>IF(ISTEXT(OrderTable[[#This Row],[PART CODE]]),IF((ROUND(OrderTable[[#This Row],[Order Qty]]/OrderTable[[#This Row],[Case Qty]],0))=OrderTable[[#This Row],[Order Qty]]/OrderTable[[#This Row],[Case Qty]],OrderTable[[#This Row],[Order Qty]]/OrderTable[[#This Row],[Case Qty]],OrderTable[[#This Row],[Order Qty]]),"")</f>
        <v/>
      </c>
      <c r="K112" s="158" t="str">
        <f>IF(ISTEXT(OrderTable[[#This Row],[PART CODE]]),IF(OrderTable[[#This Row],[PART CODE]]="300.3712.GLV","PL",IF((ROUND(OrderTable[[#This Row],[Order Qty]]/OrderTable[[#This Row],[Case Qty]],0))=OrderTable[[#This Row],[Order Qty]]/OrderTable[[#This Row],[Case Qty]],"BOX","EA")),"")</f>
        <v/>
      </c>
      <c r="L112" s="160" t="str">
        <f>IF(ISTEXT(OrderTable[[#This Row],[PART CODE]]),OrderTable[[#This Row],[Order Qty]]*OrderTable[[#This Row],[Price / Ea]],"")</f>
        <v/>
      </c>
      <c r="M11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2" s="192" t="str">
        <f>IFERROR(VLOOKUP(OrderTable[[#This Row],[PART CODE]],'Short-Long Transition'!A:I,9,0)," ")</f>
        <v xml:space="preserve"> </v>
      </c>
    </row>
    <row r="113" spans="1:15" x14ac:dyDescent="0.25">
      <c r="A113" s="111"/>
      <c r="B113" s="112"/>
      <c r="C113" s="109"/>
      <c r="D113" s="157" t="str">
        <f>IF(ISTEXT(OrderTable[[#This Row],[PART CODE]]),VLOOKUP(A113,'Price  List'!B:G,3,FALSE),"")</f>
        <v/>
      </c>
      <c r="E113" s="157"/>
      <c r="F113" s="156">
        <f>OrderTable[[#This Row],[PART CODE]]</f>
        <v>0</v>
      </c>
      <c r="G113" s="191" t="str">
        <f>IF(ISTEXT(OrderTable[[#This Row],[PART CODE]]),VLOOKUP(A113,'Price  List'!B:G,6,FALSE),"")</f>
        <v/>
      </c>
      <c r="H113" s="158" t="str">
        <f>IF(ISTEXT(OrderTable[[#This Row],[PART CODE]]),VLOOKUP(A113,'Price  List'!B:G,5,FALSE),"")</f>
        <v/>
      </c>
      <c r="I11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3" s="158" t="str">
        <f>IF(ISTEXT(OrderTable[[#This Row],[PART CODE]]),IF((ROUND(OrderTable[[#This Row],[Order Qty]]/OrderTable[[#This Row],[Case Qty]],0))=OrderTable[[#This Row],[Order Qty]]/OrderTable[[#This Row],[Case Qty]],OrderTable[[#This Row],[Order Qty]]/OrderTable[[#This Row],[Case Qty]],OrderTable[[#This Row],[Order Qty]]),"")</f>
        <v/>
      </c>
      <c r="K113" s="158" t="str">
        <f>IF(ISTEXT(OrderTable[[#This Row],[PART CODE]]),IF(OrderTable[[#This Row],[PART CODE]]="300.3712.GLV","PL",IF((ROUND(OrderTable[[#This Row],[Order Qty]]/OrderTable[[#This Row],[Case Qty]],0))=OrderTable[[#This Row],[Order Qty]]/OrderTable[[#This Row],[Case Qty]],"BOX","EA")),"")</f>
        <v/>
      </c>
      <c r="L113" s="160" t="str">
        <f>IF(ISTEXT(OrderTable[[#This Row],[PART CODE]]),OrderTable[[#This Row],[Order Qty]]*OrderTable[[#This Row],[Price / Ea]],"")</f>
        <v/>
      </c>
      <c r="M11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3" s="192" t="str">
        <f>IFERROR(VLOOKUP(OrderTable[[#This Row],[PART CODE]],'Short-Long Transition'!A:I,9,0)," ")</f>
        <v xml:space="preserve"> </v>
      </c>
    </row>
    <row r="114" spans="1:15" x14ac:dyDescent="0.25">
      <c r="A114" s="111"/>
      <c r="B114" s="112"/>
      <c r="C114" s="109"/>
      <c r="D114" s="157" t="str">
        <f>IF(ISTEXT(OrderTable[[#This Row],[PART CODE]]),VLOOKUP(A114,'Price  List'!B:G,3,FALSE),"")</f>
        <v/>
      </c>
      <c r="E114" s="157"/>
      <c r="F114" s="156">
        <f>OrderTable[[#This Row],[PART CODE]]</f>
        <v>0</v>
      </c>
      <c r="G114" s="191" t="str">
        <f>IF(ISTEXT(OrderTable[[#This Row],[PART CODE]]),VLOOKUP(A114,'Price  List'!B:G,6,FALSE),"")</f>
        <v/>
      </c>
      <c r="H114" s="158" t="str">
        <f>IF(ISTEXT(OrderTable[[#This Row],[PART CODE]]),VLOOKUP(A114,'Price  List'!B:G,5,FALSE),"")</f>
        <v/>
      </c>
      <c r="I11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4" s="158" t="str">
        <f>IF(ISTEXT(OrderTable[[#This Row],[PART CODE]]),IF((ROUND(OrderTable[[#This Row],[Order Qty]]/OrderTable[[#This Row],[Case Qty]],0))=OrderTable[[#This Row],[Order Qty]]/OrderTable[[#This Row],[Case Qty]],OrderTable[[#This Row],[Order Qty]]/OrderTable[[#This Row],[Case Qty]],OrderTable[[#This Row],[Order Qty]]),"")</f>
        <v/>
      </c>
      <c r="K114" s="158" t="str">
        <f>IF(ISTEXT(OrderTable[[#This Row],[PART CODE]]),IF(OrderTable[[#This Row],[PART CODE]]="300.3712.GLV","PL",IF((ROUND(OrderTable[[#This Row],[Order Qty]]/OrderTable[[#This Row],[Case Qty]],0))=OrderTable[[#This Row],[Order Qty]]/OrderTable[[#This Row],[Case Qty]],"BOX","EA")),"")</f>
        <v/>
      </c>
      <c r="L114" s="160" t="str">
        <f>IF(ISTEXT(OrderTable[[#This Row],[PART CODE]]),OrderTable[[#This Row],[Order Qty]]*OrderTable[[#This Row],[Price / Ea]],"")</f>
        <v/>
      </c>
      <c r="M11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4" s="192" t="str">
        <f>IFERROR(VLOOKUP(OrderTable[[#This Row],[PART CODE]],'Short-Long Transition'!A:I,9,0)," ")</f>
        <v xml:space="preserve"> </v>
      </c>
    </row>
    <row r="115" spans="1:15" x14ac:dyDescent="0.25">
      <c r="A115" s="111"/>
      <c r="B115" s="112"/>
      <c r="C115" s="109"/>
      <c r="D115" s="157" t="str">
        <f>IF(ISTEXT(OrderTable[[#This Row],[PART CODE]]),VLOOKUP(A115,'Price  List'!B:G,3,FALSE),"")</f>
        <v/>
      </c>
      <c r="E115" s="157"/>
      <c r="F115" s="156">
        <f>OrderTable[[#This Row],[PART CODE]]</f>
        <v>0</v>
      </c>
      <c r="G115" s="191" t="str">
        <f>IF(ISTEXT(OrderTable[[#This Row],[PART CODE]]),VLOOKUP(A115,'Price  List'!B:G,6,FALSE),"")</f>
        <v/>
      </c>
      <c r="H115" s="158" t="str">
        <f>IF(ISTEXT(OrderTable[[#This Row],[PART CODE]]),VLOOKUP(A115,'Price  List'!B:G,5,FALSE),"")</f>
        <v/>
      </c>
      <c r="I11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5" s="158" t="str">
        <f>IF(ISTEXT(OrderTable[[#This Row],[PART CODE]]),IF((ROUND(OrderTable[[#This Row],[Order Qty]]/OrderTable[[#This Row],[Case Qty]],0))=OrderTable[[#This Row],[Order Qty]]/OrderTable[[#This Row],[Case Qty]],OrderTable[[#This Row],[Order Qty]]/OrderTable[[#This Row],[Case Qty]],OrderTable[[#This Row],[Order Qty]]),"")</f>
        <v/>
      </c>
      <c r="K115" s="158" t="str">
        <f>IF(ISTEXT(OrderTable[[#This Row],[PART CODE]]),IF(OrderTable[[#This Row],[PART CODE]]="300.3712.GLV","PL",IF((ROUND(OrderTable[[#This Row],[Order Qty]]/OrderTable[[#This Row],[Case Qty]],0))=OrderTable[[#This Row],[Order Qty]]/OrderTable[[#This Row],[Case Qty]],"BOX","EA")),"")</f>
        <v/>
      </c>
      <c r="L115" s="160" t="str">
        <f>IF(ISTEXT(OrderTable[[#This Row],[PART CODE]]),OrderTable[[#This Row],[Order Qty]]*OrderTable[[#This Row],[Price / Ea]],"")</f>
        <v/>
      </c>
      <c r="M11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5" s="192" t="str">
        <f>IFERROR(VLOOKUP(OrderTable[[#This Row],[PART CODE]],'Short-Long Transition'!A:I,9,0)," ")</f>
        <v xml:space="preserve"> </v>
      </c>
    </row>
    <row r="116" spans="1:15" x14ac:dyDescent="0.25">
      <c r="A116" s="111"/>
      <c r="B116" s="112"/>
      <c r="C116" s="109"/>
      <c r="D116" s="157" t="str">
        <f>IF(ISTEXT(OrderTable[[#This Row],[PART CODE]]),VLOOKUP(A116,'Price  List'!B:G,3,FALSE),"")</f>
        <v/>
      </c>
      <c r="E116" s="157"/>
      <c r="F116" s="156">
        <f>OrderTable[[#This Row],[PART CODE]]</f>
        <v>0</v>
      </c>
      <c r="G116" s="191" t="str">
        <f>IF(ISTEXT(OrderTable[[#This Row],[PART CODE]]),VLOOKUP(A116,'Price  List'!B:G,6,FALSE),"")</f>
        <v/>
      </c>
      <c r="H116" s="158" t="str">
        <f>IF(ISTEXT(OrderTable[[#This Row],[PART CODE]]),VLOOKUP(A116,'Price  List'!B:G,5,FALSE),"")</f>
        <v/>
      </c>
      <c r="I11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6" s="158" t="str">
        <f>IF(ISTEXT(OrderTable[[#This Row],[PART CODE]]),IF((ROUND(OrderTable[[#This Row],[Order Qty]]/OrderTable[[#This Row],[Case Qty]],0))=OrderTable[[#This Row],[Order Qty]]/OrderTable[[#This Row],[Case Qty]],OrderTable[[#This Row],[Order Qty]]/OrderTable[[#This Row],[Case Qty]],OrderTable[[#This Row],[Order Qty]]),"")</f>
        <v/>
      </c>
      <c r="K116" s="158" t="str">
        <f>IF(ISTEXT(OrderTable[[#This Row],[PART CODE]]),IF(OrderTable[[#This Row],[PART CODE]]="300.3712.GLV","PL",IF((ROUND(OrderTable[[#This Row],[Order Qty]]/OrderTable[[#This Row],[Case Qty]],0))=OrderTable[[#This Row],[Order Qty]]/OrderTable[[#This Row],[Case Qty]],"BOX","EA")),"")</f>
        <v/>
      </c>
      <c r="L116" s="160" t="str">
        <f>IF(ISTEXT(OrderTable[[#This Row],[PART CODE]]),OrderTable[[#This Row],[Order Qty]]*OrderTable[[#This Row],[Price / Ea]],"")</f>
        <v/>
      </c>
      <c r="M11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6" s="192" t="str">
        <f>IFERROR(VLOOKUP(OrderTable[[#This Row],[PART CODE]],'Short-Long Transition'!A:I,9,0)," ")</f>
        <v xml:space="preserve"> </v>
      </c>
    </row>
    <row r="117" spans="1:15" x14ac:dyDescent="0.25">
      <c r="A117" s="111"/>
      <c r="B117" s="112"/>
      <c r="C117" s="109"/>
      <c r="D117" s="157" t="str">
        <f>IF(ISTEXT(OrderTable[[#This Row],[PART CODE]]),VLOOKUP(A117,'Price  List'!B:G,3,FALSE),"")</f>
        <v/>
      </c>
      <c r="E117" s="157"/>
      <c r="F117" s="156">
        <f>OrderTable[[#This Row],[PART CODE]]</f>
        <v>0</v>
      </c>
      <c r="G117" s="191" t="str">
        <f>IF(ISTEXT(OrderTable[[#This Row],[PART CODE]]),VLOOKUP(A117,'Price  List'!B:G,6,FALSE),"")</f>
        <v/>
      </c>
      <c r="H117" s="158" t="str">
        <f>IF(ISTEXT(OrderTable[[#This Row],[PART CODE]]),VLOOKUP(A117,'Price  List'!B:G,5,FALSE),"")</f>
        <v/>
      </c>
      <c r="I11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7" s="158" t="str">
        <f>IF(ISTEXT(OrderTable[[#This Row],[PART CODE]]),IF((ROUND(OrderTable[[#This Row],[Order Qty]]/OrderTable[[#This Row],[Case Qty]],0))=OrderTable[[#This Row],[Order Qty]]/OrderTable[[#This Row],[Case Qty]],OrderTable[[#This Row],[Order Qty]]/OrderTable[[#This Row],[Case Qty]],OrderTable[[#This Row],[Order Qty]]),"")</f>
        <v/>
      </c>
      <c r="K117" s="158" t="str">
        <f>IF(ISTEXT(OrderTable[[#This Row],[PART CODE]]),IF(OrderTable[[#This Row],[PART CODE]]="300.3712.GLV","PL",IF((ROUND(OrderTable[[#This Row],[Order Qty]]/OrderTable[[#This Row],[Case Qty]],0))=OrderTable[[#This Row],[Order Qty]]/OrderTable[[#This Row],[Case Qty]],"BOX","EA")),"")</f>
        <v/>
      </c>
      <c r="L117" s="160" t="str">
        <f>IF(ISTEXT(OrderTable[[#This Row],[PART CODE]]),OrderTable[[#This Row],[Order Qty]]*OrderTable[[#This Row],[Price / Ea]],"")</f>
        <v/>
      </c>
      <c r="M11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7" s="192" t="str">
        <f>IFERROR(VLOOKUP(OrderTable[[#This Row],[PART CODE]],'Short-Long Transition'!A:I,9,0)," ")</f>
        <v xml:space="preserve"> </v>
      </c>
    </row>
    <row r="118" spans="1:15" x14ac:dyDescent="0.25">
      <c r="A118" s="111"/>
      <c r="B118" s="112"/>
      <c r="C118" s="109"/>
      <c r="D118" s="157" t="str">
        <f>IF(ISTEXT(OrderTable[[#This Row],[PART CODE]]),VLOOKUP(A118,'Price  List'!B:G,3,FALSE),"")</f>
        <v/>
      </c>
      <c r="E118" s="157"/>
      <c r="F118" s="156">
        <f>OrderTable[[#This Row],[PART CODE]]</f>
        <v>0</v>
      </c>
      <c r="G118" s="191" t="str">
        <f>IF(ISTEXT(OrderTable[[#This Row],[PART CODE]]),VLOOKUP(A118,'Price  List'!B:G,6,FALSE),"")</f>
        <v/>
      </c>
      <c r="H118" s="158" t="str">
        <f>IF(ISTEXT(OrderTable[[#This Row],[PART CODE]]),VLOOKUP(A118,'Price  List'!B:G,5,FALSE),"")</f>
        <v/>
      </c>
      <c r="I11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8" s="158" t="str">
        <f>IF(ISTEXT(OrderTable[[#This Row],[PART CODE]]),IF((ROUND(OrderTable[[#This Row],[Order Qty]]/OrderTable[[#This Row],[Case Qty]],0))=OrderTable[[#This Row],[Order Qty]]/OrderTable[[#This Row],[Case Qty]],OrderTable[[#This Row],[Order Qty]]/OrderTable[[#This Row],[Case Qty]],OrderTable[[#This Row],[Order Qty]]),"")</f>
        <v/>
      </c>
      <c r="K118" s="158" t="str">
        <f>IF(ISTEXT(OrderTable[[#This Row],[PART CODE]]),IF(OrderTable[[#This Row],[PART CODE]]="300.3712.GLV","PL",IF((ROUND(OrderTable[[#This Row],[Order Qty]]/OrderTable[[#This Row],[Case Qty]],0))=OrderTable[[#This Row],[Order Qty]]/OrderTable[[#This Row],[Case Qty]],"BOX","EA")),"")</f>
        <v/>
      </c>
      <c r="L118" s="160" t="str">
        <f>IF(ISTEXT(OrderTable[[#This Row],[PART CODE]]),OrderTable[[#This Row],[Order Qty]]*OrderTable[[#This Row],[Price / Ea]],"")</f>
        <v/>
      </c>
      <c r="M11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8" s="192" t="str">
        <f>IFERROR(VLOOKUP(OrderTable[[#This Row],[PART CODE]],'Short-Long Transition'!A:I,9,0)," ")</f>
        <v xml:space="preserve"> </v>
      </c>
    </row>
    <row r="119" spans="1:15" x14ac:dyDescent="0.25">
      <c r="A119" s="111"/>
      <c r="B119" s="112"/>
      <c r="C119" s="109"/>
      <c r="D119" s="157" t="str">
        <f>IF(ISTEXT(OrderTable[[#This Row],[PART CODE]]),VLOOKUP(A119,'Price  List'!B:G,3,FALSE),"")</f>
        <v/>
      </c>
      <c r="E119" s="157"/>
      <c r="F119" s="156">
        <f>OrderTable[[#This Row],[PART CODE]]</f>
        <v>0</v>
      </c>
      <c r="G119" s="191" t="str">
        <f>IF(ISTEXT(OrderTable[[#This Row],[PART CODE]]),VLOOKUP(A119,'Price  List'!B:G,6,FALSE),"")</f>
        <v/>
      </c>
      <c r="H119" s="158" t="str">
        <f>IF(ISTEXT(OrderTable[[#This Row],[PART CODE]]),VLOOKUP(A119,'Price  List'!B:G,5,FALSE),"")</f>
        <v/>
      </c>
      <c r="I11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9" s="158" t="str">
        <f>IF(ISTEXT(OrderTable[[#This Row],[PART CODE]]),IF((ROUND(OrderTable[[#This Row],[Order Qty]]/OrderTable[[#This Row],[Case Qty]],0))=OrderTable[[#This Row],[Order Qty]]/OrderTable[[#This Row],[Case Qty]],OrderTable[[#This Row],[Order Qty]]/OrderTable[[#This Row],[Case Qty]],OrderTable[[#This Row],[Order Qty]]),"")</f>
        <v/>
      </c>
      <c r="K119" s="158" t="str">
        <f>IF(ISTEXT(OrderTable[[#This Row],[PART CODE]]),IF(OrderTable[[#This Row],[PART CODE]]="300.3712.GLV","PL",IF((ROUND(OrderTable[[#This Row],[Order Qty]]/OrderTable[[#This Row],[Case Qty]],0))=OrderTable[[#This Row],[Order Qty]]/OrderTable[[#This Row],[Case Qty]],"BOX","EA")),"")</f>
        <v/>
      </c>
      <c r="L119" s="160" t="str">
        <f>IF(ISTEXT(OrderTable[[#This Row],[PART CODE]]),OrderTable[[#This Row],[Order Qty]]*OrderTable[[#This Row],[Price / Ea]],"")</f>
        <v/>
      </c>
      <c r="M11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9" s="192" t="str">
        <f>IFERROR(VLOOKUP(OrderTable[[#This Row],[PART CODE]],'Short-Long Transition'!A:I,9,0)," ")</f>
        <v xml:space="preserve"> </v>
      </c>
    </row>
    <row r="120" spans="1:15" x14ac:dyDescent="0.25">
      <c r="A120" s="111"/>
      <c r="B120" s="112"/>
      <c r="C120" s="109"/>
      <c r="D120" s="157" t="str">
        <f>IF(ISTEXT(OrderTable[[#This Row],[PART CODE]]),VLOOKUP(A120,'Price  List'!B:G,3,FALSE),"")</f>
        <v/>
      </c>
      <c r="E120" s="157"/>
      <c r="F120" s="156">
        <f>OrderTable[[#This Row],[PART CODE]]</f>
        <v>0</v>
      </c>
      <c r="G120" s="191" t="str">
        <f>IF(ISTEXT(OrderTable[[#This Row],[PART CODE]]),VLOOKUP(A120,'Price  List'!B:G,6,FALSE),"")</f>
        <v/>
      </c>
      <c r="H120" s="158" t="str">
        <f>IF(ISTEXT(OrderTable[[#This Row],[PART CODE]]),VLOOKUP(A120,'Price  List'!B:G,5,FALSE),"")</f>
        <v/>
      </c>
      <c r="I12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0" s="158" t="str">
        <f>IF(ISTEXT(OrderTable[[#This Row],[PART CODE]]),IF((ROUND(OrderTable[[#This Row],[Order Qty]]/OrderTable[[#This Row],[Case Qty]],0))=OrderTable[[#This Row],[Order Qty]]/OrderTable[[#This Row],[Case Qty]],OrderTable[[#This Row],[Order Qty]]/OrderTable[[#This Row],[Case Qty]],OrderTable[[#This Row],[Order Qty]]),"")</f>
        <v/>
      </c>
      <c r="K120" s="158" t="str">
        <f>IF(ISTEXT(OrderTable[[#This Row],[PART CODE]]),IF(OrderTable[[#This Row],[PART CODE]]="300.3712.GLV","PL",IF((ROUND(OrderTable[[#This Row],[Order Qty]]/OrderTable[[#This Row],[Case Qty]],0))=OrderTable[[#This Row],[Order Qty]]/OrderTable[[#This Row],[Case Qty]],"BOX","EA")),"")</f>
        <v/>
      </c>
      <c r="L120" s="160" t="str">
        <f>IF(ISTEXT(OrderTable[[#This Row],[PART CODE]]),OrderTable[[#This Row],[Order Qty]]*OrderTable[[#This Row],[Price / Ea]],"")</f>
        <v/>
      </c>
      <c r="M12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0" s="192" t="str">
        <f>IFERROR(VLOOKUP(OrderTable[[#This Row],[PART CODE]],'Short-Long Transition'!A:I,9,0)," ")</f>
        <v xml:space="preserve"> </v>
      </c>
    </row>
    <row r="121" spans="1:15" x14ac:dyDescent="0.25">
      <c r="A121" s="111"/>
      <c r="B121" s="112"/>
      <c r="C121" s="109"/>
      <c r="D121" s="157" t="str">
        <f>IF(ISTEXT(OrderTable[[#This Row],[PART CODE]]),VLOOKUP(A121,'Price  List'!B:G,3,FALSE),"")</f>
        <v/>
      </c>
      <c r="E121" s="157"/>
      <c r="F121" s="156">
        <f>OrderTable[[#This Row],[PART CODE]]</f>
        <v>0</v>
      </c>
      <c r="G121" s="191" t="str">
        <f>IF(ISTEXT(OrderTable[[#This Row],[PART CODE]]),VLOOKUP(A121,'Price  List'!B:G,6,FALSE),"")</f>
        <v/>
      </c>
      <c r="H121" s="158" t="str">
        <f>IF(ISTEXT(OrderTable[[#This Row],[PART CODE]]),VLOOKUP(A121,'Price  List'!B:G,5,FALSE),"")</f>
        <v/>
      </c>
      <c r="I12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1" s="158" t="str">
        <f>IF(ISTEXT(OrderTable[[#This Row],[PART CODE]]),IF((ROUND(OrderTable[[#This Row],[Order Qty]]/OrderTable[[#This Row],[Case Qty]],0))=OrderTable[[#This Row],[Order Qty]]/OrderTable[[#This Row],[Case Qty]],OrderTable[[#This Row],[Order Qty]]/OrderTable[[#This Row],[Case Qty]],OrderTable[[#This Row],[Order Qty]]),"")</f>
        <v/>
      </c>
      <c r="K121" s="158" t="str">
        <f>IF(ISTEXT(OrderTable[[#This Row],[PART CODE]]),IF(OrderTable[[#This Row],[PART CODE]]="300.3712.GLV","PL",IF((ROUND(OrderTable[[#This Row],[Order Qty]]/OrderTable[[#This Row],[Case Qty]],0))=OrderTable[[#This Row],[Order Qty]]/OrderTable[[#This Row],[Case Qty]],"BOX","EA")),"")</f>
        <v/>
      </c>
      <c r="L121" s="160" t="str">
        <f>IF(ISTEXT(OrderTable[[#This Row],[PART CODE]]),OrderTable[[#This Row],[Order Qty]]*OrderTable[[#This Row],[Price / Ea]],"")</f>
        <v/>
      </c>
      <c r="M12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1" s="192" t="str">
        <f>IFERROR(VLOOKUP(OrderTable[[#This Row],[PART CODE]],'Short-Long Transition'!A:I,9,0)," ")</f>
        <v xml:space="preserve"> </v>
      </c>
    </row>
    <row r="122" spans="1:15" x14ac:dyDescent="0.25">
      <c r="A122" s="111"/>
      <c r="B122" s="112"/>
      <c r="C122" s="109"/>
      <c r="D122" s="157" t="str">
        <f>IF(ISTEXT(OrderTable[[#This Row],[PART CODE]]),VLOOKUP(A122,'Price  List'!B:G,3,FALSE),"")</f>
        <v/>
      </c>
      <c r="E122" s="157"/>
      <c r="F122" s="156">
        <f>OrderTable[[#This Row],[PART CODE]]</f>
        <v>0</v>
      </c>
      <c r="G122" s="191" t="str">
        <f>IF(ISTEXT(OrderTable[[#This Row],[PART CODE]]),VLOOKUP(A122,'Price  List'!B:G,6,FALSE),"")</f>
        <v/>
      </c>
      <c r="H122" s="158" t="str">
        <f>IF(ISTEXT(OrderTable[[#This Row],[PART CODE]]),VLOOKUP(A122,'Price  List'!B:G,5,FALSE),"")</f>
        <v/>
      </c>
      <c r="I12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2" s="158" t="str">
        <f>IF(ISTEXT(OrderTable[[#This Row],[PART CODE]]),IF((ROUND(OrderTable[[#This Row],[Order Qty]]/OrderTable[[#This Row],[Case Qty]],0))=OrderTable[[#This Row],[Order Qty]]/OrderTable[[#This Row],[Case Qty]],OrderTable[[#This Row],[Order Qty]]/OrderTable[[#This Row],[Case Qty]],OrderTable[[#This Row],[Order Qty]]),"")</f>
        <v/>
      </c>
      <c r="K122" s="158" t="str">
        <f>IF(ISTEXT(OrderTable[[#This Row],[PART CODE]]),IF(OrderTable[[#This Row],[PART CODE]]="300.3712.GLV","PL",IF((ROUND(OrderTable[[#This Row],[Order Qty]]/OrderTable[[#This Row],[Case Qty]],0))=OrderTable[[#This Row],[Order Qty]]/OrderTable[[#This Row],[Case Qty]],"BOX","EA")),"")</f>
        <v/>
      </c>
      <c r="L122" s="160" t="str">
        <f>IF(ISTEXT(OrderTable[[#This Row],[PART CODE]]),OrderTable[[#This Row],[Order Qty]]*OrderTable[[#This Row],[Price / Ea]],"")</f>
        <v/>
      </c>
      <c r="M12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2" s="192" t="str">
        <f>IFERROR(VLOOKUP(OrderTable[[#This Row],[PART CODE]],'Short-Long Transition'!A:I,9,0)," ")</f>
        <v xml:space="preserve"> </v>
      </c>
    </row>
    <row r="123" spans="1:15" x14ac:dyDescent="0.25">
      <c r="A123" s="111"/>
      <c r="B123" s="112"/>
      <c r="C123" s="109"/>
      <c r="D123" s="157" t="str">
        <f>IF(ISTEXT(OrderTable[[#This Row],[PART CODE]]),VLOOKUP(A123,'Price  List'!B:G,3,FALSE),"")</f>
        <v/>
      </c>
      <c r="E123" s="157"/>
      <c r="F123" s="156">
        <f>OrderTable[[#This Row],[PART CODE]]</f>
        <v>0</v>
      </c>
      <c r="G123" s="191" t="str">
        <f>IF(ISTEXT(OrderTable[[#This Row],[PART CODE]]),VLOOKUP(A123,'Price  List'!B:G,6,FALSE),"")</f>
        <v/>
      </c>
      <c r="H123" s="158" t="str">
        <f>IF(ISTEXT(OrderTable[[#This Row],[PART CODE]]),VLOOKUP(A123,'Price  List'!B:G,5,FALSE),"")</f>
        <v/>
      </c>
      <c r="I12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3" s="158" t="str">
        <f>IF(ISTEXT(OrderTable[[#This Row],[PART CODE]]),IF((ROUND(OrderTable[[#This Row],[Order Qty]]/OrderTable[[#This Row],[Case Qty]],0))=OrderTable[[#This Row],[Order Qty]]/OrderTable[[#This Row],[Case Qty]],OrderTable[[#This Row],[Order Qty]]/OrderTable[[#This Row],[Case Qty]],OrderTable[[#This Row],[Order Qty]]),"")</f>
        <v/>
      </c>
      <c r="K123" s="158" t="str">
        <f>IF(ISTEXT(OrderTable[[#This Row],[PART CODE]]),IF(OrderTable[[#This Row],[PART CODE]]="300.3712.GLV","PL",IF((ROUND(OrderTable[[#This Row],[Order Qty]]/OrderTable[[#This Row],[Case Qty]],0))=OrderTable[[#This Row],[Order Qty]]/OrderTable[[#This Row],[Case Qty]],"BOX","EA")),"")</f>
        <v/>
      </c>
      <c r="L123" s="160" t="str">
        <f>IF(ISTEXT(OrderTable[[#This Row],[PART CODE]]),OrderTable[[#This Row],[Order Qty]]*OrderTable[[#This Row],[Price / Ea]],"")</f>
        <v/>
      </c>
      <c r="M12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3" s="192" t="str">
        <f>IFERROR(VLOOKUP(OrderTable[[#This Row],[PART CODE]],'Short-Long Transition'!A:I,9,0)," ")</f>
        <v xml:space="preserve"> </v>
      </c>
    </row>
    <row r="124" spans="1:15" x14ac:dyDescent="0.25">
      <c r="A124" s="111"/>
      <c r="B124" s="112"/>
      <c r="C124" s="109"/>
      <c r="D124" s="157" t="str">
        <f>IF(ISTEXT(OrderTable[[#This Row],[PART CODE]]),VLOOKUP(A124,'Price  List'!B:G,3,FALSE),"")</f>
        <v/>
      </c>
      <c r="E124" s="157"/>
      <c r="F124" s="156">
        <f>OrderTable[[#This Row],[PART CODE]]</f>
        <v>0</v>
      </c>
      <c r="G124" s="191" t="str">
        <f>IF(ISTEXT(OrderTable[[#This Row],[PART CODE]]),VLOOKUP(A124,'Price  List'!B:G,6,FALSE),"")</f>
        <v/>
      </c>
      <c r="H124" s="158" t="str">
        <f>IF(ISTEXT(OrderTable[[#This Row],[PART CODE]]),VLOOKUP(A124,'Price  List'!B:G,5,FALSE),"")</f>
        <v/>
      </c>
      <c r="I12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4" s="158" t="str">
        <f>IF(ISTEXT(OrderTable[[#This Row],[PART CODE]]),IF((ROUND(OrderTable[[#This Row],[Order Qty]]/OrderTable[[#This Row],[Case Qty]],0))=OrderTable[[#This Row],[Order Qty]]/OrderTable[[#This Row],[Case Qty]],OrderTable[[#This Row],[Order Qty]]/OrderTable[[#This Row],[Case Qty]],OrderTable[[#This Row],[Order Qty]]),"")</f>
        <v/>
      </c>
      <c r="K124" s="158" t="str">
        <f>IF(ISTEXT(OrderTable[[#This Row],[PART CODE]]),IF(OrderTable[[#This Row],[PART CODE]]="300.3712.GLV","PL",IF((ROUND(OrderTable[[#This Row],[Order Qty]]/OrderTable[[#This Row],[Case Qty]],0))=OrderTable[[#This Row],[Order Qty]]/OrderTable[[#This Row],[Case Qty]],"BOX","EA")),"")</f>
        <v/>
      </c>
      <c r="L124" s="160" t="str">
        <f>IF(ISTEXT(OrderTable[[#This Row],[PART CODE]]),OrderTable[[#This Row],[Order Qty]]*OrderTable[[#This Row],[Price / Ea]],"")</f>
        <v/>
      </c>
      <c r="M12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4" s="192" t="str">
        <f>IFERROR(VLOOKUP(OrderTable[[#This Row],[PART CODE]],'Short-Long Transition'!A:I,9,0)," ")</f>
        <v xml:space="preserve"> </v>
      </c>
    </row>
    <row r="125" spans="1:15" x14ac:dyDescent="0.25">
      <c r="A125" s="111"/>
      <c r="B125" s="112"/>
      <c r="C125" s="109"/>
      <c r="D125" s="157" t="str">
        <f>IF(ISTEXT(OrderTable[[#This Row],[PART CODE]]),VLOOKUP(A125,'Price  List'!B:G,3,FALSE),"")</f>
        <v/>
      </c>
      <c r="E125" s="157"/>
      <c r="F125" s="156">
        <f>OrderTable[[#This Row],[PART CODE]]</f>
        <v>0</v>
      </c>
      <c r="G125" s="191" t="str">
        <f>IF(ISTEXT(OrderTable[[#This Row],[PART CODE]]),VLOOKUP(A125,'Price  List'!B:G,6,FALSE),"")</f>
        <v/>
      </c>
      <c r="H125" s="158" t="str">
        <f>IF(ISTEXT(OrderTable[[#This Row],[PART CODE]]),VLOOKUP(A125,'Price  List'!B:G,5,FALSE),"")</f>
        <v/>
      </c>
      <c r="I12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5" s="158" t="str">
        <f>IF(ISTEXT(OrderTable[[#This Row],[PART CODE]]),IF((ROUND(OrderTable[[#This Row],[Order Qty]]/OrderTable[[#This Row],[Case Qty]],0))=OrderTable[[#This Row],[Order Qty]]/OrderTable[[#This Row],[Case Qty]],OrderTable[[#This Row],[Order Qty]]/OrderTable[[#This Row],[Case Qty]],OrderTable[[#This Row],[Order Qty]]),"")</f>
        <v/>
      </c>
      <c r="K125" s="158" t="str">
        <f>IF(ISTEXT(OrderTable[[#This Row],[PART CODE]]),IF(OrderTable[[#This Row],[PART CODE]]="300.3712.GLV","PL",IF((ROUND(OrderTable[[#This Row],[Order Qty]]/OrderTable[[#This Row],[Case Qty]],0))=OrderTable[[#This Row],[Order Qty]]/OrderTable[[#This Row],[Case Qty]],"BOX","EA")),"")</f>
        <v/>
      </c>
      <c r="L125" s="160" t="str">
        <f>IF(ISTEXT(OrderTable[[#This Row],[PART CODE]]),OrderTable[[#This Row],[Order Qty]]*OrderTable[[#This Row],[Price / Ea]],"")</f>
        <v/>
      </c>
      <c r="M12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5" s="192" t="str">
        <f>IFERROR(VLOOKUP(OrderTable[[#This Row],[PART CODE]],'Short-Long Transition'!A:I,9,0)," ")</f>
        <v xml:space="preserve"> </v>
      </c>
    </row>
    <row r="126" spans="1:15" x14ac:dyDescent="0.25">
      <c r="A126" s="111"/>
      <c r="B126" s="112"/>
      <c r="C126" s="109"/>
      <c r="D126" s="157" t="str">
        <f>IF(ISTEXT(OrderTable[[#This Row],[PART CODE]]),VLOOKUP(A126,'Price  List'!B:G,3,FALSE),"")</f>
        <v/>
      </c>
      <c r="E126" s="157"/>
      <c r="F126" s="156">
        <f>OrderTable[[#This Row],[PART CODE]]</f>
        <v>0</v>
      </c>
      <c r="G126" s="191" t="str">
        <f>IF(ISTEXT(OrderTable[[#This Row],[PART CODE]]),VLOOKUP(A126,'Price  List'!B:G,6,FALSE),"")</f>
        <v/>
      </c>
      <c r="H126" s="158" t="str">
        <f>IF(ISTEXT(OrderTable[[#This Row],[PART CODE]]),VLOOKUP(A126,'Price  List'!B:G,5,FALSE),"")</f>
        <v/>
      </c>
      <c r="I12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6" s="158" t="str">
        <f>IF(ISTEXT(OrderTable[[#This Row],[PART CODE]]),IF((ROUND(OrderTable[[#This Row],[Order Qty]]/OrderTable[[#This Row],[Case Qty]],0))=OrderTable[[#This Row],[Order Qty]]/OrderTable[[#This Row],[Case Qty]],OrderTable[[#This Row],[Order Qty]]/OrderTable[[#This Row],[Case Qty]],OrderTable[[#This Row],[Order Qty]]),"")</f>
        <v/>
      </c>
      <c r="K126" s="158" t="str">
        <f>IF(ISTEXT(OrderTable[[#This Row],[PART CODE]]),IF(OrderTable[[#This Row],[PART CODE]]="300.3712.GLV","PL",IF((ROUND(OrderTable[[#This Row],[Order Qty]]/OrderTable[[#This Row],[Case Qty]],0))=OrderTable[[#This Row],[Order Qty]]/OrderTable[[#This Row],[Case Qty]],"BOX","EA")),"")</f>
        <v/>
      </c>
      <c r="L126" s="160" t="str">
        <f>IF(ISTEXT(OrderTable[[#This Row],[PART CODE]]),OrderTable[[#This Row],[Order Qty]]*OrderTable[[#This Row],[Price / Ea]],"")</f>
        <v/>
      </c>
      <c r="M12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6" s="192" t="str">
        <f>IFERROR(VLOOKUP(OrderTable[[#This Row],[PART CODE]],'Short-Long Transition'!A:I,9,0)," ")</f>
        <v xml:space="preserve"> </v>
      </c>
    </row>
    <row r="127" spans="1:15" x14ac:dyDescent="0.25">
      <c r="A127" s="111"/>
      <c r="B127" s="112"/>
      <c r="C127" s="109"/>
      <c r="D127" s="157" t="str">
        <f>IF(ISTEXT(OrderTable[[#This Row],[PART CODE]]),VLOOKUP(A127,'Price  List'!B:G,3,FALSE),"")</f>
        <v/>
      </c>
      <c r="E127" s="157"/>
      <c r="F127" s="156">
        <f>OrderTable[[#This Row],[PART CODE]]</f>
        <v>0</v>
      </c>
      <c r="G127" s="191" t="str">
        <f>IF(ISTEXT(OrderTable[[#This Row],[PART CODE]]),VLOOKUP(A127,'Price  List'!B:G,6,FALSE),"")</f>
        <v/>
      </c>
      <c r="H127" s="158" t="str">
        <f>IF(ISTEXT(OrderTable[[#This Row],[PART CODE]]),VLOOKUP(A127,'Price  List'!B:G,5,FALSE),"")</f>
        <v/>
      </c>
      <c r="I12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7" s="158" t="str">
        <f>IF(ISTEXT(OrderTable[[#This Row],[PART CODE]]),IF((ROUND(OrderTable[[#This Row],[Order Qty]]/OrderTable[[#This Row],[Case Qty]],0))=OrderTable[[#This Row],[Order Qty]]/OrderTable[[#This Row],[Case Qty]],OrderTable[[#This Row],[Order Qty]]/OrderTable[[#This Row],[Case Qty]],OrderTable[[#This Row],[Order Qty]]),"")</f>
        <v/>
      </c>
      <c r="K127" s="158" t="str">
        <f>IF(ISTEXT(OrderTable[[#This Row],[PART CODE]]),IF(OrderTable[[#This Row],[PART CODE]]="300.3712.GLV","PL",IF((ROUND(OrderTable[[#This Row],[Order Qty]]/OrderTable[[#This Row],[Case Qty]],0))=OrderTable[[#This Row],[Order Qty]]/OrderTable[[#This Row],[Case Qty]],"BOX","EA")),"")</f>
        <v/>
      </c>
      <c r="L127" s="160" t="str">
        <f>IF(ISTEXT(OrderTable[[#This Row],[PART CODE]]),OrderTable[[#This Row],[Order Qty]]*OrderTable[[#This Row],[Price / Ea]],"")</f>
        <v/>
      </c>
      <c r="M12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7" s="192" t="str">
        <f>IFERROR(VLOOKUP(OrderTable[[#This Row],[PART CODE]],'Short-Long Transition'!A:I,9,0)," ")</f>
        <v xml:space="preserve"> </v>
      </c>
    </row>
    <row r="128" spans="1:15" x14ac:dyDescent="0.25">
      <c r="A128" s="111"/>
      <c r="B128" s="112"/>
      <c r="C128" s="109"/>
      <c r="D128" s="157" t="str">
        <f>IF(ISTEXT(OrderTable[[#This Row],[PART CODE]]),VLOOKUP(A128,'Price  List'!B:G,3,FALSE),"")</f>
        <v/>
      </c>
      <c r="E128" s="157"/>
      <c r="F128" s="156">
        <f>OrderTable[[#This Row],[PART CODE]]</f>
        <v>0</v>
      </c>
      <c r="G128" s="191" t="str">
        <f>IF(ISTEXT(OrderTable[[#This Row],[PART CODE]]),VLOOKUP(A128,'Price  List'!B:G,6,FALSE),"")</f>
        <v/>
      </c>
      <c r="H128" s="158" t="str">
        <f>IF(ISTEXT(OrderTable[[#This Row],[PART CODE]]),VLOOKUP(A128,'Price  List'!B:G,5,FALSE),"")</f>
        <v/>
      </c>
      <c r="I12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8" s="158" t="str">
        <f>IF(ISTEXT(OrderTable[[#This Row],[PART CODE]]),IF((ROUND(OrderTable[[#This Row],[Order Qty]]/OrderTable[[#This Row],[Case Qty]],0))=OrderTable[[#This Row],[Order Qty]]/OrderTable[[#This Row],[Case Qty]],OrderTable[[#This Row],[Order Qty]]/OrderTable[[#This Row],[Case Qty]],OrderTable[[#This Row],[Order Qty]]),"")</f>
        <v/>
      </c>
      <c r="K128" s="158" t="str">
        <f>IF(ISTEXT(OrderTable[[#This Row],[PART CODE]]),IF(OrderTable[[#This Row],[PART CODE]]="300.3712.GLV","PL",IF((ROUND(OrderTable[[#This Row],[Order Qty]]/OrderTable[[#This Row],[Case Qty]],0))=OrderTable[[#This Row],[Order Qty]]/OrderTable[[#This Row],[Case Qty]],"BOX","EA")),"")</f>
        <v/>
      </c>
      <c r="L128" s="160" t="str">
        <f>IF(ISTEXT(OrderTable[[#This Row],[PART CODE]]),OrderTable[[#This Row],[Order Qty]]*OrderTable[[#This Row],[Price / Ea]],"")</f>
        <v/>
      </c>
      <c r="M12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8" s="192" t="str">
        <f>IFERROR(VLOOKUP(OrderTable[[#This Row],[PART CODE]],'Short-Long Transition'!A:I,9,0)," ")</f>
        <v xml:space="preserve"> </v>
      </c>
    </row>
    <row r="129" spans="1:15" x14ac:dyDescent="0.25">
      <c r="A129" s="111"/>
      <c r="B129" s="112"/>
      <c r="C129" s="109"/>
      <c r="D129" s="157" t="str">
        <f>IF(ISTEXT(OrderTable[[#This Row],[PART CODE]]),VLOOKUP(A129,'Price  List'!B:G,3,FALSE),"")</f>
        <v/>
      </c>
      <c r="E129" s="157"/>
      <c r="F129" s="156">
        <f>OrderTable[[#This Row],[PART CODE]]</f>
        <v>0</v>
      </c>
      <c r="G129" s="191" t="str">
        <f>IF(ISTEXT(OrderTable[[#This Row],[PART CODE]]),VLOOKUP(A129,'Price  List'!B:G,6,FALSE),"")</f>
        <v/>
      </c>
      <c r="H129" s="158" t="str">
        <f>IF(ISTEXT(OrderTable[[#This Row],[PART CODE]]),VLOOKUP(A129,'Price  List'!B:G,5,FALSE),"")</f>
        <v/>
      </c>
      <c r="I12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9" s="158" t="str">
        <f>IF(ISTEXT(OrderTable[[#This Row],[PART CODE]]),IF((ROUND(OrderTable[[#This Row],[Order Qty]]/OrderTable[[#This Row],[Case Qty]],0))=OrderTable[[#This Row],[Order Qty]]/OrderTable[[#This Row],[Case Qty]],OrderTable[[#This Row],[Order Qty]]/OrderTable[[#This Row],[Case Qty]],OrderTable[[#This Row],[Order Qty]]),"")</f>
        <v/>
      </c>
      <c r="K129" s="158" t="str">
        <f>IF(ISTEXT(OrderTable[[#This Row],[PART CODE]]),IF(OrderTable[[#This Row],[PART CODE]]="300.3712.GLV","PL",IF((ROUND(OrderTable[[#This Row],[Order Qty]]/OrderTable[[#This Row],[Case Qty]],0))=OrderTable[[#This Row],[Order Qty]]/OrderTable[[#This Row],[Case Qty]],"BOX","EA")),"")</f>
        <v/>
      </c>
      <c r="L129" s="160" t="str">
        <f>IF(ISTEXT(OrderTable[[#This Row],[PART CODE]]),OrderTable[[#This Row],[Order Qty]]*OrderTable[[#This Row],[Price / Ea]],"")</f>
        <v/>
      </c>
      <c r="M12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9" s="192" t="str">
        <f>IFERROR(VLOOKUP(OrderTable[[#This Row],[PART CODE]],'Short-Long Transition'!A:I,9,0)," ")</f>
        <v xml:space="preserve"> </v>
      </c>
    </row>
    <row r="130" spans="1:15" x14ac:dyDescent="0.25">
      <c r="A130" s="111"/>
      <c r="B130" s="112"/>
      <c r="C130" s="109"/>
      <c r="D130" s="157" t="str">
        <f>IF(ISTEXT(OrderTable[[#This Row],[PART CODE]]),VLOOKUP(A130,'Price  List'!B:G,3,FALSE),"")</f>
        <v/>
      </c>
      <c r="E130" s="157"/>
      <c r="F130" s="156">
        <f>OrderTable[[#This Row],[PART CODE]]</f>
        <v>0</v>
      </c>
      <c r="G130" s="191" t="str">
        <f>IF(ISTEXT(OrderTable[[#This Row],[PART CODE]]),VLOOKUP(A130,'Price  List'!B:G,6,FALSE),"")</f>
        <v/>
      </c>
      <c r="H130" s="158" t="str">
        <f>IF(ISTEXT(OrderTable[[#This Row],[PART CODE]]),VLOOKUP(A130,'Price  List'!B:G,5,FALSE),"")</f>
        <v/>
      </c>
      <c r="I13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0" s="158" t="str">
        <f>IF(ISTEXT(OrderTable[[#This Row],[PART CODE]]),IF((ROUND(OrderTable[[#This Row],[Order Qty]]/OrderTable[[#This Row],[Case Qty]],0))=OrderTable[[#This Row],[Order Qty]]/OrderTable[[#This Row],[Case Qty]],OrderTable[[#This Row],[Order Qty]]/OrderTable[[#This Row],[Case Qty]],OrderTable[[#This Row],[Order Qty]]),"")</f>
        <v/>
      </c>
      <c r="K130" s="158" t="str">
        <f>IF(ISTEXT(OrderTable[[#This Row],[PART CODE]]),IF(OrderTable[[#This Row],[PART CODE]]="300.3712.GLV","PL",IF((ROUND(OrderTable[[#This Row],[Order Qty]]/OrderTable[[#This Row],[Case Qty]],0))=OrderTable[[#This Row],[Order Qty]]/OrderTable[[#This Row],[Case Qty]],"BOX","EA")),"")</f>
        <v/>
      </c>
      <c r="L130" s="160" t="str">
        <f>IF(ISTEXT(OrderTable[[#This Row],[PART CODE]]),OrderTable[[#This Row],[Order Qty]]*OrderTable[[#This Row],[Price / Ea]],"")</f>
        <v/>
      </c>
      <c r="M13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0" s="192" t="str">
        <f>IFERROR(VLOOKUP(OrderTable[[#This Row],[PART CODE]],'Short-Long Transition'!A:I,9,0)," ")</f>
        <v xml:space="preserve"> </v>
      </c>
    </row>
    <row r="131" spans="1:15" x14ac:dyDescent="0.25">
      <c r="A131" s="111"/>
      <c r="B131" s="112"/>
      <c r="C131" s="109"/>
      <c r="D131" s="157" t="str">
        <f>IF(ISTEXT(OrderTable[[#This Row],[PART CODE]]),VLOOKUP(A131,'Price  List'!B:G,3,FALSE),"")</f>
        <v/>
      </c>
      <c r="E131" s="157"/>
      <c r="F131" s="156">
        <f>OrderTable[[#This Row],[PART CODE]]</f>
        <v>0</v>
      </c>
      <c r="G131" s="191" t="str">
        <f>IF(ISTEXT(OrderTable[[#This Row],[PART CODE]]),VLOOKUP(A131,'Price  List'!B:G,6,FALSE),"")</f>
        <v/>
      </c>
      <c r="H131" s="158" t="str">
        <f>IF(ISTEXT(OrderTable[[#This Row],[PART CODE]]),VLOOKUP(A131,'Price  List'!B:G,5,FALSE),"")</f>
        <v/>
      </c>
      <c r="I13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1" s="158" t="str">
        <f>IF(ISTEXT(OrderTable[[#This Row],[PART CODE]]),IF((ROUND(OrderTable[[#This Row],[Order Qty]]/OrderTable[[#This Row],[Case Qty]],0))=OrderTable[[#This Row],[Order Qty]]/OrderTable[[#This Row],[Case Qty]],OrderTable[[#This Row],[Order Qty]]/OrderTable[[#This Row],[Case Qty]],OrderTable[[#This Row],[Order Qty]]),"")</f>
        <v/>
      </c>
      <c r="K131" s="158" t="str">
        <f>IF(ISTEXT(OrderTable[[#This Row],[PART CODE]]),IF(OrderTable[[#This Row],[PART CODE]]="300.3712.GLV","PL",IF((ROUND(OrderTable[[#This Row],[Order Qty]]/OrderTable[[#This Row],[Case Qty]],0))=OrderTable[[#This Row],[Order Qty]]/OrderTable[[#This Row],[Case Qty]],"BOX","EA")),"")</f>
        <v/>
      </c>
      <c r="L131" s="160" t="str">
        <f>IF(ISTEXT(OrderTable[[#This Row],[PART CODE]]),OrderTable[[#This Row],[Order Qty]]*OrderTable[[#This Row],[Price / Ea]],"")</f>
        <v/>
      </c>
      <c r="M13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1" s="192" t="str">
        <f>IFERROR(VLOOKUP(OrderTable[[#This Row],[PART CODE]],'Short-Long Transition'!A:I,9,0)," ")</f>
        <v xml:space="preserve"> </v>
      </c>
    </row>
    <row r="132" spans="1:15" x14ac:dyDescent="0.25">
      <c r="A132" s="111"/>
      <c r="B132" s="112"/>
      <c r="C132" s="109"/>
      <c r="D132" s="157" t="str">
        <f>IF(ISTEXT(OrderTable[[#This Row],[PART CODE]]),VLOOKUP(A132,'Price  List'!B:G,3,FALSE),"")</f>
        <v/>
      </c>
      <c r="E132" s="157"/>
      <c r="F132" s="156">
        <f>OrderTable[[#This Row],[PART CODE]]</f>
        <v>0</v>
      </c>
      <c r="G132" s="191" t="str">
        <f>IF(ISTEXT(OrderTable[[#This Row],[PART CODE]]),VLOOKUP(A132,'Price  List'!B:G,6,FALSE),"")</f>
        <v/>
      </c>
      <c r="H132" s="158" t="str">
        <f>IF(ISTEXT(OrderTable[[#This Row],[PART CODE]]),VLOOKUP(A132,'Price  List'!B:G,5,FALSE),"")</f>
        <v/>
      </c>
      <c r="I13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2" s="158" t="str">
        <f>IF(ISTEXT(OrderTable[[#This Row],[PART CODE]]),IF((ROUND(OrderTable[[#This Row],[Order Qty]]/OrderTable[[#This Row],[Case Qty]],0))=OrderTable[[#This Row],[Order Qty]]/OrderTable[[#This Row],[Case Qty]],OrderTable[[#This Row],[Order Qty]]/OrderTable[[#This Row],[Case Qty]],OrderTable[[#This Row],[Order Qty]]),"")</f>
        <v/>
      </c>
      <c r="K132" s="158" t="str">
        <f>IF(ISTEXT(OrderTable[[#This Row],[PART CODE]]),IF(OrderTable[[#This Row],[PART CODE]]="300.3712.GLV","PL",IF((ROUND(OrderTable[[#This Row],[Order Qty]]/OrderTable[[#This Row],[Case Qty]],0))=OrderTable[[#This Row],[Order Qty]]/OrderTable[[#This Row],[Case Qty]],"BOX","EA")),"")</f>
        <v/>
      </c>
      <c r="L132" s="160" t="str">
        <f>IF(ISTEXT(OrderTable[[#This Row],[PART CODE]]),OrderTable[[#This Row],[Order Qty]]*OrderTable[[#This Row],[Price / Ea]],"")</f>
        <v/>
      </c>
      <c r="M13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2" s="192" t="str">
        <f>IFERROR(VLOOKUP(OrderTable[[#This Row],[PART CODE]],'Short-Long Transition'!A:I,9,0)," ")</f>
        <v xml:space="preserve"> </v>
      </c>
    </row>
    <row r="133" spans="1:15" x14ac:dyDescent="0.25">
      <c r="A133" s="111"/>
      <c r="B133" s="112"/>
      <c r="C133" s="109"/>
      <c r="D133" s="157" t="str">
        <f>IF(ISTEXT(OrderTable[[#This Row],[PART CODE]]),VLOOKUP(A133,'Price  List'!B:G,3,FALSE),"")</f>
        <v/>
      </c>
      <c r="E133" s="157"/>
      <c r="F133" s="156">
        <f>OrderTable[[#This Row],[PART CODE]]</f>
        <v>0</v>
      </c>
      <c r="G133" s="191" t="str">
        <f>IF(ISTEXT(OrderTable[[#This Row],[PART CODE]]),VLOOKUP(A133,'Price  List'!B:G,6,FALSE),"")</f>
        <v/>
      </c>
      <c r="H133" s="158" t="str">
        <f>IF(ISTEXT(OrderTable[[#This Row],[PART CODE]]),VLOOKUP(A133,'Price  List'!B:G,5,FALSE),"")</f>
        <v/>
      </c>
      <c r="I13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3" s="158" t="str">
        <f>IF(ISTEXT(OrderTable[[#This Row],[PART CODE]]),IF((ROUND(OrderTable[[#This Row],[Order Qty]]/OrderTable[[#This Row],[Case Qty]],0))=OrderTable[[#This Row],[Order Qty]]/OrderTable[[#This Row],[Case Qty]],OrderTable[[#This Row],[Order Qty]]/OrderTable[[#This Row],[Case Qty]],OrderTable[[#This Row],[Order Qty]]),"")</f>
        <v/>
      </c>
      <c r="K133" s="158" t="str">
        <f>IF(ISTEXT(OrderTable[[#This Row],[PART CODE]]),IF(OrderTable[[#This Row],[PART CODE]]="300.3712.GLV","PL",IF((ROUND(OrderTable[[#This Row],[Order Qty]]/OrderTable[[#This Row],[Case Qty]],0))=OrderTable[[#This Row],[Order Qty]]/OrderTable[[#This Row],[Case Qty]],"BOX","EA")),"")</f>
        <v/>
      </c>
      <c r="L133" s="160" t="str">
        <f>IF(ISTEXT(OrderTable[[#This Row],[PART CODE]]),OrderTable[[#This Row],[Order Qty]]*OrderTable[[#This Row],[Price / Ea]],"")</f>
        <v/>
      </c>
      <c r="M13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3" s="192" t="str">
        <f>IFERROR(VLOOKUP(OrderTable[[#This Row],[PART CODE]],'Short-Long Transition'!A:I,9,0)," ")</f>
        <v xml:space="preserve"> </v>
      </c>
    </row>
    <row r="134" spans="1:15" x14ac:dyDescent="0.25">
      <c r="A134" s="111"/>
      <c r="B134" s="112"/>
      <c r="C134" s="109"/>
      <c r="D134" s="157" t="str">
        <f>IF(ISTEXT(OrderTable[[#This Row],[PART CODE]]),VLOOKUP(A134,'Price  List'!B:G,3,FALSE),"")</f>
        <v/>
      </c>
      <c r="E134" s="157"/>
      <c r="F134" s="156">
        <f>OrderTable[[#This Row],[PART CODE]]</f>
        <v>0</v>
      </c>
      <c r="G134" s="191" t="str">
        <f>IF(ISTEXT(OrderTable[[#This Row],[PART CODE]]),VLOOKUP(A134,'Price  List'!B:G,6,FALSE),"")</f>
        <v/>
      </c>
      <c r="H134" s="158" t="str">
        <f>IF(ISTEXT(OrderTable[[#This Row],[PART CODE]]),VLOOKUP(A134,'Price  List'!B:G,5,FALSE),"")</f>
        <v/>
      </c>
      <c r="I13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4" s="158" t="str">
        <f>IF(ISTEXT(OrderTable[[#This Row],[PART CODE]]),IF((ROUND(OrderTable[[#This Row],[Order Qty]]/OrderTable[[#This Row],[Case Qty]],0))=OrderTable[[#This Row],[Order Qty]]/OrderTable[[#This Row],[Case Qty]],OrderTable[[#This Row],[Order Qty]]/OrderTable[[#This Row],[Case Qty]],OrderTable[[#This Row],[Order Qty]]),"")</f>
        <v/>
      </c>
      <c r="K134" s="158" t="str">
        <f>IF(ISTEXT(OrderTable[[#This Row],[PART CODE]]),IF(OrderTable[[#This Row],[PART CODE]]="300.3712.GLV","PL",IF((ROUND(OrderTable[[#This Row],[Order Qty]]/OrderTable[[#This Row],[Case Qty]],0))=OrderTable[[#This Row],[Order Qty]]/OrderTable[[#This Row],[Case Qty]],"BOX","EA")),"")</f>
        <v/>
      </c>
      <c r="L134" s="160" t="str">
        <f>IF(ISTEXT(OrderTable[[#This Row],[PART CODE]]),OrderTable[[#This Row],[Order Qty]]*OrderTable[[#This Row],[Price / Ea]],"")</f>
        <v/>
      </c>
      <c r="M13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4" s="192" t="str">
        <f>IFERROR(VLOOKUP(OrderTable[[#This Row],[PART CODE]],'Short-Long Transition'!A:I,9,0)," ")</f>
        <v xml:space="preserve"> </v>
      </c>
    </row>
    <row r="135" spans="1:15" x14ac:dyDescent="0.25">
      <c r="A135" s="111"/>
      <c r="B135" s="112"/>
      <c r="C135" s="109"/>
      <c r="D135" s="157" t="str">
        <f>IF(ISTEXT(OrderTable[[#This Row],[PART CODE]]),VLOOKUP(A135,'Price  List'!B:G,3,FALSE),"")</f>
        <v/>
      </c>
      <c r="E135" s="157"/>
      <c r="F135" s="156">
        <f>OrderTable[[#This Row],[PART CODE]]</f>
        <v>0</v>
      </c>
      <c r="G135" s="191" t="str">
        <f>IF(ISTEXT(OrderTable[[#This Row],[PART CODE]]),VLOOKUP(A135,'Price  List'!B:G,6,FALSE),"")</f>
        <v/>
      </c>
      <c r="H135" s="158" t="str">
        <f>IF(ISTEXT(OrderTable[[#This Row],[PART CODE]]),VLOOKUP(A135,'Price  List'!B:G,5,FALSE),"")</f>
        <v/>
      </c>
      <c r="I13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5" s="158" t="str">
        <f>IF(ISTEXT(OrderTable[[#This Row],[PART CODE]]),IF((ROUND(OrderTable[[#This Row],[Order Qty]]/OrderTable[[#This Row],[Case Qty]],0))=OrderTable[[#This Row],[Order Qty]]/OrderTable[[#This Row],[Case Qty]],OrderTable[[#This Row],[Order Qty]]/OrderTable[[#This Row],[Case Qty]],OrderTable[[#This Row],[Order Qty]]),"")</f>
        <v/>
      </c>
      <c r="K135" s="158" t="str">
        <f>IF(ISTEXT(OrderTable[[#This Row],[PART CODE]]),IF(OrderTable[[#This Row],[PART CODE]]="300.3712.GLV","PL",IF((ROUND(OrderTable[[#This Row],[Order Qty]]/OrderTable[[#This Row],[Case Qty]],0))=OrderTable[[#This Row],[Order Qty]]/OrderTable[[#This Row],[Case Qty]],"BOX","EA")),"")</f>
        <v/>
      </c>
      <c r="L135" s="160" t="str">
        <f>IF(ISTEXT(OrderTable[[#This Row],[PART CODE]]),OrderTable[[#This Row],[Order Qty]]*OrderTable[[#This Row],[Price / Ea]],"")</f>
        <v/>
      </c>
      <c r="M13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5" s="192" t="str">
        <f>IFERROR(VLOOKUP(OrderTable[[#This Row],[PART CODE]],'Short-Long Transition'!A:I,9,0)," ")</f>
        <v xml:space="preserve"> </v>
      </c>
    </row>
    <row r="136" spans="1:15" x14ac:dyDescent="0.25">
      <c r="A136" s="111"/>
      <c r="B136" s="112"/>
      <c r="C136" s="109"/>
      <c r="D136" s="157" t="str">
        <f>IF(ISTEXT(OrderTable[[#This Row],[PART CODE]]),VLOOKUP(A136,'Price  List'!B:G,3,FALSE),"")</f>
        <v/>
      </c>
      <c r="E136" s="157"/>
      <c r="F136" s="156">
        <f>OrderTable[[#This Row],[PART CODE]]</f>
        <v>0</v>
      </c>
      <c r="G136" s="191" t="str">
        <f>IF(ISTEXT(OrderTable[[#This Row],[PART CODE]]),VLOOKUP(A136,'Price  List'!B:G,6,FALSE),"")</f>
        <v/>
      </c>
      <c r="H136" s="158" t="str">
        <f>IF(ISTEXT(OrderTable[[#This Row],[PART CODE]]),VLOOKUP(A136,'Price  List'!B:G,5,FALSE),"")</f>
        <v/>
      </c>
      <c r="I13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6" s="158" t="str">
        <f>IF(ISTEXT(OrderTable[[#This Row],[PART CODE]]),IF((ROUND(OrderTable[[#This Row],[Order Qty]]/OrderTable[[#This Row],[Case Qty]],0))=OrderTable[[#This Row],[Order Qty]]/OrderTable[[#This Row],[Case Qty]],OrderTable[[#This Row],[Order Qty]]/OrderTable[[#This Row],[Case Qty]],OrderTable[[#This Row],[Order Qty]]),"")</f>
        <v/>
      </c>
      <c r="K136" s="158" t="str">
        <f>IF(ISTEXT(OrderTable[[#This Row],[PART CODE]]),IF(OrderTable[[#This Row],[PART CODE]]="300.3712.GLV","PL",IF((ROUND(OrderTable[[#This Row],[Order Qty]]/OrderTable[[#This Row],[Case Qty]],0))=OrderTable[[#This Row],[Order Qty]]/OrderTable[[#This Row],[Case Qty]],"BOX","EA")),"")</f>
        <v/>
      </c>
      <c r="L136" s="160" t="str">
        <f>IF(ISTEXT(OrderTable[[#This Row],[PART CODE]]),OrderTable[[#This Row],[Order Qty]]*OrderTable[[#This Row],[Price / Ea]],"")</f>
        <v/>
      </c>
      <c r="M13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6" s="192" t="str">
        <f>IFERROR(VLOOKUP(OrderTable[[#This Row],[PART CODE]],'Short-Long Transition'!A:I,9,0)," ")</f>
        <v xml:space="preserve"> </v>
      </c>
    </row>
    <row r="137" spans="1:15" x14ac:dyDescent="0.25">
      <c r="A137" s="111"/>
      <c r="B137" s="112"/>
      <c r="C137" s="109"/>
      <c r="D137" s="157" t="str">
        <f>IF(ISTEXT(OrderTable[[#This Row],[PART CODE]]),VLOOKUP(A137,'Price  List'!B:G,3,FALSE),"")</f>
        <v/>
      </c>
      <c r="E137" s="157"/>
      <c r="F137" s="156">
        <f>OrderTable[[#This Row],[PART CODE]]</f>
        <v>0</v>
      </c>
      <c r="G137" s="191" t="str">
        <f>IF(ISTEXT(OrderTable[[#This Row],[PART CODE]]),VLOOKUP(A137,'Price  List'!B:G,6,FALSE),"")</f>
        <v/>
      </c>
      <c r="H137" s="158" t="str">
        <f>IF(ISTEXT(OrderTable[[#This Row],[PART CODE]]),VLOOKUP(A137,'Price  List'!B:G,5,FALSE),"")</f>
        <v/>
      </c>
      <c r="I13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7" s="158" t="str">
        <f>IF(ISTEXT(OrderTable[[#This Row],[PART CODE]]),IF((ROUND(OrderTable[[#This Row],[Order Qty]]/OrderTable[[#This Row],[Case Qty]],0))=OrderTable[[#This Row],[Order Qty]]/OrderTable[[#This Row],[Case Qty]],OrderTable[[#This Row],[Order Qty]]/OrderTable[[#This Row],[Case Qty]],OrderTable[[#This Row],[Order Qty]]),"")</f>
        <v/>
      </c>
      <c r="K137" s="158" t="str">
        <f>IF(ISTEXT(OrderTable[[#This Row],[PART CODE]]),IF(OrderTable[[#This Row],[PART CODE]]="300.3712.GLV","PL",IF((ROUND(OrderTable[[#This Row],[Order Qty]]/OrderTable[[#This Row],[Case Qty]],0))=OrderTable[[#This Row],[Order Qty]]/OrderTable[[#This Row],[Case Qty]],"BOX","EA")),"")</f>
        <v/>
      </c>
      <c r="L137" s="160" t="str">
        <f>IF(ISTEXT(OrderTable[[#This Row],[PART CODE]]),OrderTable[[#This Row],[Order Qty]]*OrderTable[[#This Row],[Price / Ea]],"")</f>
        <v/>
      </c>
      <c r="M13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7" s="192" t="str">
        <f>IFERROR(VLOOKUP(OrderTable[[#This Row],[PART CODE]],'Short-Long Transition'!A:I,9,0)," ")</f>
        <v xml:space="preserve"> </v>
      </c>
    </row>
    <row r="138" spans="1:15" x14ac:dyDescent="0.25">
      <c r="A138" s="111"/>
      <c r="B138" s="112"/>
      <c r="C138" s="109"/>
      <c r="D138" s="157" t="str">
        <f>IF(ISTEXT(OrderTable[[#This Row],[PART CODE]]),VLOOKUP(A138,'Price  List'!B:G,3,FALSE),"")</f>
        <v/>
      </c>
      <c r="E138" s="157"/>
      <c r="F138" s="156">
        <f>OrderTable[[#This Row],[PART CODE]]</f>
        <v>0</v>
      </c>
      <c r="G138" s="191" t="str">
        <f>IF(ISTEXT(OrderTable[[#This Row],[PART CODE]]),VLOOKUP(A138,'Price  List'!B:G,6,FALSE),"")</f>
        <v/>
      </c>
      <c r="H138" s="158" t="str">
        <f>IF(ISTEXT(OrderTable[[#This Row],[PART CODE]]),VLOOKUP(A138,'Price  List'!B:G,5,FALSE),"")</f>
        <v/>
      </c>
      <c r="I13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8" s="158" t="str">
        <f>IF(ISTEXT(OrderTable[[#This Row],[PART CODE]]),IF((ROUND(OrderTable[[#This Row],[Order Qty]]/OrderTable[[#This Row],[Case Qty]],0))=OrderTable[[#This Row],[Order Qty]]/OrderTable[[#This Row],[Case Qty]],OrderTable[[#This Row],[Order Qty]]/OrderTable[[#This Row],[Case Qty]],OrderTable[[#This Row],[Order Qty]]),"")</f>
        <v/>
      </c>
      <c r="K138" s="158" t="str">
        <f>IF(ISTEXT(OrderTable[[#This Row],[PART CODE]]),IF(OrderTable[[#This Row],[PART CODE]]="300.3712.GLV","PL",IF((ROUND(OrderTable[[#This Row],[Order Qty]]/OrderTable[[#This Row],[Case Qty]],0))=OrderTable[[#This Row],[Order Qty]]/OrderTable[[#This Row],[Case Qty]],"BOX","EA")),"")</f>
        <v/>
      </c>
      <c r="L138" s="160" t="str">
        <f>IF(ISTEXT(OrderTable[[#This Row],[PART CODE]]),OrderTable[[#This Row],[Order Qty]]*OrderTable[[#This Row],[Price / Ea]],"")</f>
        <v/>
      </c>
      <c r="M13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8" s="192" t="str">
        <f>IFERROR(VLOOKUP(OrderTable[[#This Row],[PART CODE]],'Short-Long Transition'!A:I,9,0)," ")</f>
        <v xml:space="preserve"> </v>
      </c>
    </row>
    <row r="139" spans="1:15" x14ac:dyDescent="0.25">
      <c r="A139" s="111"/>
      <c r="B139" s="112"/>
      <c r="C139" s="109"/>
      <c r="D139" s="157" t="str">
        <f>IF(ISTEXT(OrderTable[[#This Row],[PART CODE]]),VLOOKUP(A139,'Price  List'!B:G,3,FALSE),"")</f>
        <v/>
      </c>
      <c r="E139" s="157"/>
      <c r="F139" s="156">
        <f>OrderTable[[#This Row],[PART CODE]]</f>
        <v>0</v>
      </c>
      <c r="G139" s="191" t="str">
        <f>IF(ISTEXT(OrderTable[[#This Row],[PART CODE]]),VLOOKUP(A139,'Price  List'!B:G,6,FALSE),"")</f>
        <v/>
      </c>
      <c r="H139" s="158" t="str">
        <f>IF(ISTEXT(OrderTable[[#This Row],[PART CODE]]),VLOOKUP(A139,'Price  List'!B:G,5,FALSE),"")</f>
        <v/>
      </c>
      <c r="I13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9" s="158" t="str">
        <f>IF(ISTEXT(OrderTable[[#This Row],[PART CODE]]),IF((ROUND(OrderTable[[#This Row],[Order Qty]]/OrderTable[[#This Row],[Case Qty]],0))=OrderTable[[#This Row],[Order Qty]]/OrderTable[[#This Row],[Case Qty]],OrderTable[[#This Row],[Order Qty]]/OrderTable[[#This Row],[Case Qty]],OrderTable[[#This Row],[Order Qty]]),"")</f>
        <v/>
      </c>
      <c r="K139" s="158" t="str">
        <f>IF(ISTEXT(OrderTable[[#This Row],[PART CODE]]),IF(OrderTable[[#This Row],[PART CODE]]="300.3712.GLV","PL",IF((ROUND(OrderTable[[#This Row],[Order Qty]]/OrderTable[[#This Row],[Case Qty]],0))=OrderTable[[#This Row],[Order Qty]]/OrderTable[[#This Row],[Case Qty]],"BOX","EA")),"")</f>
        <v/>
      </c>
      <c r="L139" s="160" t="str">
        <f>IF(ISTEXT(OrderTable[[#This Row],[PART CODE]]),OrderTable[[#This Row],[Order Qty]]*OrderTable[[#This Row],[Price / Ea]],"")</f>
        <v/>
      </c>
      <c r="M13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9" s="192" t="str">
        <f>IFERROR(VLOOKUP(OrderTable[[#This Row],[PART CODE]],'Short-Long Transition'!A:I,9,0)," ")</f>
        <v xml:space="preserve"> </v>
      </c>
    </row>
    <row r="140" spans="1:15" x14ac:dyDescent="0.25">
      <c r="A140" s="111"/>
      <c r="B140" s="112"/>
      <c r="C140" s="109"/>
      <c r="D140" s="157" t="str">
        <f>IF(ISTEXT(OrderTable[[#This Row],[PART CODE]]),VLOOKUP(A140,'Price  List'!B:G,3,FALSE),"")</f>
        <v/>
      </c>
      <c r="E140" s="157"/>
      <c r="F140" s="156">
        <f>OrderTable[[#This Row],[PART CODE]]</f>
        <v>0</v>
      </c>
      <c r="G140" s="191" t="str">
        <f>IF(ISTEXT(OrderTable[[#This Row],[PART CODE]]),VLOOKUP(A140,'Price  List'!B:G,6,FALSE),"")</f>
        <v/>
      </c>
      <c r="H140" s="158" t="str">
        <f>IF(ISTEXT(OrderTable[[#This Row],[PART CODE]]),VLOOKUP(A140,'Price  List'!B:G,5,FALSE),"")</f>
        <v/>
      </c>
      <c r="I14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0" s="158" t="str">
        <f>IF(ISTEXT(OrderTable[[#This Row],[PART CODE]]),IF((ROUND(OrderTable[[#This Row],[Order Qty]]/OrderTable[[#This Row],[Case Qty]],0))=OrderTable[[#This Row],[Order Qty]]/OrderTable[[#This Row],[Case Qty]],OrderTable[[#This Row],[Order Qty]]/OrderTable[[#This Row],[Case Qty]],OrderTable[[#This Row],[Order Qty]]),"")</f>
        <v/>
      </c>
      <c r="K140" s="158" t="str">
        <f>IF(ISTEXT(OrderTable[[#This Row],[PART CODE]]),IF(OrderTable[[#This Row],[PART CODE]]="300.3712.GLV","PL",IF((ROUND(OrderTable[[#This Row],[Order Qty]]/OrderTable[[#This Row],[Case Qty]],0))=OrderTable[[#This Row],[Order Qty]]/OrderTable[[#This Row],[Case Qty]],"BOX","EA")),"")</f>
        <v/>
      </c>
      <c r="L140" s="160" t="str">
        <f>IF(ISTEXT(OrderTable[[#This Row],[PART CODE]]),OrderTable[[#This Row],[Order Qty]]*OrderTable[[#This Row],[Price / Ea]],"")</f>
        <v/>
      </c>
      <c r="M14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0" s="192" t="str">
        <f>IFERROR(VLOOKUP(OrderTable[[#This Row],[PART CODE]],'Short-Long Transition'!A:I,9,0)," ")</f>
        <v xml:space="preserve"> </v>
      </c>
    </row>
    <row r="141" spans="1:15" x14ac:dyDescent="0.25">
      <c r="A141" s="111"/>
      <c r="B141" s="112"/>
      <c r="C141" s="109"/>
      <c r="D141" s="157" t="str">
        <f>IF(ISTEXT(OrderTable[[#This Row],[PART CODE]]),VLOOKUP(A141,'Price  List'!B:G,3,FALSE),"")</f>
        <v/>
      </c>
      <c r="E141" s="157"/>
      <c r="F141" s="156">
        <f>OrderTable[[#This Row],[PART CODE]]</f>
        <v>0</v>
      </c>
      <c r="G141" s="191" t="str">
        <f>IF(ISTEXT(OrderTable[[#This Row],[PART CODE]]),VLOOKUP(A141,'Price  List'!B:G,6,FALSE),"")</f>
        <v/>
      </c>
      <c r="H141" s="158" t="str">
        <f>IF(ISTEXT(OrderTable[[#This Row],[PART CODE]]),VLOOKUP(A141,'Price  List'!B:G,5,FALSE),"")</f>
        <v/>
      </c>
      <c r="I14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1" s="158" t="str">
        <f>IF(ISTEXT(OrderTable[[#This Row],[PART CODE]]),IF((ROUND(OrderTable[[#This Row],[Order Qty]]/OrderTable[[#This Row],[Case Qty]],0))=OrderTable[[#This Row],[Order Qty]]/OrderTable[[#This Row],[Case Qty]],OrderTable[[#This Row],[Order Qty]]/OrderTable[[#This Row],[Case Qty]],OrderTable[[#This Row],[Order Qty]]),"")</f>
        <v/>
      </c>
      <c r="K141" s="158" t="str">
        <f>IF(ISTEXT(OrderTable[[#This Row],[PART CODE]]),IF(OrderTable[[#This Row],[PART CODE]]="300.3712.GLV","PL",IF((ROUND(OrderTable[[#This Row],[Order Qty]]/OrderTable[[#This Row],[Case Qty]],0))=OrderTable[[#This Row],[Order Qty]]/OrderTable[[#This Row],[Case Qty]],"BOX","EA")),"")</f>
        <v/>
      </c>
      <c r="L141" s="160" t="str">
        <f>IF(ISTEXT(OrderTable[[#This Row],[PART CODE]]),OrderTable[[#This Row],[Order Qty]]*OrderTable[[#This Row],[Price / Ea]],"")</f>
        <v/>
      </c>
      <c r="M14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1" s="192" t="str">
        <f>IFERROR(VLOOKUP(OrderTable[[#This Row],[PART CODE]],'Short-Long Transition'!A:I,9,0)," ")</f>
        <v xml:space="preserve"> </v>
      </c>
    </row>
    <row r="142" spans="1:15" x14ac:dyDescent="0.25">
      <c r="A142" s="111"/>
      <c r="B142" s="112"/>
      <c r="C142" s="109"/>
      <c r="D142" s="157" t="str">
        <f>IF(ISTEXT(OrderTable[[#This Row],[PART CODE]]),VLOOKUP(A142,'Price  List'!B:G,3,FALSE),"")</f>
        <v/>
      </c>
      <c r="E142" s="157"/>
      <c r="F142" s="156">
        <f>OrderTable[[#This Row],[PART CODE]]</f>
        <v>0</v>
      </c>
      <c r="G142" s="191" t="str">
        <f>IF(ISTEXT(OrderTable[[#This Row],[PART CODE]]),VLOOKUP(A142,'Price  List'!B:G,6,FALSE),"")</f>
        <v/>
      </c>
      <c r="H142" s="158" t="str">
        <f>IF(ISTEXT(OrderTable[[#This Row],[PART CODE]]),VLOOKUP(A142,'Price  List'!B:G,5,FALSE),"")</f>
        <v/>
      </c>
      <c r="I14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2" s="158" t="str">
        <f>IF(ISTEXT(OrderTable[[#This Row],[PART CODE]]),IF((ROUND(OrderTable[[#This Row],[Order Qty]]/OrderTable[[#This Row],[Case Qty]],0))=OrderTable[[#This Row],[Order Qty]]/OrderTable[[#This Row],[Case Qty]],OrderTable[[#This Row],[Order Qty]]/OrderTable[[#This Row],[Case Qty]],OrderTable[[#This Row],[Order Qty]]),"")</f>
        <v/>
      </c>
      <c r="K142" s="158" t="str">
        <f>IF(ISTEXT(OrderTable[[#This Row],[PART CODE]]),IF(OrderTable[[#This Row],[PART CODE]]="300.3712.GLV","PL",IF((ROUND(OrderTable[[#This Row],[Order Qty]]/OrderTable[[#This Row],[Case Qty]],0))=OrderTable[[#This Row],[Order Qty]]/OrderTable[[#This Row],[Case Qty]],"BOX","EA")),"")</f>
        <v/>
      </c>
      <c r="L142" s="160" t="str">
        <f>IF(ISTEXT(OrderTable[[#This Row],[PART CODE]]),OrderTable[[#This Row],[Order Qty]]*OrderTable[[#This Row],[Price / Ea]],"")</f>
        <v/>
      </c>
      <c r="M14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2" s="192" t="str">
        <f>IFERROR(VLOOKUP(OrderTable[[#This Row],[PART CODE]],'Short-Long Transition'!A:I,9,0)," ")</f>
        <v xml:space="preserve"> </v>
      </c>
    </row>
    <row r="143" spans="1:15" x14ac:dyDescent="0.25">
      <c r="A143" s="111"/>
      <c r="B143" s="112"/>
      <c r="C143" s="109"/>
      <c r="D143" s="157" t="str">
        <f>IF(ISTEXT(OrderTable[[#This Row],[PART CODE]]),VLOOKUP(A143,'Price  List'!B:G,3,FALSE),"")</f>
        <v/>
      </c>
      <c r="E143" s="157"/>
      <c r="F143" s="156">
        <f>OrderTable[[#This Row],[PART CODE]]</f>
        <v>0</v>
      </c>
      <c r="G143" s="191" t="str">
        <f>IF(ISTEXT(OrderTable[[#This Row],[PART CODE]]),VLOOKUP(A143,'Price  List'!B:G,6,FALSE),"")</f>
        <v/>
      </c>
      <c r="H143" s="158" t="str">
        <f>IF(ISTEXT(OrderTable[[#This Row],[PART CODE]]),VLOOKUP(A143,'Price  List'!B:G,5,FALSE),"")</f>
        <v/>
      </c>
      <c r="I14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3" s="158" t="str">
        <f>IF(ISTEXT(OrderTable[[#This Row],[PART CODE]]),IF((ROUND(OrderTable[[#This Row],[Order Qty]]/OrderTable[[#This Row],[Case Qty]],0))=OrderTable[[#This Row],[Order Qty]]/OrderTable[[#This Row],[Case Qty]],OrderTable[[#This Row],[Order Qty]]/OrderTable[[#This Row],[Case Qty]],OrderTable[[#This Row],[Order Qty]]),"")</f>
        <v/>
      </c>
      <c r="K143" s="158" t="str">
        <f>IF(ISTEXT(OrderTable[[#This Row],[PART CODE]]),IF(OrderTable[[#This Row],[PART CODE]]="300.3712.GLV","PL",IF((ROUND(OrderTable[[#This Row],[Order Qty]]/OrderTable[[#This Row],[Case Qty]],0))=OrderTable[[#This Row],[Order Qty]]/OrderTable[[#This Row],[Case Qty]],"BOX","EA")),"")</f>
        <v/>
      </c>
      <c r="L143" s="160" t="str">
        <f>IF(ISTEXT(OrderTable[[#This Row],[PART CODE]]),OrderTable[[#This Row],[Order Qty]]*OrderTable[[#This Row],[Price / Ea]],"")</f>
        <v/>
      </c>
      <c r="M14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3" s="192" t="str">
        <f>IFERROR(VLOOKUP(OrderTable[[#This Row],[PART CODE]],'Short-Long Transition'!A:I,9,0)," ")</f>
        <v xml:space="preserve"> </v>
      </c>
    </row>
    <row r="144" spans="1:15" x14ac:dyDescent="0.25">
      <c r="A144" s="111"/>
      <c r="B144" s="112"/>
      <c r="C144" s="109"/>
      <c r="D144" s="157" t="str">
        <f>IF(ISTEXT(OrderTable[[#This Row],[PART CODE]]),VLOOKUP(A144,'Price  List'!B:G,3,FALSE),"")</f>
        <v/>
      </c>
      <c r="E144" s="157"/>
      <c r="F144" s="156">
        <f>OrderTable[[#This Row],[PART CODE]]</f>
        <v>0</v>
      </c>
      <c r="G144" s="191" t="str">
        <f>IF(ISTEXT(OrderTable[[#This Row],[PART CODE]]),VLOOKUP(A144,'Price  List'!B:G,6,FALSE),"")</f>
        <v/>
      </c>
      <c r="H144" s="158" t="str">
        <f>IF(ISTEXT(OrderTable[[#This Row],[PART CODE]]),VLOOKUP(A144,'Price  List'!B:G,5,FALSE),"")</f>
        <v/>
      </c>
      <c r="I14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4" s="158" t="str">
        <f>IF(ISTEXT(OrderTable[[#This Row],[PART CODE]]),IF((ROUND(OrderTable[[#This Row],[Order Qty]]/OrderTable[[#This Row],[Case Qty]],0))=OrderTable[[#This Row],[Order Qty]]/OrderTable[[#This Row],[Case Qty]],OrderTable[[#This Row],[Order Qty]]/OrderTable[[#This Row],[Case Qty]],OrderTable[[#This Row],[Order Qty]]),"")</f>
        <v/>
      </c>
      <c r="K144" s="158" t="str">
        <f>IF(ISTEXT(OrderTable[[#This Row],[PART CODE]]),IF(OrderTable[[#This Row],[PART CODE]]="300.3712.GLV","PL",IF((ROUND(OrderTable[[#This Row],[Order Qty]]/OrderTable[[#This Row],[Case Qty]],0))=OrderTable[[#This Row],[Order Qty]]/OrderTable[[#This Row],[Case Qty]],"BOX","EA")),"")</f>
        <v/>
      </c>
      <c r="L144" s="160" t="str">
        <f>IF(ISTEXT(OrderTable[[#This Row],[PART CODE]]),OrderTable[[#This Row],[Order Qty]]*OrderTable[[#This Row],[Price / Ea]],"")</f>
        <v/>
      </c>
      <c r="M14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4" s="192" t="str">
        <f>IFERROR(VLOOKUP(OrderTable[[#This Row],[PART CODE]],'Short-Long Transition'!A:I,9,0)," ")</f>
        <v xml:space="preserve"> </v>
      </c>
    </row>
    <row r="145" spans="1:15" x14ac:dyDescent="0.25">
      <c r="A145" s="111"/>
      <c r="B145" s="112"/>
      <c r="C145" s="109"/>
      <c r="D145" s="157" t="str">
        <f>IF(ISTEXT(OrderTable[[#This Row],[PART CODE]]),VLOOKUP(A145,'Price  List'!B:G,3,FALSE),"")</f>
        <v/>
      </c>
      <c r="E145" s="157"/>
      <c r="F145" s="156">
        <f>OrderTable[[#This Row],[PART CODE]]</f>
        <v>0</v>
      </c>
      <c r="G145" s="191" t="str">
        <f>IF(ISTEXT(OrderTable[[#This Row],[PART CODE]]),VLOOKUP(A145,'Price  List'!B:G,6,FALSE),"")</f>
        <v/>
      </c>
      <c r="H145" s="158" t="str">
        <f>IF(ISTEXT(OrderTable[[#This Row],[PART CODE]]),VLOOKUP(A145,'Price  List'!B:G,5,FALSE),"")</f>
        <v/>
      </c>
      <c r="I14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5" s="158" t="str">
        <f>IF(ISTEXT(OrderTable[[#This Row],[PART CODE]]),IF((ROUND(OrderTable[[#This Row],[Order Qty]]/OrderTable[[#This Row],[Case Qty]],0))=OrderTable[[#This Row],[Order Qty]]/OrderTable[[#This Row],[Case Qty]],OrderTable[[#This Row],[Order Qty]]/OrderTable[[#This Row],[Case Qty]],OrderTable[[#This Row],[Order Qty]]),"")</f>
        <v/>
      </c>
      <c r="K145" s="158" t="str">
        <f>IF(ISTEXT(OrderTable[[#This Row],[PART CODE]]),IF(OrderTable[[#This Row],[PART CODE]]="300.3712.GLV","PL",IF((ROUND(OrderTable[[#This Row],[Order Qty]]/OrderTable[[#This Row],[Case Qty]],0))=OrderTable[[#This Row],[Order Qty]]/OrderTable[[#This Row],[Case Qty]],"BOX","EA")),"")</f>
        <v/>
      </c>
      <c r="L145" s="160" t="str">
        <f>IF(ISTEXT(OrderTable[[#This Row],[PART CODE]]),OrderTable[[#This Row],[Order Qty]]*OrderTable[[#This Row],[Price / Ea]],"")</f>
        <v/>
      </c>
      <c r="M14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5" s="192" t="str">
        <f>IFERROR(VLOOKUP(OrderTable[[#This Row],[PART CODE]],'Short-Long Transition'!A:I,9,0)," ")</f>
        <v xml:space="preserve"> </v>
      </c>
    </row>
    <row r="146" spans="1:15" x14ac:dyDescent="0.25">
      <c r="A146" s="111"/>
      <c r="B146" s="112"/>
      <c r="C146" s="109"/>
      <c r="D146" s="157" t="str">
        <f>IF(ISTEXT(OrderTable[[#This Row],[PART CODE]]),VLOOKUP(A146,'Price  List'!B:G,3,FALSE),"")</f>
        <v/>
      </c>
      <c r="E146" s="157"/>
      <c r="F146" s="156">
        <f>OrderTable[[#This Row],[PART CODE]]</f>
        <v>0</v>
      </c>
      <c r="G146" s="191" t="str">
        <f>IF(ISTEXT(OrderTable[[#This Row],[PART CODE]]),VLOOKUP(A146,'Price  List'!B:G,6,FALSE),"")</f>
        <v/>
      </c>
      <c r="H146" s="158" t="str">
        <f>IF(ISTEXT(OrderTable[[#This Row],[PART CODE]]),VLOOKUP(A146,'Price  List'!B:G,5,FALSE),"")</f>
        <v/>
      </c>
      <c r="I14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6" s="158" t="str">
        <f>IF(ISTEXT(OrderTable[[#This Row],[PART CODE]]),IF((ROUND(OrderTable[[#This Row],[Order Qty]]/OrderTable[[#This Row],[Case Qty]],0))=OrderTable[[#This Row],[Order Qty]]/OrderTable[[#This Row],[Case Qty]],OrderTable[[#This Row],[Order Qty]]/OrderTable[[#This Row],[Case Qty]],OrderTable[[#This Row],[Order Qty]]),"")</f>
        <v/>
      </c>
      <c r="K146" s="158" t="str">
        <f>IF(ISTEXT(OrderTable[[#This Row],[PART CODE]]),IF(OrderTable[[#This Row],[PART CODE]]="300.3712.GLV","PL",IF((ROUND(OrderTable[[#This Row],[Order Qty]]/OrderTable[[#This Row],[Case Qty]],0))=OrderTable[[#This Row],[Order Qty]]/OrderTable[[#This Row],[Case Qty]],"BOX","EA")),"")</f>
        <v/>
      </c>
      <c r="L146" s="160" t="str">
        <f>IF(ISTEXT(OrderTable[[#This Row],[PART CODE]]),OrderTable[[#This Row],[Order Qty]]*OrderTable[[#This Row],[Price / Ea]],"")</f>
        <v/>
      </c>
      <c r="M14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6" s="192" t="str">
        <f>IFERROR(VLOOKUP(OrderTable[[#This Row],[PART CODE]],'Short-Long Transition'!A:I,9,0)," ")</f>
        <v xml:space="preserve"> </v>
      </c>
    </row>
    <row r="147" spans="1:15" x14ac:dyDescent="0.25">
      <c r="A147" s="111"/>
      <c r="B147" s="112"/>
      <c r="C147" s="109"/>
      <c r="D147" s="157" t="str">
        <f>IF(ISTEXT(OrderTable[[#This Row],[PART CODE]]),VLOOKUP(A147,'Price  List'!B:G,3,FALSE),"")</f>
        <v/>
      </c>
      <c r="E147" s="157"/>
      <c r="F147" s="156">
        <f>OrderTable[[#This Row],[PART CODE]]</f>
        <v>0</v>
      </c>
      <c r="G147" s="191" t="str">
        <f>IF(ISTEXT(OrderTable[[#This Row],[PART CODE]]),VLOOKUP(A147,'Price  List'!B:G,6,FALSE),"")</f>
        <v/>
      </c>
      <c r="H147" s="158" t="str">
        <f>IF(ISTEXT(OrderTable[[#This Row],[PART CODE]]),VLOOKUP(A147,'Price  List'!B:G,5,FALSE),"")</f>
        <v/>
      </c>
      <c r="I14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7" s="158" t="str">
        <f>IF(ISTEXT(OrderTable[[#This Row],[PART CODE]]),IF((ROUND(OrderTable[[#This Row],[Order Qty]]/OrderTable[[#This Row],[Case Qty]],0))=OrderTable[[#This Row],[Order Qty]]/OrderTable[[#This Row],[Case Qty]],OrderTable[[#This Row],[Order Qty]]/OrderTable[[#This Row],[Case Qty]],OrderTable[[#This Row],[Order Qty]]),"")</f>
        <v/>
      </c>
      <c r="K147" s="158" t="str">
        <f>IF(ISTEXT(OrderTable[[#This Row],[PART CODE]]),IF(OrderTable[[#This Row],[PART CODE]]="300.3712.GLV","PL",IF((ROUND(OrderTable[[#This Row],[Order Qty]]/OrderTable[[#This Row],[Case Qty]],0))=OrderTable[[#This Row],[Order Qty]]/OrderTable[[#This Row],[Case Qty]],"BOX","EA")),"")</f>
        <v/>
      </c>
      <c r="L147" s="160" t="str">
        <f>IF(ISTEXT(OrderTable[[#This Row],[PART CODE]]),OrderTable[[#This Row],[Order Qty]]*OrderTable[[#This Row],[Price / Ea]],"")</f>
        <v/>
      </c>
      <c r="M14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7" s="192" t="str">
        <f>IFERROR(VLOOKUP(OrderTable[[#This Row],[PART CODE]],'Short-Long Transition'!A:I,9,0)," ")</f>
        <v xml:space="preserve"> </v>
      </c>
    </row>
    <row r="148" spans="1:15" x14ac:dyDescent="0.25">
      <c r="A148" s="111"/>
      <c r="B148" s="112"/>
      <c r="C148" s="109"/>
      <c r="D148" s="157" t="str">
        <f>IF(ISTEXT(OrderTable[[#This Row],[PART CODE]]),VLOOKUP(A148,'Price  List'!B:G,3,FALSE),"")</f>
        <v/>
      </c>
      <c r="E148" s="157"/>
      <c r="F148" s="156">
        <f>OrderTable[[#This Row],[PART CODE]]</f>
        <v>0</v>
      </c>
      <c r="G148" s="191" t="str">
        <f>IF(ISTEXT(OrderTable[[#This Row],[PART CODE]]),VLOOKUP(A148,'Price  List'!B:G,6,FALSE),"")</f>
        <v/>
      </c>
      <c r="H148" s="158" t="str">
        <f>IF(ISTEXT(OrderTable[[#This Row],[PART CODE]]),VLOOKUP(A148,'Price  List'!B:G,5,FALSE),"")</f>
        <v/>
      </c>
      <c r="I14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8" s="158" t="str">
        <f>IF(ISTEXT(OrderTable[[#This Row],[PART CODE]]),IF((ROUND(OrderTable[[#This Row],[Order Qty]]/OrderTable[[#This Row],[Case Qty]],0))=OrderTable[[#This Row],[Order Qty]]/OrderTable[[#This Row],[Case Qty]],OrderTable[[#This Row],[Order Qty]]/OrderTable[[#This Row],[Case Qty]],OrderTable[[#This Row],[Order Qty]]),"")</f>
        <v/>
      </c>
      <c r="K148" s="158" t="str">
        <f>IF(ISTEXT(OrderTable[[#This Row],[PART CODE]]),IF(OrderTable[[#This Row],[PART CODE]]="300.3712.GLV","PL",IF((ROUND(OrderTable[[#This Row],[Order Qty]]/OrderTable[[#This Row],[Case Qty]],0))=OrderTable[[#This Row],[Order Qty]]/OrderTable[[#This Row],[Case Qty]],"BOX","EA")),"")</f>
        <v/>
      </c>
      <c r="L148" s="160" t="str">
        <f>IF(ISTEXT(OrderTable[[#This Row],[PART CODE]]),OrderTable[[#This Row],[Order Qty]]*OrderTable[[#This Row],[Price / Ea]],"")</f>
        <v/>
      </c>
      <c r="M14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8" s="192" t="str">
        <f>IFERROR(VLOOKUP(OrderTable[[#This Row],[PART CODE]],'Short-Long Transition'!A:I,9,0)," ")</f>
        <v xml:space="preserve"> </v>
      </c>
    </row>
    <row r="149" spans="1:15" x14ac:dyDescent="0.25">
      <c r="A149" s="111"/>
      <c r="B149" s="112"/>
      <c r="C149" s="109"/>
      <c r="D149" s="157" t="str">
        <f>IF(ISTEXT(OrderTable[[#This Row],[PART CODE]]),VLOOKUP(A149,'Price  List'!B:G,3,FALSE),"")</f>
        <v/>
      </c>
      <c r="E149" s="157"/>
      <c r="F149" s="156">
        <f>OrderTable[[#This Row],[PART CODE]]</f>
        <v>0</v>
      </c>
      <c r="G149" s="191" t="str">
        <f>IF(ISTEXT(OrderTable[[#This Row],[PART CODE]]),VLOOKUP(A149,'Price  List'!B:G,6,FALSE),"")</f>
        <v/>
      </c>
      <c r="H149" s="158" t="str">
        <f>IF(ISTEXT(OrderTable[[#This Row],[PART CODE]]),VLOOKUP(A149,'Price  List'!B:G,5,FALSE),"")</f>
        <v/>
      </c>
      <c r="I14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9" s="158" t="str">
        <f>IF(ISTEXT(OrderTable[[#This Row],[PART CODE]]),IF((ROUND(OrderTable[[#This Row],[Order Qty]]/OrderTable[[#This Row],[Case Qty]],0))=OrderTable[[#This Row],[Order Qty]]/OrderTable[[#This Row],[Case Qty]],OrderTable[[#This Row],[Order Qty]]/OrderTable[[#This Row],[Case Qty]],OrderTable[[#This Row],[Order Qty]]),"")</f>
        <v/>
      </c>
      <c r="K149" s="158" t="str">
        <f>IF(ISTEXT(OrderTable[[#This Row],[PART CODE]]),IF(OrderTable[[#This Row],[PART CODE]]="300.3712.GLV","PL",IF((ROUND(OrderTable[[#This Row],[Order Qty]]/OrderTable[[#This Row],[Case Qty]],0))=OrderTable[[#This Row],[Order Qty]]/OrderTable[[#This Row],[Case Qty]],"BOX","EA")),"")</f>
        <v/>
      </c>
      <c r="L149" s="160" t="str">
        <f>IF(ISTEXT(OrderTable[[#This Row],[PART CODE]]),OrderTable[[#This Row],[Order Qty]]*OrderTable[[#This Row],[Price / Ea]],"")</f>
        <v/>
      </c>
      <c r="M14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9" s="192" t="str">
        <f>IFERROR(VLOOKUP(OrderTable[[#This Row],[PART CODE]],'Short-Long Transition'!A:I,9,0)," ")</f>
        <v xml:space="preserve"> </v>
      </c>
    </row>
    <row r="150" spans="1:15" x14ac:dyDescent="0.25">
      <c r="A150" s="111"/>
      <c r="B150" s="112"/>
      <c r="C150" s="109"/>
      <c r="D150" s="157" t="str">
        <f>IF(ISTEXT(OrderTable[[#This Row],[PART CODE]]),VLOOKUP(A150,'Price  List'!B:G,3,FALSE),"")</f>
        <v/>
      </c>
      <c r="E150" s="157"/>
      <c r="F150" s="156">
        <f>OrderTable[[#This Row],[PART CODE]]</f>
        <v>0</v>
      </c>
      <c r="G150" s="191" t="str">
        <f>IF(ISTEXT(OrderTable[[#This Row],[PART CODE]]),VLOOKUP(A150,'Price  List'!B:G,6,FALSE),"")</f>
        <v/>
      </c>
      <c r="H150" s="158" t="str">
        <f>IF(ISTEXT(OrderTable[[#This Row],[PART CODE]]),VLOOKUP(A150,'Price  List'!B:G,5,FALSE),"")</f>
        <v/>
      </c>
      <c r="I15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0" s="158" t="str">
        <f>IF(ISTEXT(OrderTable[[#This Row],[PART CODE]]),IF((ROUND(OrderTable[[#This Row],[Order Qty]]/OrderTable[[#This Row],[Case Qty]],0))=OrderTable[[#This Row],[Order Qty]]/OrderTable[[#This Row],[Case Qty]],OrderTable[[#This Row],[Order Qty]]/OrderTable[[#This Row],[Case Qty]],OrderTable[[#This Row],[Order Qty]]),"")</f>
        <v/>
      </c>
      <c r="K150" s="158" t="str">
        <f>IF(ISTEXT(OrderTable[[#This Row],[PART CODE]]),IF(OrderTable[[#This Row],[PART CODE]]="300.3712.GLV","PL",IF((ROUND(OrderTable[[#This Row],[Order Qty]]/OrderTable[[#This Row],[Case Qty]],0))=OrderTable[[#This Row],[Order Qty]]/OrderTable[[#This Row],[Case Qty]],"BOX","EA")),"")</f>
        <v/>
      </c>
      <c r="L150" s="160" t="str">
        <f>IF(ISTEXT(OrderTable[[#This Row],[PART CODE]]),OrderTable[[#This Row],[Order Qty]]*OrderTable[[#This Row],[Price / Ea]],"")</f>
        <v/>
      </c>
      <c r="M15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0" s="192" t="str">
        <f>IFERROR(VLOOKUP(OrderTable[[#This Row],[PART CODE]],'Short-Long Transition'!A:I,9,0)," ")</f>
        <v xml:space="preserve"> </v>
      </c>
    </row>
    <row r="151" spans="1:15" x14ac:dyDescent="0.25">
      <c r="A151" s="111"/>
      <c r="B151" s="112"/>
      <c r="C151" s="109"/>
      <c r="D151" s="157" t="str">
        <f>IF(ISTEXT(OrderTable[[#This Row],[PART CODE]]),VLOOKUP(A151,'Price  List'!B:G,3,FALSE),"")</f>
        <v/>
      </c>
      <c r="E151" s="157"/>
      <c r="F151" s="156">
        <f>OrderTable[[#This Row],[PART CODE]]</f>
        <v>0</v>
      </c>
      <c r="G151" s="191" t="str">
        <f>IF(ISTEXT(OrderTable[[#This Row],[PART CODE]]),VLOOKUP(A151,'Price  List'!B:G,6,FALSE),"")</f>
        <v/>
      </c>
      <c r="H151" s="158" t="str">
        <f>IF(ISTEXT(OrderTable[[#This Row],[PART CODE]]),VLOOKUP(A151,'Price  List'!B:G,5,FALSE),"")</f>
        <v/>
      </c>
      <c r="I15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1" s="158" t="str">
        <f>IF(ISTEXT(OrderTable[[#This Row],[PART CODE]]),IF((ROUND(OrderTable[[#This Row],[Order Qty]]/OrderTable[[#This Row],[Case Qty]],0))=OrderTable[[#This Row],[Order Qty]]/OrderTable[[#This Row],[Case Qty]],OrderTable[[#This Row],[Order Qty]]/OrderTable[[#This Row],[Case Qty]],OrderTable[[#This Row],[Order Qty]]),"")</f>
        <v/>
      </c>
      <c r="K151" s="158" t="str">
        <f>IF(ISTEXT(OrderTable[[#This Row],[PART CODE]]),IF(OrderTable[[#This Row],[PART CODE]]="300.3712.GLV","PL",IF((ROUND(OrderTable[[#This Row],[Order Qty]]/OrderTable[[#This Row],[Case Qty]],0))=OrderTable[[#This Row],[Order Qty]]/OrderTable[[#This Row],[Case Qty]],"BOX","EA")),"")</f>
        <v/>
      </c>
      <c r="L151" s="160" t="str">
        <f>IF(ISTEXT(OrderTable[[#This Row],[PART CODE]]),OrderTable[[#This Row],[Order Qty]]*OrderTable[[#This Row],[Price / Ea]],"")</f>
        <v/>
      </c>
      <c r="M15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1" s="192" t="str">
        <f>IFERROR(VLOOKUP(OrderTable[[#This Row],[PART CODE]],'Short-Long Transition'!A:I,9,0)," ")</f>
        <v xml:space="preserve"> </v>
      </c>
    </row>
    <row r="152" spans="1:15" x14ac:dyDescent="0.25">
      <c r="A152" s="111"/>
      <c r="B152" s="112"/>
      <c r="C152" s="109"/>
      <c r="D152" s="157" t="str">
        <f>IF(ISTEXT(OrderTable[[#This Row],[PART CODE]]),VLOOKUP(A152,'Price  List'!B:G,3,FALSE),"")</f>
        <v/>
      </c>
      <c r="E152" s="157"/>
      <c r="F152" s="156">
        <f>OrderTable[[#This Row],[PART CODE]]</f>
        <v>0</v>
      </c>
      <c r="G152" s="191" t="str">
        <f>IF(ISTEXT(OrderTable[[#This Row],[PART CODE]]),VLOOKUP(A152,'Price  List'!B:G,6,FALSE),"")</f>
        <v/>
      </c>
      <c r="H152" s="158" t="str">
        <f>IF(ISTEXT(OrderTable[[#This Row],[PART CODE]]),VLOOKUP(A152,'Price  List'!B:G,5,FALSE),"")</f>
        <v/>
      </c>
      <c r="I15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2" s="158" t="str">
        <f>IF(ISTEXT(OrderTable[[#This Row],[PART CODE]]),IF((ROUND(OrderTable[[#This Row],[Order Qty]]/OrderTable[[#This Row],[Case Qty]],0))=OrderTable[[#This Row],[Order Qty]]/OrderTable[[#This Row],[Case Qty]],OrderTable[[#This Row],[Order Qty]]/OrderTable[[#This Row],[Case Qty]],OrderTable[[#This Row],[Order Qty]]),"")</f>
        <v/>
      </c>
      <c r="K152" s="158" t="str">
        <f>IF(ISTEXT(OrderTable[[#This Row],[PART CODE]]),IF(OrderTable[[#This Row],[PART CODE]]="300.3712.GLV","PL",IF((ROUND(OrderTable[[#This Row],[Order Qty]]/OrderTable[[#This Row],[Case Qty]],0))=OrderTable[[#This Row],[Order Qty]]/OrderTable[[#This Row],[Case Qty]],"BOX","EA")),"")</f>
        <v/>
      </c>
      <c r="L152" s="160" t="str">
        <f>IF(ISTEXT(OrderTable[[#This Row],[PART CODE]]),OrderTable[[#This Row],[Order Qty]]*OrderTable[[#This Row],[Price / Ea]],"")</f>
        <v/>
      </c>
      <c r="M15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2" s="192" t="str">
        <f>IFERROR(VLOOKUP(OrderTable[[#This Row],[PART CODE]],'Short-Long Transition'!A:I,9,0)," ")</f>
        <v xml:space="preserve"> </v>
      </c>
    </row>
    <row r="153" spans="1:15" x14ac:dyDescent="0.25">
      <c r="A153" s="111"/>
      <c r="B153" s="112"/>
      <c r="C153" s="109"/>
      <c r="D153" s="157" t="str">
        <f>IF(ISTEXT(OrderTable[[#This Row],[PART CODE]]),VLOOKUP(A153,'Price  List'!B:G,3,FALSE),"")</f>
        <v/>
      </c>
      <c r="E153" s="157"/>
      <c r="F153" s="156">
        <f>OrderTable[[#This Row],[PART CODE]]</f>
        <v>0</v>
      </c>
      <c r="G153" s="191" t="str">
        <f>IF(ISTEXT(OrderTable[[#This Row],[PART CODE]]),VLOOKUP(A153,'Price  List'!B:G,6,FALSE),"")</f>
        <v/>
      </c>
      <c r="H153" s="158" t="str">
        <f>IF(ISTEXT(OrderTable[[#This Row],[PART CODE]]),VLOOKUP(A153,'Price  List'!B:G,5,FALSE),"")</f>
        <v/>
      </c>
      <c r="I15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3" s="158" t="str">
        <f>IF(ISTEXT(OrderTable[[#This Row],[PART CODE]]),IF((ROUND(OrderTable[[#This Row],[Order Qty]]/OrderTable[[#This Row],[Case Qty]],0))=OrderTable[[#This Row],[Order Qty]]/OrderTable[[#This Row],[Case Qty]],OrderTable[[#This Row],[Order Qty]]/OrderTable[[#This Row],[Case Qty]],OrderTable[[#This Row],[Order Qty]]),"")</f>
        <v/>
      </c>
      <c r="K153" s="158" t="str">
        <f>IF(ISTEXT(OrderTable[[#This Row],[PART CODE]]),IF(OrderTable[[#This Row],[PART CODE]]="300.3712.GLV","PL",IF((ROUND(OrderTable[[#This Row],[Order Qty]]/OrderTable[[#This Row],[Case Qty]],0))=OrderTable[[#This Row],[Order Qty]]/OrderTable[[#This Row],[Case Qty]],"BOX","EA")),"")</f>
        <v/>
      </c>
      <c r="L153" s="160" t="str">
        <f>IF(ISTEXT(OrderTable[[#This Row],[PART CODE]]),OrderTable[[#This Row],[Order Qty]]*OrderTable[[#This Row],[Price / Ea]],"")</f>
        <v/>
      </c>
      <c r="M15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3" s="192" t="str">
        <f>IFERROR(VLOOKUP(OrderTable[[#This Row],[PART CODE]],'Short-Long Transition'!A:I,9,0)," ")</f>
        <v xml:space="preserve"> </v>
      </c>
    </row>
    <row r="154" spans="1:15" x14ac:dyDescent="0.25">
      <c r="A154" s="111"/>
      <c r="B154" s="112"/>
      <c r="C154" s="109"/>
      <c r="D154" s="157" t="str">
        <f>IF(ISTEXT(OrderTable[[#This Row],[PART CODE]]),VLOOKUP(A154,'Price  List'!B:G,3,FALSE),"")</f>
        <v/>
      </c>
      <c r="E154" s="157"/>
      <c r="F154" s="156">
        <f>OrderTable[[#This Row],[PART CODE]]</f>
        <v>0</v>
      </c>
      <c r="G154" s="191" t="str">
        <f>IF(ISTEXT(OrderTable[[#This Row],[PART CODE]]),VLOOKUP(A154,'Price  List'!B:G,6,FALSE),"")</f>
        <v/>
      </c>
      <c r="H154" s="158" t="str">
        <f>IF(ISTEXT(OrderTable[[#This Row],[PART CODE]]),VLOOKUP(A154,'Price  List'!B:G,5,FALSE),"")</f>
        <v/>
      </c>
      <c r="I15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4" s="158" t="str">
        <f>IF(ISTEXT(OrderTable[[#This Row],[PART CODE]]),IF((ROUND(OrderTable[[#This Row],[Order Qty]]/OrderTable[[#This Row],[Case Qty]],0))=OrderTable[[#This Row],[Order Qty]]/OrderTable[[#This Row],[Case Qty]],OrderTable[[#This Row],[Order Qty]]/OrderTable[[#This Row],[Case Qty]],OrderTable[[#This Row],[Order Qty]]),"")</f>
        <v/>
      </c>
      <c r="K154" s="158" t="str">
        <f>IF(ISTEXT(OrderTable[[#This Row],[PART CODE]]),IF(OrderTable[[#This Row],[PART CODE]]="300.3712.GLV","PL",IF((ROUND(OrderTable[[#This Row],[Order Qty]]/OrderTable[[#This Row],[Case Qty]],0))=OrderTable[[#This Row],[Order Qty]]/OrderTable[[#This Row],[Case Qty]],"BOX","EA")),"")</f>
        <v/>
      </c>
      <c r="L154" s="160" t="str">
        <f>IF(ISTEXT(OrderTable[[#This Row],[PART CODE]]),OrderTable[[#This Row],[Order Qty]]*OrderTable[[#This Row],[Price / Ea]],"")</f>
        <v/>
      </c>
      <c r="M15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4" s="192" t="str">
        <f>IFERROR(VLOOKUP(OrderTable[[#This Row],[PART CODE]],'Short-Long Transition'!A:I,9,0)," ")</f>
        <v xml:space="preserve"> </v>
      </c>
    </row>
    <row r="155" spans="1:15" x14ac:dyDescent="0.25">
      <c r="A155" s="111"/>
      <c r="B155" s="112"/>
      <c r="C155" s="109"/>
      <c r="D155" s="157" t="str">
        <f>IF(ISTEXT(OrderTable[[#This Row],[PART CODE]]),VLOOKUP(A155,'Price  List'!B:G,3,FALSE),"")</f>
        <v/>
      </c>
      <c r="E155" s="157"/>
      <c r="F155" s="156">
        <f>OrderTable[[#This Row],[PART CODE]]</f>
        <v>0</v>
      </c>
      <c r="G155" s="191" t="str">
        <f>IF(ISTEXT(OrderTable[[#This Row],[PART CODE]]),VLOOKUP(A155,'Price  List'!B:G,6,FALSE),"")</f>
        <v/>
      </c>
      <c r="H155" s="158" t="str">
        <f>IF(ISTEXT(OrderTable[[#This Row],[PART CODE]]),VLOOKUP(A155,'Price  List'!B:G,5,FALSE),"")</f>
        <v/>
      </c>
      <c r="I15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5" s="158" t="str">
        <f>IF(ISTEXT(OrderTable[[#This Row],[PART CODE]]),IF((ROUND(OrderTable[[#This Row],[Order Qty]]/OrderTable[[#This Row],[Case Qty]],0))=OrderTable[[#This Row],[Order Qty]]/OrderTable[[#This Row],[Case Qty]],OrderTable[[#This Row],[Order Qty]]/OrderTable[[#This Row],[Case Qty]],OrderTable[[#This Row],[Order Qty]]),"")</f>
        <v/>
      </c>
      <c r="K155" s="158" t="str">
        <f>IF(ISTEXT(OrderTable[[#This Row],[PART CODE]]),IF(OrderTable[[#This Row],[PART CODE]]="300.3712.GLV","PL",IF((ROUND(OrderTable[[#This Row],[Order Qty]]/OrderTable[[#This Row],[Case Qty]],0))=OrderTable[[#This Row],[Order Qty]]/OrderTable[[#This Row],[Case Qty]],"BOX","EA")),"")</f>
        <v/>
      </c>
      <c r="L155" s="160" t="str">
        <f>IF(ISTEXT(OrderTable[[#This Row],[PART CODE]]),OrderTable[[#This Row],[Order Qty]]*OrderTable[[#This Row],[Price / Ea]],"")</f>
        <v/>
      </c>
      <c r="M15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5" s="192" t="str">
        <f>IFERROR(VLOOKUP(OrderTable[[#This Row],[PART CODE]],'Short-Long Transition'!A:I,9,0)," ")</f>
        <v xml:space="preserve"> </v>
      </c>
    </row>
    <row r="156" spans="1:15" x14ac:dyDescent="0.25">
      <c r="A156" s="111"/>
      <c r="B156" s="112"/>
      <c r="C156" s="109"/>
      <c r="D156" s="157" t="str">
        <f>IF(ISTEXT(OrderTable[[#This Row],[PART CODE]]),VLOOKUP(A156,'Price  List'!B:G,3,FALSE),"")</f>
        <v/>
      </c>
      <c r="E156" s="157"/>
      <c r="F156" s="156">
        <f>OrderTable[[#This Row],[PART CODE]]</f>
        <v>0</v>
      </c>
      <c r="G156" s="191" t="str">
        <f>IF(ISTEXT(OrderTable[[#This Row],[PART CODE]]),VLOOKUP(A156,'Price  List'!B:G,6,FALSE),"")</f>
        <v/>
      </c>
      <c r="H156" s="158" t="str">
        <f>IF(ISTEXT(OrderTable[[#This Row],[PART CODE]]),VLOOKUP(A156,'Price  List'!B:G,5,FALSE),"")</f>
        <v/>
      </c>
      <c r="I15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6" s="158" t="str">
        <f>IF(ISTEXT(OrderTable[[#This Row],[PART CODE]]),IF((ROUND(OrderTable[[#This Row],[Order Qty]]/OrderTable[[#This Row],[Case Qty]],0))=OrderTable[[#This Row],[Order Qty]]/OrderTable[[#This Row],[Case Qty]],OrderTable[[#This Row],[Order Qty]]/OrderTable[[#This Row],[Case Qty]],OrderTable[[#This Row],[Order Qty]]),"")</f>
        <v/>
      </c>
      <c r="K156" s="158" t="str">
        <f>IF(ISTEXT(OrderTable[[#This Row],[PART CODE]]),IF(OrderTable[[#This Row],[PART CODE]]="300.3712.GLV","PL",IF((ROUND(OrderTable[[#This Row],[Order Qty]]/OrderTable[[#This Row],[Case Qty]],0))=OrderTable[[#This Row],[Order Qty]]/OrderTable[[#This Row],[Case Qty]],"BOX","EA")),"")</f>
        <v/>
      </c>
      <c r="L156" s="160" t="str">
        <f>IF(ISTEXT(OrderTable[[#This Row],[PART CODE]]),OrderTable[[#This Row],[Order Qty]]*OrderTable[[#This Row],[Price / Ea]],"")</f>
        <v/>
      </c>
      <c r="M15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6" s="192" t="str">
        <f>IFERROR(VLOOKUP(OrderTable[[#This Row],[PART CODE]],'Short-Long Transition'!A:I,9,0)," ")</f>
        <v xml:space="preserve"> </v>
      </c>
    </row>
    <row r="157" spans="1:15" x14ac:dyDescent="0.25">
      <c r="A157" s="111"/>
      <c r="B157" s="112"/>
      <c r="C157" s="109"/>
      <c r="D157" s="157" t="str">
        <f>IF(ISTEXT(OrderTable[[#This Row],[PART CODE]]),VLOOKUP(A157,'Price  List'!B:G,3,FALSE),"")</f>
        <v/>
      </c>
      <c r="E157" s="157"/>
      <c r="F157" s="156">
        <f>OrderTable[[#This Row],[PART CODE]]</f>
        <v>0</v>
      </c>
      <c r="G157" s="191" t="str">
        <f>IF(ISTEXT(OrderTable[[#This Row],[PART CODE]]),VLOOKUP(A157,'Price  List'!B:G,6,FALSE),"")</f>
        <v/>
      </c>
      <c r="H157" s="158" t="str">
        <f>IF(ISTEXT(OrderTable[[#This Row],[PART CODE]]),VLOOKUP(A157,'Price  List'!B:G,5,FALSE),"")</f>
        <v/>
      </c>
      <c r="I15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7" s="158" t="str">
        <f>IF(ISTEXT(OrderTable[[#This Row],[PART CODE]]),IF((ROUND(OrderTable[[#This Row],[Order Qty]]/OrderTable[[#This Row],[Case Qty]],0))=OrderTable[[#This Row],[Order Qty]]/OrderTable[[#This Row],[Case Qty]],OrderTable[[#This Row],[Order Qty]]/OrderTable[[#This Row],[Case Qty]],OrderTable[[#This Row],[Order Qty]]),"")</f>
        <v/>
      </c>
      <c r="K157" s="158" t="str">
        <f>IF(ISTEXT(OrderTable[[#This Row],[PART CODE]]),IF(OrderTable[[#This Row],[PART CODE]]="300.3712.GLV","PL",IF((ROUND(OrderTable[[#This Row],[Order Qty]]/OrderTable[[#This Row],[Case Qty]],0))=OrderTable[[#This Row],[Order Qty]]/OrderTable[[#This Row],[Case Qty]],"BOX","EA")),"")</f>
        <v/>
      </c>
      <c r="L157" s="160" t="str">
        <f>IF(ISTEXT(OrderTable[[#This Row],[PART CODE]]),OrderTable[[#This Row],[Order Qty]]*OrderTable[[#This Row],[Price / Ea]],"")</f>
        <v/>
      </c>
      <c r="M15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7" s="192" t="str">
        <f>IFERROR(VLOOKUP(OrderTable[[#This Row],[PART CODE]],'Short-Long Transition'!A:I,9,0)," ")</f>
        <v xml:space="preserve"> </v>
      </c>
    </row>
    <row r="158" spans="1:15" x14ac:dyDescent="0.25">
      <c r="A158" s="111"/>
      <c r="B158" s="112"/>
      <c r="C158" s="109"/>
      <c r="D158" s="157" t="str">
        <f>IF(ISTEXT(OrderTable[[#This Row],[PART CODE]]),VLOOKUP(A158,'Price  List'!B:G,3,FALSE),"")</f>
        <v/>
      </c>
      <c r="E158" s="157"/>
      <c r="F158" s="156">
        <f>OrderTable[[#This Row],[PART CODE]]</f>
        <v>0</v>
      </c>
      <c r="G158" s="191" t="str">
        <f>IF(ISTEXT(OrderTable[[#This Row],[PART CODE]]),VLOOKUP(A158,'Price  List'!B:G,6,FALSE),"")</f>
        <v/>
      </c>
      <c r="H158" s="158" t="str">
        <f>IF(ISTEXT(OrderTable[[#This Row],[PART CODE]]),VLOOKUP(A158,'Price  List'!B:G,5,FALSE),"")</f>
        <v/>
      </c>
      <c r="I15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8" s="158" t="str">
        <f>IF(ISTEXT(OrderTable[[#This Row],[PART CODE]]),IF((ROUND(OrderTable[[#This Row],[Order Qty]]/OrderTable[[#This Row],[Case Qty]],0))=OrderTable[[#This Row],[Order Qty]]/OrderTable[[#This Row],[Case Qty]],OrderTable[[#This Row],[Order Qty]]/OrderTable[[#This Row],[Case Qty]],OrderTable[[#This Row],[Order Qty]]),"")</f>
        <v/>
      </c>
      <c r="K158" s="158" t="str">
        <f>IF(ISTEXT(OrderTable[[#This Row],[PART CODE]]),IF(OrderTable[[#This Row],[PART CODE]]="300.3712.GLV","PL",IF((ROUND(OrderTable[[#This Row],[Order Qty]]/OrderTable[[#This Row],[Case Qty]],0))=OrderTable[[#This Row],[Order Qty]]/OrderTable[[#This Row],[Case Qty]],"BOX","EA")),"")</f>
        <v/>
      </c>
      <c r="L158" s="160" t="str">
        <f>IF(ISTEXT(OrderTable[[#This Row],[PART CODE]]),OrderTable[[#This Row],[Order Qty]]*OrderTable[[#This Row],[Price / Ea]],"")</f>
        <v/>
      </c>
      <c r="M15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8" s="192" t="str">
        <f>IFERROR(VLOOKUP(OrderTable[[#This Row],[PART CODE]],'Short-Long Transition'!A:I,9,0)," ")</f>
        <v xml:space="preserve"> </v>
      </c>
    </row>
    <row r="159" spans="1:15" x14ac:dyDescent="0.25">
      <c r="A159" s="111"/>
      <c r="B159" s="112"/>
      <c r="C159" s="109"/>
      <c r="D159" s="157" t="str">
        <f>IF(ISTEXT(OrderTable[[#This Row],[PART CODE]]),VLOOKUP(A159,'Price  List'!B:G,3,FALSE),"")</f>
        <v/>
      </c>
      <c r="E159" s="157"/>
      <c r="F159" s="156">
        <f>OrderTable[[#This Row],[PART CODE]]</f>
        <v>0</v>
      </c>
      <c r="G159" s="191" t="str">
        <f>IF(ISTEXT(OrderTable[[#This Row],[PART CODE]]),VLOOKUP(A159,'Price  List'!B:G,6,FALSE),"")</f>
        <v/>
      </c>
      <c r="H159" s="158" t="str">
        <f>IF(ISTEXT(OrderTable[[#This Row],[PART CODE]]),VLOOKUP(A159,'Price  List'!B:G,5,FALSE),"")</f>
        <v/>
      </c>
      <c r="I15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9" s="158" t="str">
        <f>IF(ISTEXT(OrderTable[[#This Row],[PART CODE]]),IF((ROUND(OrderTable[[#This Row],[Order Qty]]/OrderTable[[#This Row],[Case Qty]],0))=OrderTable[[#This Row],[Order Qty]]/OrderTable[[#This Row],[Case Qty]],OrderTable[[#This Row],[Order Qty]]/OrderTable[[#This Row],[Case Qty]],OrderTable[[#This Row],[Order Qty]]),"")</f>
        <v/>
      </c>
      <c r="K159" s="158" t="str">
        <f>IF(ISTEXT(OrderTable[[#This Row],[PART CODE]]),IF(OrderTable[[#This Row],[PART CODE]]="300.3712.GLV","PL",IF((ROUND(OrderTable[[#This Row],[Order Qty]]/OrderTable[[#This Row],[Case Qty]],0))=OrderTable[[#This Row],[Order Qty]]/OrderTable[[#This Row],[Case Qty]],"BOX","EA")),"")</f>
        <v/>
      </c>
      <c r="L159" s="160" t="str">
        <f>IF(ISTEXT(OrderTable[[#This Row],[PART CODE]]),OrderTable[[#This Row],[Order Qty]]*OrderTable[[#This Row],[Price / Ea]],"")</f>
        <v/>
      </c>
      <c r="M15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9" s="192" t="str">
        <f>IFERROR(VLOOKUP(OrderTable[[#This Row],[PART CODE]],'Short-Long Transition'!A:I,9,0)," ")</f>
        <v xml:space="preserve"> </v>
      </c>
    </row>
    <row r="160" spans="1:15" x14ac:dyDescent="0.25">
      <c r="A160" s="111"/>
      <c r="B160" s="112"/>
      <c r="C160" s="109"/>
      <c r="D160" s="157" t="str">
        <f>IF(ISTEXT(OrderTable[[#This Row],[PART CODE]]),VLOOKUP(A160,'Price  List'!B:G,3,FALSE),"")</f>
        <v/>
      </c>
      <c r="E160" s="157"/>
      <c r="F160" s="156">
        <f>OrderTable[[#This Row],[PART CODE]]</f>
        <v>0</v>
      </c>
      <c r="G160" s="191" t="str">
        <f>IF(ISTEXT(OrderTable[[#This Row],[PART CODE]]),VLOOKUP(A160,'Price  List'!B:G,6,FALSE),"")</f>
        <v/>
      </c>
      <c r="H160" s="158" t="str">
        <f>IF(ISTEXT(OrderTable[[#This Row],[PART CODE]]),VLOOKUP(A160,'Price  List'!B:G,5,FALSE),"")</f>
        <v/>
      </c>
      <c r="I16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0" s="158" t="str">
        <f>IF(ISTEXT(OrderTable[[#This Row],[PART CODE]]),IF((ROUND(OrderTable[[#This Row],[Order Qty]]/OrderTable[[#This Row],[Case Qty]],0))=OrderTable[[#This Row],[Order Qty]]/OrderTable[[#This Row],[Case Qty]],OrderTable[[#This Row],[Order Qty]]/OrderTable[[#This Row],[Case Qty]],OrderTable[[#This Row],[Order Qty]]),"")</f>
        <v/>
      </c>
      <c r="K160" s="158" t="str">
        <f>IF(ISTEXT(OrderTable[[#This Row],[PART CODE]]),IF(OrderTable[[#This Row],[PART CODE]]="300.3712.GLV","PL",IF((ROUND(OrderTable[[#This Row],[Order Qty]]/OrderTable[[#This Row],[Case Qty]],0))=OrderTable[[#This Row],[Order Qty]]/OrderTable[[#This Row],[Case Qty]],"BOX","EA")),"")</f>
        <v/>
      </c>
      <c r="L160" s="160" t="str">
        <f>IF(ISTEXT(OrderTable[[#This Row],[PART CODE]]),OrderTable[[#This Row],[Order Qty]]*OrderTable[[#This Row],[Price / Ea]],"")</f>
        <v/>
      </c>
      <c r="M16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0" s="192" t="str">
        <f>IFERROR(VLOOKUP(OrderTable[[#This Row],[PART CODE]],'Short-Long Transition'!A:I,9,0)," ")</f>
        <v xml:space="preserve"> </v>
      </c>
    </row>
    <row r="161" spans="1:15" x14ac:dyDescent="0.25">
      <c r="A161" s="111"/>
      <c r="B161" s="112"/>
      <c r="C161" s="109"/>
      <c r="D161" s="157" t="str">
        <f>IF(ISTEXT(OrderTable[[#This Row],[PART CODE]]),VLOOKUP(A161,'Price  List'!B:G,3,FALSE),"")</f>
        <v/>
      </c>
      <c r="E161" s="157"/>
      <c r="F161" s="156">
        <f>OrderTable[[#This Row],[PART CODE]]</f>
        <v>0</v>
      </c>
      <c r="G161" s="191" t="str">
        <f>IF(ISTEXT(OrderTable[[#This Row],[PART CODE]]),VLOOKUP(A161,'Price  List'!B:G,6,FALSE),"")</f>
        <v/>
      </c>
      <c r="H161" s="158" t="str">
        <f>IF(ISTEXT(OrderTable[[#This Row],[PART CODE]]),VLOOKUP(A161,'Price  List'!B:G,5,FALSE),"")</f>
        <v/>
      </c>
      <c r="I16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1" s="158" t="str">
        <f>IF(ISTEXT(OrderTable[[#This Row],[PART CODE]]),IF((ROUND(OrderTable[[#This Row],[Order Qty]]/OrderTable[[#This Row],[Case Qty]],0))=OrderTable[[#This Row],[Order Qty]]/OrderTable[[#This Row],[Case Qty]],OrderTable[[#This Row],[Order Qty]]/OrderTable[[#This Row],[Case Qty]],OrderTable[[#This Row],[Order Qty]]),"")</f>
        <v/>
      </c>
      <c r="K161" s="158" t="str">
        <f>IF(ISTEXT(OrderTable[[#This Row],[PART CODE]]),IF(OrderTable[[#This Row],[PART CODE]]="300.3712.GLV","PL",IF((ROUND(OrderTable[[#This Row],[Order Qty]]/OrderTable[[#This Row],[Case Qty]],0))=OrderTable[[#This Row],[Order Qty]]/OrderTable[[#This Row],[Case Qty]],"BOX","EA")),"")</f>
        <v/>
      </c>
      <c r="L161" s="160" t="str">
        <f>IF(ISTEXT(OrderTable[[#This Row],[PART CODE]]),OrderTable[[#This Row],[Order Qty]]*OrderTable[[#This Row],[Price / Ea]],"")</f>
        <v/>
      </c>
      <c r="M16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1" s="192" t="str">
        <f>IFERROR(VLOOKUP(OrderTable[[#This Row],[PART CODE]],'Short-Long Transition'!A:I,9,0)," ")</f>
        <v xml:space="preserve"> </v>
      </c>
    </row>
    <row r="162" spans="1:15" x14ac:dyDescent="0.25">
      <c r="A162" s="111"/>
      <c r="B162" s="112"/>
      <c r="C162" s="109"/>
      <c r="D162" s="157" t="str">
        <f>IF(ISTEXT(OrderTable[[#This Row],[PART CODE]]),VLOOKUP(A162,'Price  List'!B:G,3,FALSE),"")</f>
        <v/>
      </c>
      <c r="E162" s="157"/>
      <c r="F162" s="156">
        <f>OrderTable[[#This Row],[PART CODE]]</f>
        <v>0</v>
      </c>
      <c r="G162" s="191" t="str">
        <f>IF(ISTEXT(OrderTable[[#This Row],[PART CODE]]),VLOOKUP(A162,'Price  List'!B:G,6,FALSE),"")</f>
        <v/>
      </c>
      <c r="H162" s="158" t="str">
        <f>IF(ISTEXT(OrderTable[[#This Row],[PART CODE]]),VLOOKUP(A162,'Price  List'!B:G,5,FALSE),"")</f>
        <v/>
      </c>
      <c r="I16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2" s="158" t="str">
        <f>IF(ISTEXT(OrderTable[[#This Row],[PART CODE]]),IF((ROUND(OrderTable[[#This Row],[Order Qty]]/OrderTable[[#This Row],[Case Qty]],0))=OrderTable[[#This Row],[Order Qty]]/OrderTable[[#This Row],[Case Qty]],OrderTable[[#This Row],[Order Qty]]/OrderTable[[#This Row],[Case Qty]],OrderTable[[#This Row],[Order Qty]]),"")</f>
        <v/>
      </c>
      <c r="K162" s="158" t="str">
        <f>IF(ISTEXT(OrderTable[[#This Row],[PART CODE]]),IF(OrderTable[[#This Row],[PART CODE]]="300.3712.GLV","PL",IF((ROUND(OrderTable[[#This Row],[Order Qty]]/OrderTable[[#This Row],[Case Qty]],0))=OrderTable[[#This Row],[Order Qty]]/OrderTable[[#This Row],[Case Qty]],"BOX","EA")),"")</f>
        <v/>
      </c>
      <c r="L162" s="160" t="str">
        <f>IF(ISTEXT(OrderTable[[#This Row],[PART CODE]]),OrderTable[[#This Row],[Order Qty]]*OrderTable[[#This Row],[Price / Ea]],"")</f>
        <v/>
      </c>
      <c r="M16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2" s="192" t="str">
        <f>IFERROR(VLOOKUP(OrderTable[[#This Row],[PART CODE]],'Short-Long Transition'!A:I,9,0)," ")</f>
        <v xml:space="preserve"> </v>
      </c>
    </row>
    <row r="163" spans="1:15" x14ac:dyDescent="0.25">
      <c r="A163" s="111"/>
      <c r="B163" s="112"/>
      <c r="C163" s="109"/>
      <c r="D163" s="157" t="str">
        <f>IF(ISTEXT(OrderTable[[#This Row],[PART CODE]]),VLOOKUP(A163,'Price  List'!B:G,3,FALSE),"")</f>
        <v/>
      </c>
      <c r="E163" s="157"/>
      <c r="F163" s="156">
        <f>OrderTable[[#This Row],[PART CODE]]</f>
        <v>0</v>
      </c>
      <c r="G163" s="191" t="str">
        <f>IF(ISTEXT(OrderTable[[#This Row],[PART CODE]]),VLOOKUP(A163,'Price  List'!B:G,6,FALSE),"")</f>
        <v/>
      </c>
      <c r="H163" s="158" t="str">
        <f>IF(ISTEXT(OrderTable[[#This Row],[PART CODE]]),VLOOKUP(A163,'Price  List'!B:G,5,FALSE),"")</f>
        <v/>
      </c>
      <c r="I16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3" s="158" t="str">
        <f>IF(ISTEXT(OrderTable[[#This Row],[PART CODE]]),IF((ROUND(OrderTable[[#This Row],[Order Qty]]/OrderTable[[#This Row],[Case Qty]],0))=OrderTable[[#This Row],[Order Qty]]/OrderTable[[#This Row],[Case Qty]],OrderTable[[#This Row],[Order Qty]]/OrderTable[[#This Row],[Case Qty]],OrderTable[[#This Row],[Order Qty]]),"")</f>
        <v/>
      </c>
      <c r="K163" s="158" t="str">
        <f>IF(ISTEXT(OrderTable[[#This Row],[PART CODE]]),IF(OrderTable[[#This Row],[PART CODE]]="300.3712.GLV","PL",IF((ROUND(OrderTable[[#This Row],[Order Qty]]/OrderTable[[#This Row],[Case Qty]],0))=OrderTable[[#This Row],[Order Qty]]/OrderTable[[#This Row],[Case Qty]],"BOX","EA")),"")</f>
        <v/>
      </c>
      <c r="L163" s="160" t="str">
        <f>IF(ISTEXT(OrderTable[[#This Row],[PART CODE]]),OrderTable[[#This Row],[Order Qty]]*OrderTable[[#This Row],[Price / Ea]],"")</f>
        <v/>
      </c>
      <c r="M16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3" s="192" t="str">
        <f>IFERROR(VLOOKUP(OrderTable[[#This Row],[PART CODE]],'Short-Long Transition'!A:I,9,0)," ")</f>
        <v xml:space="preserve"> </v>
      </c>
    </row>
    <row r="164" spans="1:15" x14ac:dyDescent="0.25">
      <c r="A164" s="111"/>
      <c r="B164" s="112"/>
      <c r="C164" s="109"/>
      <c r="D164" s="157" t="str">
        <f>IF(ISTEXT(OrderTable[[#This Row],[PART CODE]]),VLOOKUP(A164,'Price  List'!B:G,3,FALSE),"")</f>
        <v/>
      </c>
      <c r="E164" s="157"/>
      <c r="F164" s="156">
        <f>OrderTable[[#This Row],[PART CODE]]</f>
        <v>0</v>
      </c>
      <c r="G164" s="191" t="str">
        <f>IF(ISTEXT(OrderTable[[#This Row],[PART CODE]]),VLOOKUP(A164,'Price  List'!B:G,6,FALSE),"")</f>
        <v/>
      </c>
      <c r="H164" s="158" t="str">
        <f>IF(ISTEXT(OrderTable[[#This Row],[PART CODE]]),VLOOKUP(A164,'Price  List'!B:G,5,FALSE),"")</f>
        <v/>
      </c>
      <c r="I16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4" s="158" t="str">
        <f>IF(ISTEXT(OrderTable[[#This Row],[PART CODE]]),IF((ROUND(OrderTable[[#This Row],[Order Qty]]/OrderTable[[#This Row],[Case Qty]],0))=OrderTable[[#This Row],[Order Qty]]/OrderTable[[#This Row],[Case Qty]],OrderTable[[#This Row],[Order Qty]]/OrderTable[[#This Row],[Case Qty]],OrderTable[[#This Row],[Order Qty]]),"")</f>
        <v/>
      </c>
      <c r="K164" s="158" t="str">
        <f>IF(ISTEXT(OrderTable[[#This Row],[PART CODE]]),IF(OrderTable[[#This Row],[PART CODE]]="300.3712.GLV","PL",IF((ROUND(OrderTable[[#This Row],[Order Qty]]/OrderTable[[#This Row],[Case Qty]],0))=OrderTable[[#This Row],[Order Qty]]/OrderTable[[#This Row],[Case Qty]],"BOX","EA")),"")</f>
        <v/>
      </c>
      <c r="L164" s="160" t="str">
        <f>IF(ISTEXT(OrderTable[[#This Row],[PART CODE]]),OrderTable[[#This Row],[Order Qty]]*OrderTable[[#This Row],[Price / Ea]],"")</f>
        <v/>
      </c>
      <c r="M16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4" s="192" t="str">
        <f>IFERROR(VLOOKUP(OrderTable[[#This Row],[PART CODE]],'Short-Long Transition'!A:I,9,0)," ")</f>
        <v xml:space="preserve"> </v>
      </c>
    </row>
    <row r="165" spans="1:15" x14ac:dyDescent="0.25">
      <c r="A165" s="111"/>
      <c r="B165" s="112"/>
      <c r="C165" s="109"/>
      <c r="D165" s="157" t="str">
        <f>IF(ISTEXT(OrderTable[[#This Row],[PART CODE]]),VLOOKUP(A165,'Price  List'!B:G,3,FALSE),"")</f>
        <v/>
      </c>
      <c r="E165" s="157"/>
      <c r="F165" s="156">
        <f>OrderTable[[#This Row],[PART CODE]]</f>
        <v>0</v>
      </c>
      <c r="G165" s="191" t="str">
        <f>IF(ISTEXT(OrderTable[[#This Row],[PART CODE]]),VLOOKUP(A165,'Price  List'!B:G,6,FALSE),"")</f>
        <v/>
      </c>
      <c r="H165" s="158" t="str">
        <f>IF(ISTEXT(OrderTable[[#This Row],[PART CODE]]),VLOOKUP(A165,'Price  List'!B:G,5,FALSE),"")</f>
        <v/>
      </c>
      <c r="I16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5" s="158" t="str">
        <f>IF(ISTEXT(OrderTable[[#This Row],[PART CODE]]),IF((ROUND(OrderTable[[#This Row],[Order Qty]]/OrderTable[[#This Row],[Case Qty]],0))=OrderTable[[#This Row],[Order Qty]]/OrderTable[[#This Row],[Case Qty]],OrderTable[[#This Row],[Order Qty]]/OrderTable[[#This Row],[Case Qty]],OrderTable[[#This Row],[Order Qty]]),"")</f>
        <v/>
      </c>
      <c r="K165" s="158" t="str">
        <f>IF(ISTEXT(OrderTable[[#This Row],[PART CODE]]),IF(OrderTable[[#This Row],[PART CODE]]="300.3712.GLV","PL",IF((ROUND(OrderTable[[#This Row],[Order Qty]]/OrderTable[[#This Row],[Case Qty]],0))=OrderTable[[#This Row],[Order Qty]]/OrderTable[[#This Row],[Case Qty]],"BOX","EA")),"")</f>
        <v/>
      </c>
      <c r="L165" s="160" t="str">
        <f>IF(ISTEXT(OrderTable[[#This Row],[PART CODE]]),OrderTable[[#This Row],[Order Qty]]*OrderTable[[#This Row],[Price / Ea]],"")</f>
        <v/>
      </c>
      <c r="M16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5" s="192" t="str">
        <f>IFERROR(VLOOKUP(OrderTable[[#This Row],[PART CODE]],'Short-Long Transition'!A:I,9,0)," ")</f>
        <v xml:space="preserve"> </v>
      </c>
    </row>
    <row r="166" spans="1:15" x14ac:dyDescent="0.25">
      <c r="A166" s="111"/>
      <c r="B166" s="112"/>
      <c r="C166" s="109"/>
      <c r="D166" s="157" t="str">
        <f>IF(ISTEXT(OrderTable[[#This Row],[PART CODE]]),VLOOKUP(A166,'Price  List'!B:G,3,FALSE),"")</f>
        <v/>
      </c>
      <c r="E166" s="157"/>
      <c r="F166" s="156">
        <f>OrderTable[[#This Row],[PART CODE]]</f>
        <v>0</v>
      </c>
      <c r="G166" s="191" t="str">
        <f>IF(ISTEXT(OrderTable[[#This Row],[PART CODE]]),VLOOKUP(A166,'Price  List'!B:G,6,FALSE),"")</f>
        <v/>
      </c>
      <c r="H166" s="158" t="str">
        <f>IF(ISTEXT(OrderTable[[#This Row],[PART CODE]]),VLOOKUP(A166,'Price  List'!B:G,5,FALSE),"")</f>
        <v/>
      </c>
      <c r="I16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6" s="158" t="str">
        <f>IF(ISTEXT(OrderTable[[#This Row],[PART CODE]]),IF((ROUND(OrderTable[[#This Row],[Order Qty]]/OrderTable[[#This Row],[Case Qty]],0))=OrderTable[[#This Row],[Order Qty]]/OrderTable[[#This Row],[Case Qty]],OrderTable[[#This Row],[Order Qty]]/OrderTable[[#This Row],[Case Qty]],OrderTable[[#This Row],[Order Qty]]),"")</f>
        <v/>
      </c>
      <c r="K166" s="158" t="str">
        <f>IF(ISTEXT(OrderTable[[#This Row],[PART CODE]]),IF(OrderTable[[#This Row],[PART CODE]]="300.3712.GLV","PL",IF((ROUND(OrderTable[[#This Row],[Order Qty]]/OrderTable[[#This Row],[Case Qty]],0))=OrderTable[[#This Row],[Order Qty]]/OrderTable[[#This Row],[Case Qty]],"BOX","EA")),"")</f>
        <v/>
      </c>
      <c r="L166" s="160" t="str">
        <f>IF(ISTEXT(OrderTable[[#This Row],[PART CODE]]),OrderTable[[#This Row],[Order Qty]]*OrderTable[[#This Row],[Price / Ea]],"")</f>
        <v/>
      </c>
      <c r="M16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6" s="192" t="str">
        <f>IFERROR(VLOOKUP(OrderTable[[#This Row],[PART CODE]],'Short-Long Transition'!A:I,9,0)," ")</f>
        <v xml:space="preserve"> </v>
      </c>
    </row>
    <row r="167" spans="1:15" x14ac:dyDescent="0.25">
      <c r="A167" s="111"/>
      <c r="B167" s="112"/>
      <c r="C167" s="109"/>
      <c r="D167" s="157" t="str">
        <f>IF(ISTEXT(OrderTable[[#This Row],[PART CODE]]),VLOOKUP(A167,'Price  List'!B:G,3,FALSE),"")</f>
        <v/>
      </c>
      <c r="E167" s="157"/>
      <c r="F167" s="156">
        <f>OrderTable[[#This Row],[PART CODE]]</f>
        <v>0</v>
      </c>
      <c r="G167" s="191" t="str">
        <f>IF(ISTEXT(OrderTable[[#This Row],[PART CODE]]),VLOOKUP(A167,'Price  List'!B:G,6,FALSE),"")</f>
        <v/>
      </c>
      <c r="H167" s="158" t="str">
        <f>IF(ISTEXT(OrderTable[[#This Row],[PART CODE]]),VLOOKUP(A167,'Price  List'!B:G,5,FALSE),"")</f>
        <v/>
      </c>
      <c r="I16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7" s="158" t="str">
        <f>IF(ISTEXT(OrderTable[[#This Row],[PART CODE]]),IF((ROUND(OrderTable[[#This Row],[Order Qty]]/OrderTable[[#This Row],[Case Qty]],0))=OrderTable[[#This Row],[Order Qty]]/OrderTable[[#This Row],[Case Qty]],OrderTable[[#This Row],[Order Qty]]/OrderTable[[#This Row],[Case Qty]],OrderTable[[#This Row],[Order Qty]]),"")</f>
        <v/>
      </c>
      <c r="K167" s="158" t="str">
        <f>IF(ISTEXT(OrderTable[[#This Row],[PART CODE]]),IF(OrderTable[[#This Row],[PART CODE]]="300.3712.GLV","PL",IF((ROUND(OrderTable[[#This Row],[Order Qty]]/OrderTable[[#This Row],[Case Qty]],0))=OrderTable[[#This Row],[Order Qty]]/OrderTable[[#This Row],[Case Qty]],"BOX","EA")),"")</f>
        <v/>
      </c>
      <c r="L167" s="160" t="str">
        <f>IF(ISTEXT(OrderTable[[#This Row],[PART CODE]]),OrderTable[[#This Row],[Order Qty]]*OrderTable[[#This Row],[Price / Ea]],"")</f>
        <v/>
      </c>
      <c r="M16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7" s="192" t="str">
        <f>IFERROR(VLOOKUP(OrderTable[[#This Row],[PART CODE]],'Short-Long Transition'!A:I,9,0)," ")</f>
        <v xml:space="preserve"> </v>
      </c>
    </row>
    <row r="168" spans="1:15" x14ac:dyDescent="0.25">
      <c r="A168" s="111"/>
      <c r="B168" s="112"/>
      <c r="C168" s="109"/>
      <c r="D168" s="157" t="str">
        <f>IF(ISTEXT(OrderTable[[#This Row],[PART CODE]]),VLOOKUP(A168,'Price  List'!B:G,3,FALSE),"")</f>
        <v/>
      </c>
      <c r="E168" s="157"/>
      <c r="F168" s="156">
        <f>OrderTable[[#This Row],[PART CODE]]</f>
        <v>0</v>
      </c>
      <c r="G168" s="191" t="str">
        <f>IF(ISTEXT(OrderTable[[#This Row],[PART CODE]]),VLOOKUP(A168,'Price  List'!B:G,6,FALSE),"")</f>
        <v/>
      </c>
      <c r="H168" s="158" t="str">
        <f>IF(ISTEXT(OrderTable[[#This Row],[PART CODE]]),VLOOKUP(A168,'Price  List'!B:G,5,FALSE),"")</f>
        <v/>
      </c>
      <c r="I16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8" s="158" t="str">
        <f>IF(ISTEXT(OrderTable[[#This Row],[PART CODE]]),IF((ROUND(OrderTable[[#This Row],[Order Qty]]/OrderTable[[#This Row],[Case Qty]],0))=OrderTable[[#This Row],[Order Qty]]/OrderTable[[#This Row],[Case Qty]],OrderTable[[#This Row],[Order Qty]]/OrderTable[[#This Row],[Case Qty]],OrderTable[[#This Row],[Order Qty]]),"")</f>
        <v/>
      </c>
      <c r="K168" s="158" t="str">
        <f>IF(ISTEXT(OrderTable[[#This Row],[PART CODE]]),IF(OrderTable[[#This Row],[PART CODE]]="300.3712.GLV","PL",IF((ROUND(OrderTable[[#This Row],[Order Qty]]/OrderTable[[#This Row],[Case Qty]],0))=OrderTable[[#This Row],[Order Qty]]/OrderTable[[#This Row],[Case Qty]],"BOX","EA")),"")</f>
        <v/>
      </c>
      <c r="L168" s="160" t="str">
        <f>IF(ISTEXT(OrderTable[[#This Row],[PART CODE]]),OrderTable[[#This Row],[Order Qty]]*OrderTable[[#This Row],[Price / Ea]],"")</f>
        <v/>
      </c>
      <c r="M16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8" s="192" t="str">
        <f>IFERROR(VLOOKUP(OrderTable[[#This Row],[PART CODE]],'Short-Long Transition'!A:I,9,0)," ")</f>
        <v xml:space="preserve"> </v>
      </c>
    </row>
    <row r="169" spans="1:15" x14ac:dyDescent="0.25">
      <c r="A169" s="111"/>
      <c r="B169" s="112"/>
      <c r="C169" s="109"/>
      <c r="D169" s="157" t="str">
        <f>IF(ISTEXT(OrderTable[[#This Row],[PART CODE]]),VLOOKUP(A169,'Price  List'!B:G,3,FALSE),"")</f>
        <v/>
      </c>
      <c r="E169" s="157"/>
      <c r="F169" s="156">
        <f>OrderTable[[#This Row],[PART CODE]]</f>
        <v>0</v>
      </c>
      <c r="G169" s="191" t="str">
        <f>IF(ISTEXT(OrderTable[[#This Row],[PART CODE]]),VLOOKUP(A169,'Price  List'!B:G,6,FALSE),"")</f>
        <v/>
      </c>
      <c r="H169" s="158" t="str">
        <f>IF(ISTEXT(OrderTable[[#This Row],[PART CODE]]),VLOOKUP(A169,'Price  List'!B:G,5,FALSE),"")</f>
        <v/>
      </c>
      <c r="I16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9" s="158" t="str">
        <f>IF(ISTEXT(OrderTable[[#This Row],[PART CODE]]),IF((ROUND(OrderTable[[#This Row],[Order Qty]]/OrderTable[[#This Row],[Case Qty]],0))=OrderTable[[#This Row],[Order Qty]]/OrderTable[[#This Row],[Case Qty]],OrderTable[[#This Row],[Order Qty]]/OrderTable[[#This Row],[Case Qty]],OrderTable[[#This Row],[Order Qty]]),"")</f>
        <v/>
      </c>
      <c r="K169" s="158" t="str">
        <f>IF(ISTEXT(OrderTable[[#This Row],[PART CODE]]),IF(OrderTable[[#This Row],[PART CODE]]="300.3712.GLV","PL",IF((ROUND(OrderTable[[#This Row],[Order Qty]]/OrderTable[[#This Row],[Case Qty]],0))=OrderTable[[#This Row],[Order Qty]]/OrderTable[[#This Row],[Case Qty]],"BOX","EA")),"")</f>
        <v/>
      </c>
      <c r="L169" s="160" t="str">
        <f>IF(ISTEXT(OrderTable[[#This Row],[PART CODE]]),OrderTable[[#This Row],[Order Qty]]*OrderTable[[#This Row],[Price / Ea]],"")</f>
        <v/>
      </c>
      <c r="M16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9" s="192" t="str">
        <f>IFERROR(VLOOKUP(OrderTable[[#This Row],[PART CODE]],'Short-Long Transition'!A:I,9,0)," ")</f>
        <v xml:space="preserve"> </v>
      </c>
    </row>
    <row r="170" spans="1:15" x14ac:dyDescent="0.25">
      <c r="A170" s="111"/>
      <c r="B170" s="112"/>
      <c r="C170" s="109"/>
      <c r="D170" s="157" t="str">
        <f>IF(ISTEXT(OrderTable[[#This Row],[PART CODE]]),VLOOKUP(A170,'Price  List'!B:G,3,FALSE),"")</f>
        <v/>
      </c>
      <c r="E170" s="157"/>
      <c r="F170" s="156">
        <f>OrderTable[[#This Row],[PART CODE]]</f>
        <v>0</v>
      </c>
      <c r="G170" s="191" t="str">
        <f>IF(ISTEXT(OrderTable[[#This Row],[PART CODE]]),VLOOKUP(A170,'Price  List'!B:G,6,FALSE),"")</f>
        <v/>
      </c>
      <c r="H170" s="158" t="str">
        <f>IF(ISTEXT(OrderTable[[#This Row],[PART CODE]]),VLOOKUP(A170,'Price  List'!B:G,5,FALSE),"")</f>
        <v/>
      </c>
      <c r="I17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0" s="158" t="str">
        <f>IF(ISTEXT(OrderTable[[#This Row],[PART CODE]]),IF((ROUND(OrderTable[[#This Row],[Order Qty]]/OrderTable[[#This Row],[Case Qty]],0))=OrderTable[[#This Row],[Order Qty]]/OrderTable[[#This Row],[Case Qty]],OrderTable[[#This Row],[Order Qty]]/OrderTable[[#This Row],[Case Qty]],OrderTable[[#This Row],[Order Qty]]),"")</f>
        <v/>
      </c>
      <c r="K170" s="158" t="str">
        <f>IF(ISTEXT(OrderTable[[#This Row],[PART CODE]]),IF(OrderTable[[#This Row],[PART CODE]]="300.3712.GLV","PL",IF((ROUND(OrderTable[[#This Row],[Order Qty]]/OrderTable[[#This Row],[Case Qty]],0))=OrderTable[[#This Row],[Order Qty]]/OrderTable[[#This Row],[Case Qty]],"BOX","EA")),"")</f>
        <v/>
      </c>
      <c r="L170" s="160" t="str">
        <f>IF(ISTEXT(OrderTable[[#This Row],[PART CODE]]),OrderTable[[#This Row],[Order Qty]]*OrderTable[[#This Row],[Price / Ea]],"")</f>
        <v/>
      </c>
      <c r="M17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0" s="192" t="str">
        <f>IFERROR(VLOOKUP(OrderTable[[#This Row],[PART CODE]],'Short-Long Transition'!A:I,9,0)," ")</f>
        <v xml:space="preserve"> </v>
      </c>
    </row>
    <row r="171" spans="1:15" x14ac:dyDescent="0.25">
      <c r="A171" s="111"/>
      <c r="B171" s="112"/>
      <c r="C171" s="109"/>
      <c r="D171" s="157" t="str">
        <f>IF(ISTEXT(OrderTable[[#This Row],[PART CODE]]),VLOOKUP(A171,'Price  List'!B:G,3,FALSE),"")</f>
        <v/>
      </c>
      <c r="E171" s="157"/>
      <c r="F171" s="156">
        <f>OrderTable[[#This Row],[PART CODE]]</f>
        <v>0</v>
      </c>
      <c r="G171" s="191" t="str">
        <f>IF(ISTEXT(OrderTable[[#This Row],[PART CODE]]),VLOOKUP(A171,'Price  List'!B:G,6,FALSE),"")</f>
        <v/>
      </c>
      <c r="H171" s="158" t="str">
        <f>IF(ISTEXT(OrderTable[[#This Row],[PART CODE]]),VLOOKUP(A171,'Price  List'!B:G,5,FALSE),"")</f>
        <v/>
      </c>
      <c r="I17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1" s="158" t="str">
        <f>IF(ISTEXT(OrderTable[[#This Row],[PART CODE]]),IF((ROUND(OrderTable[[#This Row],[Order Qty]]/OrderTable[[#This Row],[Case Qty]],0))=OrderTable[[#This Row],[Order Qty]]/OrderTable[[#This Row],[Case Qty]],OrderTable[[#This Row],[Order Qty]]/OrderTable[[#This Row],[Case Qty]],OrderTable[[#This Row],[Order Qty]]),"")</f>
        <v/>
      </c>
      <c r="K171" s="158" t="str">
        <f>IF(ISTEXT(OrderTable[[#This Row],[PART CODE]]),IF(OrderTable[[#This Row],[PART CODE]]="300.3712.GLV","PL",IF((ROUND(OrderTable[[#This Row],[Order Qty]]/OrderTable[[#This Row],[Case Qty]],0))=OrderTable[[#This Row],[Order Qty]]/OrderTable[[#This Row],[Case Qty]],"BOX","EA")),"")</f>
        <v/>
      </c>
      <c r="L171" s="160" t="str">
        <f>IF(ISTEXT(OrderTable[[#This Row],[PART CODE]]),OrderTable[[#This Row],[Order Qty]]*OrderTable[[#This Row],[Price / Ea]],"")</f>
        <v/>
      </c>
      <c r="M17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1" s="192" t="str">
        <f>IFERROR(VLOOKUP(OrderTable[[#This Row],[PART CODE]],'Short-Long Transition'!A:I,9,0)," ")</f>
        <v xml:space="preserve"> </v>
      </c>
    </row>
    <row r="172" spans="1:15" x14ac:dyDescent="0.25">
      <c r="A172" s="111"/>
      <c r="B172" s="112"/>
      <c r="C172" s="109"/>
      <c r="D172" s="157" t="str">
        <f>IF(ISTEXT(OrderTable[[#This Row],[PART CODE]]),VLOOKUP(A172,'Price  List'!B:G,3,FALSE),"")</f>
        <v/>
      </c>
      <c r="E172" s="157"/>
      <c r="F172" s="156">
        <f>OrderTable[[#This Row],[PART CODE]]</f>
        <v>0</v>
      </c>
      <c r="G172" s="191" t="str">
        <f>IF(ISTEXT(OrderTable[[#This Row],[PART CODE]]),VLOOKUP(A172,'Price  List'!B:G,6,FALSE),"")</f>
        <v/>
      </c>
      <c r="H172" s="158" t="str">
        <f>IF(ISTEXT(OrderTable[[#This Row],[PART CODE]]),VLOOKUP(A172,'Price  List'!B:G,5,FALSE),"")</f>
        <v/>
      </c>
      <c r="I17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2" s="158" t="str">
        <f>IF(ISTEXT(OrderTable[[#This Row],[PART CODE]]),IF((ROUND(OrderTable[[#This Row],[Order Qty]]/OrderTable[[#This Row],[Case Qty]],0))=OrderTable[[#This Row],[Order Qty]]/OrderTable[[#This Row],[Case Qty]],OrderTable[[#This Row],[Order Qty]]/OrderTable[[#This Row],[Case Qty]],OrderTable[[#This Row],[Order Qty]]),"")</f>
        <v/>
      </c>
      <c r="K172" s="158" t="str">
        <f>IF(ISTEXT(OrderTable[[#This Row],[PART CODE]]),IF(OrderTable[[#This Row],[PART CODE]]="300.3712.GLV","PL",IF((ROUND(OrderTable[[#This Row],[Order Qty]]/OrderTable[[#This Row],[Case Qty]],0))=OrderTable[[#This Row],[Order Qty]]/OrderTable[[#This Row],[Case Qty]],"BOX","EA")),"")</f>
        <v/>
      </c>
      <c r="L172" s="160" t="str">
        <f>IF(ISTEXT(OrderTable[[#This Row],[PART CODE]]),OrderTable[[#This Row],[Order Qty]]*OrderTable[[#This Row],[Price / Ea]],"")</f>
        <v/>
      </c>
      <c r="M17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2" s="192" t="str">
        <f>IFERROR(VLOOKUP(OrderTable[[#This Row],[PART CODE]],'Short-Long Transition'!A:I,9,0)," ")</f>
        <v xml:space="preserve"> </v>
      </c>
    </row>
    <row r="173" spans="1:15" x14ac:dyDescent="0.25">
      <c r="A173" s="111"/>
      <c r="B173" s="112"/>
      <c r="C173" s="109"/>
      <c r="D173" s="157" t="str">
        <f>IF(ISTEXT(OrderTable[[#This Row],[PART CODE]]),VLOOKUP(A173,'Price  List'!B:G,3,FALSE),"")</f>
        <v/>
      </c>
      <c r="E173" s="157"/>
      <c r="F173" s="156">
        <f>OrderTable[[#This Row],[PART CODE]]</f>
        <v>0</v>
      </c>
      <c r="G173" s="191" t="str">
        <f>IF(ISTEXT(OrderTable[[#This Row],[PART CODE]]),VLOOKUP(A173,'Price  List'!B:G,6,FALSE),"")</f>
        <v/>
      </c>
      <c r="H173" s="158" t="str">
        <f>IF(ISTEXT(OrderTable[[#This Row],[PART CODE]]),VLOOKUP(A173,'Price  List'!B:G,5,FALSE),"")</f>
        <v/>
      </c>
      <c r="I17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3" s="158" t="str">
        <f>IF(ISTEXT(OrderTable[[#This Row],[PART CODE]]),IF((ROUND(OrderTable[[#This Row],[Order Qty]]/OrderTable[[#This Row],[Case Qty]],0))=OrderTable[[#This Row],[Order Qty]]/OrderTable[[#This Row],[Case Qty]],OrderTable[[#This Row],[Order Qty]]/OrderTable[[#This Row],[Case Qty]],OrderTable[[#This Row],[Order Qty]]),"")</f>
        <v/>
      </c>
      <c r="K173" s="158" t="str">
        <f>IF(ISTEXT(OrderTable[[#This Row],[PART CODE]]),IF(OrderTable[[#This Row],[PART CODE]]="300.3712.GLV","PL",IF((ROUND(OrderTable[[#This Row],[Order Qty]]/OrderTable[[#This Row],[Case Qty]],0))=OrderTable[[#This Row],[Order Qty]]/OrderTable[[#This Row],[Case Qty]],"BOX","EA")),"")</f>
        <v/>
      </c>
      <c r="L173" s="160" t="str">
        <f>IF(ISTEXT(OrderTable[[#This Row],[PART CODE]]),OrderTable[[#This Row],[Order Qty]]*OrderTable[[#This Row],[Price / Ea]],"")</f>
        <v/>
      </c>
      <c r="M17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3" s="192" t="str">
        <f>IFERROR(VLOOKUP(OrderTable[[#This Row],[PART CODE]],'Short-Long Transition'!A:I,9,0)," ")</f>
        <v xml:space="preserve"> </v>
      </c>
    </row>
    <row r="174" spans="1:15" x14ac:dyDescent="0.25">
      <c r="A174" s="111"/>
      <c r="B174" s="112"/>
      <c r="C174" s="109"/>
      <c r="D174" s="157" t="str">
        <f>IF(ISTEXT(OrderTable[[#This Row],[PART CODE]]),VLOOKUP(A174,'Price  List'!B:G,3,FALSE),"")</f>
        <v/>
      </c>
      <c r="E174" s="157"/>
      <c r="F174" s="156">
        <f>OrderTable[[#This Row],[PART CODE]]</f>
        <v>0</v>
      </c>
      <c r="G174" s="191" t="str">
        <f>IF(ISTEXT(OrderTable[[#This Row],[PART CODE]]),VLOOKUP(A174,'Price  List'!B:G,6,FALSE),"")</f>
        <v/>
      </c>
      <c r="H174" s="158" t="str">
        <f>IF(ISTEXT(OrderTable[[#This Row],[PART CODE]]),VLOOKUP(A174,'Price  List'!B:G,5,FALSE),"")</f>
        <v/>
      </c>
      <c r="I17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4" s="158" t="str">
        <f>IF(ISTEXT(OrderTable[[#This Row],[PART CODE]]),IF((ROUND(OrderTable[[#This Row],[Order Qty]]/OrderTable[[#This Row],[Case Qty]],0))=OrderTable[[#This Row],[Order Qty]]/OrderTable[[#This Row],[Case Qty]],OrderTable[[#This Row],[Order Qty]]/OrderTable[[#This Row],[Case Qty]],OrderTable[[#This Row],[Order Qty]]),"")</f>
        <v/>
      </c>
      <c r="K174" s="158" t="str">
        <f>IF(ISTEXT(OrderTable[[#This Row],[PART CODE]]),IF(OrderTable[[#This Row],[PART CODE]]="300.3712.GLV","PL",IF((ROUND(OrderTable[[#This Row],[Order Qty]]/OrderTable[[#This Row],[Case Qty]],0))=OrderTable[[#This Row],[Order Qty]]/OrderTable[[#This Row],[Case Qty]],"BOX","EA")),"")</f>
        <v/>
      </c>
      <c r="L174" s="160" t="str">
        <f>IF(ISTEXT(OrderTable[[#This Row],[PART CODE]]),OrderTable[[#This Row],[Order Qty]]*OrderTable[[#This Row],[Price / Ea]],"")</f>
        <v/>
      </c>
      <c r="M17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4" s="192" t="str">
        <f>IFERROR(VLOOKUP(OrderTable[[#This Row],[PART CODE]],'Short-Long Transition'!A:I,9,0)," ")</f>
        <v xml:space="preserve"> </v>
      </c>
    </row>
    <row r="175" spans="1:15" x14ac:dyDescent="0.25">
      <c r="A175" s="111"/>
      <c r="B175" s="112"/>
      <c r="C175" s="109"/>
      <c r="D175" s="157" t="str">
        <f>IF(ISTEXT(OrderTable[[#This Row],[PART CODE]]),VLOOKUP(A175,'Price  List'!B:G,3,FALSE),"")</f>
        <v/>
      </c>
      <c r="E175" s="157"/>
      <c r="F175" s="156">
        <f>OrderTable[[#This Row],[PART CODE]]</f>
        <v>0</v>
      </c>
      <c r="G175" s="191" t="str">
        <f>IF(ISTEXT(OrderTable[[#This Row],[PART CODE]]),VLOOKUP(A175,'Price  List'!B:G,6,FALSE),"")</f>
        <v/>
      </c>
      <c r="H175" s="158" t="str">
        <f>IF(ISTEXT(OrderTable[[#This Row],[PART CODE]]),VLOOKUP(A175,'Price  List'!B:G,5,FALSE),"")</f>
        <v/>
      </c>
      <c r="I17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5" s="158" t="str">
        <f>IF(ISTEXT(OrderTable[[#This Row],[PART CODE]]),IF((ROUND(OrderTable[[#This Row],[Order Qty]]/OrderTable[[#This Row],[Case Qty]],0))=OrderTable[[#This Row],[Order Qty]]/OrderTable[[#This Row],[Case Qty]],OrderTable[[#This Row],[Order Qty]]/OrderTable[[#This Row],[Case Qty]],OrderTable[[#This Row],[Order Qty]]),"")</f>
        <v/>
      </c>
      <c r="K175" s="158" t="str">
        <f>IF(ISTEXT(OrderTable[[#This Row],[PART CODE]]),IF(OrderTable[[#This Row],[PART CODE]]="300.3712.GLV","PL",IF((ROUND(OrderTable[[#This Row],[Order Qty]]/OrderTable[[#This Row],[Case Qty]],0))=OrderTable[[#This Row],[Order Qty]]/OrderTable[[#This Row],[Case Qty]],"BOX","EA")),"")</f>
        <v/>
      </c>
      <c r="L175" s="160" t="str">
        <f>IF(ISTEXT(OrderTable[[#This Row],[PART CODE]]),OrderTable[[#This Row],[Order Qty]]*OrderTable[[#This Row],[Price / Ea]],"")</f>
        <v/>
      </c>
      <c r="M17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5" s="192" t="str">
        <f>IFERROR(VLOOKUP(OrderTable[[#This Row],[PART CODE]],'Short-Long Transition'!A:I,9,0)," ")</f>
        <v xml:space="preserve"> </v>
      </c>
    </row>
    <row r="176" spans="1:15" x14ac:dyDescent="0.25">
      <c r="A176" s="111"/>
      <c r="B176" s="112"/>
      <c r="C176" s="109"/>
      <c r="D176" s="157" t="str">
        <f>IF(ISTEXT(OrderTable[[#This Row],[PART CODE]]),VLOOKUP(A176,'Price  List'!B:G,3,FALSE),"")</f>
        <v/>
      </c>
      <c r="E176" s="157"/>
      <c r="F176" s="156">
        <f>OrderTable[[#This Row],[PART CODE]]</f>
        <v>0</v>
      </c>
      <c r="G176" s="191" t="str">
        <f>IF(ISTEXT(OrderTable[[#This Row],[PART CODE]]),VLOOKUP(A176,'Price  List'!B:G,6,FALSE),"")</f>
        <v/>
      </c>
      <c r="H176" s="158" t="str">
        <f>IF(ISTEXT(OrderTable[[#This Row],[PART CODE]]),VLOOKUP(A176,'Price  List'!B:G,5,FALSE),"")</f>
        <v/>
      </c>
      <c r="I17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6" s="158" t="str">
        <f>IF(ISTEXT(OrderTable[[#This Row],[PART CODE]]),IF((ROUND(OrderTable[[#This Row],[Order Qty]]/OrderTable[[#This Row],[Case Qty]],0))=OrderTable[[#This Row],[Order Qty]]/OrderTable[[#This Row],[Case Qty]],OrderTable[[#This Row],[Order Qty]]/OrderTable[[#This Row],[Case Qty]],OrderTable[[#This Row],[Order Qty]]),"")</f>
        <v/>
      </c>
      <c r="K176" s="158" t="str">
        <f>IF(ISTEXT(OrderTable[[#This Row],[PART CODE]]),IF(OrderTable[[#This Row],[PART CODE]]="300.3712.GLV","PL",IF((ROUND(OrderTable[[#This Row],[Order Qty]]/OrderTable[[#This Row],[Case Qty]],0))=OrderTable[[#This Row],[Order Qty]]/OrderTable[[#This Row],[Case Qty]],"BOX","EA")),"")</f>
        <v/>
      </c>
      <c r="L176" s="160" t="str">
        <f>IF(ISTEXT(OrderTable[[#This Row],[PART CODE]]),OrderTable[[#This Row],[Order Qty]]*OrderTable[[#This Row],[Price / Ea]],"")</f>
        <v/>
      </c>
      <c r="M17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6" s="192" t="str">
        <f>IFERROR(VLOOKUP(OrderTable[[#This Row],[PART CODE]],'Short-Long Transition'!A:I,9,0)," ")</f>
        <v xml:space="preserve"> </v>
      </c>
    </row>
    <row r="177" spans="1:15" x14ac:dyDescent="0.25">
      <c r="A177" s="111"/>
      <c r="B177" s="112"/>
      <c r="C177" s="109"/>
      <c r="D177" s="157" t="str">
        <f>IF(ISTEXT(OrderTable[[#This Row],[PART CODE]]),VLOOKUP(A177,'Price  List'!B:G,3,FALSE),"")</f>
        <v/>
      </c>
      <c r="E177" s="157"/>
      <c r="F177" s="156">
        <f>OrderTable[[#This Row],[PART CODE]]</f>
        <v>0</v>
      </c>
      <c r="G177" s="191" t="str">
        <f>IF(ISTEXT(OrderTable[[#This Row],[PART CODE]]),VLOOKUP(A177,'Price  List'!B:G,6,FALSE),"")</f>
        <v/>
      </c>
      <c r="H177" s="158" t="str">
        <f>IF(ISTEXT(OrderTable[[#This Row],[PART CODE]]),VLOOKUP(A177,'Price  List'!B:G,5,FALSE),"")</f>
        <v/>
      </c>
      <c r="I17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7" s="158" t="str">
        <f>IF(ISTEXT(OrderTable[[#This Row],[PART CODE]]),IF((ROUND(OrderTable[[#This Row],[Order Qty]]/OrderTable[[#This Row],[Case Qty]],0))=OrderTable[[#This Row],[Order Qty]]/OrderTable[[#This Row],[Case Qty]],OrderTable[[#This Row],[Order Qty]]/OrderTable[[#This Row],[Case Qty]],OrderTable[[#This Row],[Order Qty]]),"")</f>
        <v/>
      </c>
      <c r="K177" s="158" t="str">
        <f>IF(ISTEXT(OrderTable[[#This Row],[PART CODE]]),IF(OrderTable[[#This Row],[PART CODE]]="300.3712.GLV","PL",IF((ROUND(OrderTable[[#This Row],[Order Qty]]/OrderTable[[#This Row],[Case Qty]],0))=OrderTable[[#This Row],[Order Qty]]/OrderTable[[#This Row],[Case Qty]],"BOX","EA")),"")</f>
        <v/>
      </c>
      <c r="L177" s="160" t="str">
        <f>IF(ISTEXT(OrderTable[[#This Row],[PART CODE]]),OrderTable[[#This Row],[Order Qty]]*OrderTable[[#This Row],[Price / Ea]],"")</f>
        <v/>
      </c>
      <c r="M17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7" s="192" t="str">
        <f>IFERROR(VLOOKUP(OrderTable[[#This Row],[PART CODE]],'Short-Long Transition'!A:I,9,0)," ")</f>
        <v xml:space="preserve"> </v>
      </c>
    </row>
    <row r="178" spans="1:15" x14ac:dyDescent="0.25">
      <c r="A178" s="111"/>
      <c r="B178" s="112"/>
      <c r="C178" s="109"/>
      <c r="D178" s="157" t="str">
        <f>IF(ISTEXT(OrderTable[[#This Row],[PART CODE]]),VLOOKUP(A178,'Price  List'!B:G,3,FALSE),"")</f>
        <v/>
      </c>
      <c r="E178" s="157"/>
      <c r="F178" s="156">
        <f>OrderTable[[#This Row],[PART CODE]]</f>
        <v>0</v>
      </c>
      <c r="G178" s="191" t="str">
        <f>IF(ISTEXT(OrderTable[[#This Row],[PART CODE]]),VLOOKUP(A178,'Price  List'!B:G,6,FALSE),"")</f>
        <v/>
      </c>
      <c r="H178" s="158" t="str">
        <f>IF(ISTEXT(OrderTable[[#This Row],[PART CODE]]),VLOOKUP(A178,'Price  List'!B:G,5,FALSE),"")</f>
        <v/>
      </c>
      <c r="I17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8" s="158" t="str">
        <f>IF(ISTEXT(OrderTable[[#This Row],[PART CODE]]),IF((ROUND(OrderTable[[#This Row],[Order Qty]]/OrderTable[[#This Row],[Case Qty]],0))=OrderTable[[#This Row],[Order Qty]]/OrderTable[[#This Row],[Case Qty]],OrderTable[[#This Row],[Order Qty]]/OrderTable[[#This Row],[Case Qty]],OrderTable[[#This Row],[Order Qty]]),"")</f>
        <v/>
      </c>
      <c r="K178" s="158" t="str">
        <f>IF(ISTEXT(OrderTable[[#This Row],[PART CODE]]),IF(OrderTable[[#This Row],[PART CODE]]="300.3712.GLV","PL",IF((ROUND(OrderTable[[#This Row],[Order Qty]]/OrderTable[[#This Row],[Case Qty]],0))=OrderTable[[#This Row],[Order Qty]]/OrderTable[[#This Row],[Case Qty]],"BOX","EA")),"")</f>
        <v/>
      </c>
      <c r="L178" s="160" t="str">
        <f>IF(ISTEXT(OrderTable[[#This Row],[PART CODE]]),OrderTable[[#This Row],[Order Qty]]*OrderTable[[#This Row],[Price / Ea]],"")</f>
        <v/>
      </c>
      <c r="M17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8" s="192" t="str">
        <f>IFERROR(VLOOKUP(OrderTable[[#This Row],[PART CODE]],'Short-Long Transition'!A:I,9,0)," ")</f>
        <v xml:space="preserve"> </v>
      </c>
    </row>
    <row r="179" spans="1:15" x14ac:dyDescent="0.25">
      <c r="A179" s="111"/>
      <c r="B179" s="112"/>
      <c r="C179" s="109"/>
      <c r="D179" s="157" t="str">
        <f>IF(ISTEXT(OrderTable[[#This Row],[PART CODE]]),VLOOKUP(A179,'Price  List'!B:G,3,FALSE),"")</f>
        <v/>
      </c>
      <c r="E179" s="157"/>
      <c r="F179" s="156">
        <f>OrderTable[[#This Row],[PART CODE]]</f>
        <v>0</v>
      </c>
      <c r="G179" s="191" t="str">
        <f>IF(ISTEXT(OrderTable[[#This Row],[PART CODE]]),VLOOKUP(A179,'Price  List'!B:G,6,FALSE),"")</f>
        <v/>
      </c>
      <c r="H179" s="158" t="str">
        <f>IF(ISTEXT(OrderTable[[#This Row],[PART CODE]]),VLOOKUP(A179,'Price  List'!B:G,5,FALSE),"")</f>
        <v/>
      </c>
      <c r="I17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9" s="158" t="str">
        <f>IF(ISTEXT(OrderTable[[#This Row],[PART CODE]]),IF((ROUND(OrderTable[[#This Row],[Order Qty]]/OrderTable[[#This Row],[Case Qty]],0))=OrderTable[[#This Row],[Order Qty]]/OrderTable[[#This Row],[Case Qty]],OrderTable[[#This Row],[Order Qty]]/OrderTable[[#This Row],[Case Qty]],OrderTable[[#This Row],[Order Qty]]),"")</f>
        <v/>
      </c>
      <c r="K179" s="158" t="str">
        <f>IF(ISTEXT(OrderTable[[#This Row],[PART CODE]]),IF(OrderTable[[#This Row],[PART CODE]]="300.3712.GLV","PL",IF((ROUND(OrderTable[[#This Row],[Order Qty]]/OrderTable[[#This Row],[Case Qty]],0))=OrderTable[[#This Row],[Order Qty]]/OrderTable[[#This Row],[Case Qty]],"BOX","EA")),"")</f>
        <v/>
      </c>
      <c r="L179" s="160" t="str">
        <f>IF(ISTEXT(OrderTable[[#This Row],[PART CODE]]),OrderTable[[#This Row],[Order Qty]]*OrderTable[[#This Row],[Price / Ea]],"")</f>
        <v/>
      </c>
      <c r="M17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9" s="192" t="str">
        <f>IFERROR(VLOOKUP(OrderTable[[#This Row],[PART CODE]],'Short-Long Transition'!A:I,9,0)," ")</f>
        <v xml:space="preserve"> </v>
      </c>
    </row>
    <row r="180" spans="1:15" x14ac:dyDescent="0.25">
      <c r="A180" s="111"/>
      <c r="B180" s="112"/>
      <c r="C180" s="109"/>
      <c r="D180" s="157" t="str">
        <f>IF(ISTEXT(OrderTable[[#This Row],[PART CODE]]),VLOOKUP(A180,'Price  List'!B:G,3,FALSE),"")</f>
        <v/>
      </c>
      <c r="E180" s="157"/>
      <c r="F180" s="156">
        <f>OrderTable[[#This Row],[PART CODE]]</f>
        <v>0</v>
      </c>
      <c r="G180" s="191" t="str">
        <f>IF(ISTEXT(OrderTable[[#This Row],[PART CODE]]),VLOOKUP(A180,'Price  List'!B:G,6,FALSE),"")</f>
        <v/>
      </c>
      <c r="H180" s="158" t="str">
        <f>IF(ISTEXT(OrderTable[[#This Row],[PART CODE]]),VLOOKUP(A180,'Price  List'!B:G,5,FALSE),"")</f>
        <v/>
      </c>
      <c r="I18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0" s="158" t="str">
        <f>IF(ISTEXT(OrderTable[[#This Row],[PART CODE]]),IF((ROUND(OrderTable[[#This Row],[Order Qty]]/OrderTable[[#This Row],[Case Qty]],0))=OrderTable[[#This Row],[Order Qty]]/OrderTable[[#This Row],[Case Qty]],OrderTable[[#This Row],[Order Qty]]/OrderTable[[#This Row],[Case Qty]],OrderTable[[#This Row],[Order Qty]]),"")</f>
        <v/>
      </c>
      <c r="K180" s="158" t="str">
        <f>IF(ISTEXT(OrderTable[[#This Row],[PART CODE]]),IF(OrderTable[[#This Row],[PART CODE]]="300.3712.GLV","PL",IF((ROUND(OrderTable[[#This Row],[Order Qty]]/OrderTable[[#This Row],[Case Qty]],0))=OrderTable[[#This Row],[Order Qty]]/OrderTable[[#This Row],[Case Qty]],"BOX","EA")),"")</f>
        <v/>
      </c>
      <c r="L180" s="160" t="str">
        <f>IF(ISTEXT(OrderTable[[#This Row],[PART CODE]]),OrderTable[[#This Row],[Order Qty]]*OrderTable[[#This Row],[Price / Ea]],"")</f>
        <v/>
      </c>
      <c r="M18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0" s="192" t="str">
        <f>IFERROR(VLOOKUP(OrderTable[[#This Row],[PART CODE]],'Short-Long Transition'!A:I,9,0)," ")</f>
        <v xml:space="preserve"> </v>
      </c>
    </row>
    <row r="181" spans="1:15" x14ac:dyDescent="0.25">
      <c r="A181" s="111"/>
      <c r="B181" s="112"/>
      <c r="C181" s="109"/>
      <c r="D181" s="157" t="str">
        <f>IF(ISTEXT(OrderTable[[#This Row],[PART CODE]]),VLOOKUP(A181,'Price  List'!B:G,3,FALSE),"")</f>
        <v/>
      </c>
      <c r="E181" s="157"/>
      <c r="F181" s="156">
        <f>OrderTable[[#This Row],[PART CODE]]</f>
        <v>0</v>
      </c>
      <c r="G181" s="191" t="str">
        <f>IF(ISTEXT(OrderTable[[#This Row],[PART CODE]]),VLOOKUP(A181,'Price  List'!B:G,6,FALSE),"")</f>
        <v/>
      </c>
      <c r="H181" s="158" t="str">
        <f>IF(ISTEXT(OrderTable[[#This Row],[PART CODE]]),VLOOKUP(A181,'Price  List'!B:G,5,FALSE),"")</f>
        <v/>
      </c>
      <c r="I18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1" s="158" t="str">
        <f>IF(ISTEXT(OrderTable[[#This Row],[PART CODE]]),IF((ROUND(OrderTable[[#This Row],[Order Qty]]/OrderTable[[#This Row],[Case Qty]],0))=OrderTable[[#This Row],[Order Qty]]/OrderTable[[#This Row],[Case Qty]],OrderTable[[#This Row],[Order Qty]]/OrderTable[[#This Row],[Case Qty]],OrderTable[[#This Row],[Order Qty]]),"")</f>
        <v/>
      </c>
      <c r="K181" s="158" t="str">
        <f>IF(ISTEXT(OrderTable[[#This Row],[PART CODE]]),IF(OrderTable[[#This Row],[PART CODE]]="300.3712.GLV","PL",IF((ROUND(OrderTable[[#This Row],[Order Qty]]/OrderTable[[#This Row],[Case Qty]],0))=OrderTable[[#This Row],[Order Qty]]/OrderTable[[#This Row],[Case Qty]],"BOX","EA")),"")</f>
        <v/>
      </c>
      <c r="L181" s="160" t="str">
        <f>IF(ISTEXT(OrderTable[[#This Row],[PART CODE]]),OrderTable[[#This Row],[Order Qty]]*OrderTable[[#This Row],[Price / Ea]],"")</f>
        <v/>
      </c>
      <c r="M18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1" s="192" t="str">
        <f>IFERROR(VLOOKUP(OrderTable[[#This Row],[PART CODE]],'Short-Long Transition'!A:I,9,0)," ")</f>
        <v xml:space="preserve"> </v>
      </c>
    </row>
    <row r="182" spans="1:15" x14ac:dyDescent="0.25">
      <c r="A182" s="111"/>
      <c r="B182" s="112"/>
      <c r="C182" s="109"/>
      <c r="D182" s="157" t="str">
        <f>IF(ISTEXT(OrderTable[[#This Row],[PART CODE]]),VLOOKUP(A182,'Price  List'!B:G,3,FALSE),"")</f>
        <v/>
      </c>
      <c r="E182" s="157"/>
      <c r="F182" s="156">
        <f>OrderTable[[#This Row],[PART CODE]]</f>
        <v>0</v>
      </c>
      <c r="G182" s="191" t="str">
        <f>IF(ISTEXT(OrderTable[[#This Row],[PART CODE]]),VLOOKUP(A182,'Price  List'!B:G,6,FALSE),"")</f>
        <v/>
      </c>
      <c r="H182" s="158" t="str">
        <f>IF(ISTEXT(OrderTable[[#This Row],[PART CODE]]),VLOOKUP(A182,'Price  List'!B:G,5,FALSE),"")</f>
        <v/>
      </c>
      <c r="I18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2" s="158" t="str">
        <f>IF(ISTEXT(OrderTable[[#This Row],[PART CODE]]),IF((ROUND(OrderTable[[#This Row],[Order Qty]]/OrderTable[[#This Row],[Case Qty]],0))=OrderTable[[#This Row],[Order Qty]]/OrderTable[[#This Row],[Case Qty]],OrderTable[[#This Row],[Order Qty]]/OrderTable[[#This Row],[Case Qty]],OrderTable[[#This Row],[Order Qty]]),"")</f>
        <v/>
      </c>
      <c r="K182" s="158" t="str">
        <f>IF(ISTEXT(OrderTable[[#This Row],[PART CODE]]),IF(OrderTable[[#This Row],[PART CODE]]="300.3712.GLV","PL",IF((ROUND(OrderTable[[#This Row],[Order Qty]]/OrderTable[[#This Row],[Case Qty]],0))=OrderTable[[#This Row],[Order Qty]]/OrderTable[[#This Row],[Case Qty]],"BOX","EA")),"")</f>
        <v/>
      </c>
      <c r="L182" s="160" t="str">
        <f>IF(ISTEXT(OrderTable[[#This Row],[PART CODE]]),OrderTable[[#This Row],[Order Qty]]*OrderTable[[#This Row],[Price / Ea]],"")</f>
        <v/>
      </c>
      <c r="M18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2" s="192" t="str">
        <f>IFERROR(VLOOKUP(OrderTable[[#This Row],[PART CODE]],'Short-Long Transition'!A:I,9,0)," ")</f>
        <v xml:space="preserve"> </v>
      </c>
    </row>
    <row r="183" spans="1:15" x14ac:dyDescent="0.25">
      <c r="A183" s="111"/>
      <c r="B183" s="112"/>
      <c r="C183" s="109"/>
      <c r="D183" s="157" t="str">
        <f>IF(ISTEXT(OrderTable[[#This Row],[PART CODE]]),VLOOKUP(A183,'Price  List'!B:G,3,FALSE),"")</f>
        <v/>
      </c>
      <c r="E183" s="157"/>
      <c r="F183" s="156">
        <f>OrderTable[[#This Row],[PART CODE]]</f>
        <v>0</v>
      </c>
      <c r="G183" s="191" t="str">
        <f>IF(ISTEXT(OrderTable[[#This Row],[PART CODE]]),VLOOKUP(A183,'Price  List'!B:G,6,FALSE),"")</f>
        <v/>
      </c>
      <c r="H183" s="158" t="str">
        <f>IF(ISTEXT(OrderTable[[#This Row],[PART CODE]]),VLOOKUP(A183,'Price  List'!B:G,5,FALSE),"")</f>
        <v/>
      </c>
      <c r="I18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3" s="158" t="str">
        <f>IF(ISTEXT(OrderTable[[#This Row],[PART CODE]]),IF((ROUND(OrderTable[[#This Row],[Order Qty]]/OrderTable[[#This Row],[Case Qty]],0))=OrderTable[[#This Row],[Order Qty]]/OrderTable[[#This Row],[Case Qty]],OrderTable[[#This Row],[Order Qty]]/OrderTable[[#This Row],[Case Qty]],OrderTable[[#This Row],[Order Qty]]),"")</f>
        <v/>
      </c>
      <c r="K183" s="158" t="str">
        <f>IF(ISTEXT(OrderTable[[#This Row],[PART CODE]]),IF(OrderTable[[#This Row],[PART CODE]]="300.3712.GLV","PL",IF((ROUND(OrderTable[[#This Row],[Order Qty]]/OrderTable[[#This Row],[Case Qty]],0))=OrderTable[[#This Row],[Order Qty]]/OrderTable[[#This Row],[Case Qty]],"BOX","EA")),"")</f>
        <v/>
      </c>
      <c r="L183" s="160" t="str">
        <f>IF(ISTEXT(OrderTable[[#This Row],[PART CODE]]),OrderTable[[#This Row],[Order Qty]]*OrderTable[[#This Row],[Price / Ea]],"")</f>
        <v/>
      </c>
      <c r="M18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3" s="192" t="str">
        <f>IFERROR(VLOOKUP(OrderTable[[#This Row],[PART CODE]],'Short-Long Transition'!A:I,9,0)," ")</f>
        <v xml:space="preserve"> </v>
      </c>
    </row>
    <row r="184" spans="1:15" x14ac:dyDescent="0.25">
      <c r="A184" s="111"/>
      <c r="B184" s="112"/>
      <c r="C184" s="109"/>
      <c r="D184" s="157" t="str">
        <f>IF(ISTEXT(OrderTable[[#This Row],[PART CODE]]),VLOOKUP(A184,'Price  List'!B:G,3,FALSE),"")</f>
        <v/>
      </c>
      <c r="E184" s="157"/>
      <c r="F184" s="156">
        <f>OrderTable[[#This Row],[PART CODE]]</f>
        <v>0</v>
      </c>
      <c r="G184" s="191" t="str">
        <f>IF(ISTEXT(OrderTable[[#This Row],[PART CODE]]),VLOOKUP(A184,'Price  List'!B:G,6,FALSE),"")</f>
        <v/>
      </c>
      <c r="H184" s="158" t="str">
        <f>IF(ISTEXT(OrderTable[[#This Row],[PART CODE]]),VLOOKUP(A184,'Price  List'!B:G,5,FALSE),"")</f>
        <v/>
      </c>
      <c r="I18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4" s="158" t="str">
        <f>IF(ISTEXT(OrderTable[[#This Row],[PART CODE]]),IF((ROUND(OrderTable[[#This Row],[Order Qty]]/OrderTable[[#This Row],[Case Qty]],0))=OrderTable[[#This Row],[Order Qty]]/OrderTable[[#This Row],[Case Qty]],OrderTable[[#This Row],[Order Qty]]/OrderTable[[#This Row],[Case Qty]],OrderTable[[#This Row],[Order Qty]]),"")</f>
        <v/>
      </c>
      <c r="K184" s="158" t="str">
        <f>IF(ISTEXT(OrderTable[[#This Row],[PART CODE]]),IF(OrderTable[[#This Row],[PART CODE]]="300.3712.GLV","PL",IF((ROUND(OrderTable[[#This Row],[Order Qty]]/OrderTable[[#This Row],[Case Qty]],0))=OrderTable[[#This Row],[Order Qty]]/OrderTable[[#This Row],[Case Qty]],"BOX","EA")),"")</f>
        <v/>
      </c>
      <c r="L184" s="160" t="str">
        <f>IF(ISTEXT(OrderTable[[#This Row],[PART CODE]]),OrderTable[[#This Row],[Order Qty]]*OrderTable[[#This Row],[Price / Ea]],"")</f>
        <v/>
      </c>
      <c r="M18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4" s="192" t="str">
        <f>IFERROR(VLOOKUP(OrderTable[[#This Row],[PART CODE]],'Short-Long Transition'!A:I,9,0)," ")</f>
        <v xml:space="preserve"> </v>
      </c>
    </row>
    <row r="185" spans="1:15" x14ac:dyDescent="0.25">
      <c r="A185" s="111"/>
      <c r="B185" s="112"/>
      <c r="C185" s="109"/>
      <c r="D185" s="157" t="str">
        <f>IF(ISTEXT(OrderTable[[#This Row],[PART CODE]]),VLOOKUP(A185,'Price  List'!B:G,3,FALSE),"")</f>
        <v/>
      </c>
      <c r="E185" s="157"/>
      <c r="F185" s="156">
        <f>OrderTable[[#This Row],[PART CODE]]</f>
        <v>0</v>
      </c>
      <c r="G185" s="191" t="str">
        <f>IF(ISTEXT(OrderTable[[#This Row],[PART CODE]]),VLOOKUP(A185,'Price  List'!B:G,6,FALSE),"")</f>
        <v/>
      </c>
      <c r="H185" s="158" t="str">
        <f>IF(ISTEXT(OrderTable[[#This Row],[PART CODE]]),VLOOKUP(A185,'Price  List'!B:G,5,FALSE),"")</f>
        <v/>
      </c>
      <c r="I18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5" s="158" t="str">
        <f>IF(ISTEXT(OrderTable[[#This Row],[PART CODE]]),IF((ROUND(OrderTable[[#This Row],[Order Qty]]/OrderTable[[#This Row],[Case Qty]],0))=OrderTable[[#This Row],[Order Qty]]/OrderTable[[#This Row],[Case Qty]],OrderTable[[#This Row],[Order Qty]]/OrderTable[[#This Row],[Case Qty]],OrderTable[[#This Row],[Order Qty]]),"")</f>
        <v/>
      </c>
      <c r="K185" s="158" t="str">
        <f>IF(ISTEXT(OrderTable[[#This Row],[PART CODE]]),IF(OrderTable[[#This Row],[PART CODE]]="300.3712.GLV","PL",IF((ROUND(OrderTable[[#This Row],[Order Qty]]/OrderTable[[#This Row],[Case Qty]],0))=OrderTable[[#This Row],[Order Qty]]/OrderTable[[#This Row],[Case Qty]],"BOX","EA")),"")</f>
        <v/>
      </c>
      <c r="L185" s="160" t="str">
        <f>IF(ISTEXT(OrderTable[[#This Row],[PART CODE]]),OrderTable[[#This Row],[Order Qty]]*OrderTable[[#This Row],[Price / Ea]],"")</f>
        <v/>
      </c>
      <c r="M18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5" s="192" t="str">
        <f>IFERROR(VLOOKUP(OrderTable[[#This Row],[PART CODE]],'Short-Long Transition'!A:I,9,0)," ")</f>
        <v xml:space="preserve"> </v>
      </c>
    </row>
    <row r="186" spans="1:15" x14ac:dyDescent="0.25">
      <c r="A186" s="111"/>
      <c r="B186" s="112"/>
      <c r="C186" s="109"/>
      <c r="D186" s="157" t="str">
        <f>IF(ISTEXT(OrderTable[[#This Row],[PART CODE]]),VLOOKUP(A186,'Price  List'!B:G,3,FALSE),"")</f>
        <v/>
      </c>
      <c r="E186" s="157"/>
      <c r="F186" s="156">
        <f>OrderTable[[#This Row],[PART CODE]]</f>
        <v>0</v>
      </c>
      <c r="G186" s="191" t="str">
        <f>IF(ISTEXT(OrderTable[[#This Row],[PART CODE]]),VLOOKUP(A186,'Price  List'!B:G,6,FALSE),"")</f>
        <v/>
      </c>
      <c r="H186" s="158" t="str">
        <f>IF(ISTEXT(OrderTable[[#This Row],[PART CODE]]),VLOOKUP(A186,'Price  List'!B:G,5,FALSE),"")</f>
        <v/>
      </c>
      <c r="I18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6" s="158" t="str">
        <f>IF(ISTEXT(OrderTable[[#This Row],[PART CODE]]),IF((ROUND(OrderTable[[#This Row],[Order Qty]]/OrderTable[[#This Row],[Case Qty]],0))=OrderTable[[#This Row],[Order Qty]]/OrderTable[[#This Row],[Case Qty]],OrderTable[[#This Row],[Order Qty]]/OrderTable[[#This Row],[Case Qty]],OrderTable[[#This Row],[Order Qty]]),"")</f>
        <v/>
      </c>
      <c r="K186" s="158" t="str">
        <f>IF(ISTEXT(OrderTable[[#This Row],[PART CODE]]),IF(OrderTable[[#This Row],[PART CODE]]="300.3712.GLV","PL",IF((ROUND(OrderTable[[#This Row],[Order Qty]]/OrderTable[[#This Row],[Case Qty]],0))=OrderTable[[#This Row],[Order Qty]]/OrderTable[[#This Row],[Case Qty]],"BOX","EA")),"")</f>
        <v/>
      </c>
      <c r="L186" s="160" t="str">
        <f>IF(ISTEXT(OrderTable[[#This Row],[PART CODE]]),OrderTable[[#This Row],[Order Qty]]*OrderTable[[#This Row],[Price / Ea]],"")</f>
        <v/>
      </c>
      <c r="M18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6" s="192" t="str">
        <f>IFERROR(VLOOKUP(OrderTable[[#This Row],[PART CODE]],'Short-Long Transition'!A:I,9,0)," ")</f>
        <v xml:space="preserve"> </v>
      </c>
    </row>
    <row r="187" spans="1:15" x14ac:dyDescent="0.25">
      <c r="A187" s="111"/>
      <c r="B187" s="112"/>
      <c r="C187" s="109"/>
      <c r="D187" s="157" t="str">
        <f>IF(ISTEXT(OrderTable[[#This Row],[PART CODE]]),VLOOKUP(A187,'Price  List'!B:G,3,FALSE),"")</f>
        <v/>
      </c>
      <c r="E187" s="157"/>
      <c r="F187" s="156">
        <f>OrderTable[[#This Row],[PART CODE]]</f>
        <v>0</v>
      </c>
      <c r="G187" s="191" t="str">
        <f>IF(ISTEXT(OrderTable[[#This Row],[PART CODE]]),VLOOKUP(A187,'Price  List'!B:G,6,FALSE),"")</f>
        <v/>
      </c>
      <c r="H187" s="158" t="str">
        <f>IF(ISTEXT(OrderTable[[#This Row],[PART CODE]]),VLOOKUP(A187,'Price  List'!B:G,5,FALSE),"")</f>
        <v/>
      </c>
      <c r="I18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7" s="158" t="str">
        <f>IF(ISTEXT(OrderTable[[#This Row],[PART CODE]]),IF((ROUND(OrderTable[[#This Row],[Order Qty]]/OrderTable[[#This Row],[Case Qty]],0))=OrderTable[[#This Row],[Order Qty]]/OrderTable[[#This Row],[Case Qty]],OrderTable[[#This Row],[Order Qty]]/OrderTable[[#This Row],[Case Qty]],OrderTable[[#This Row],[Order Qty]]),"")</f>
        <v/>
      </c>
      <c r="K187" s="158" t="str">
        <f>IF(ISTEXT(OrderTable[[#This Row],[PART CODE]]),IF(OrderTable[[#This Row],[PART CODE]]="300.3712.GLV","PL",IF((ROUND(OrderTable[[#This Row],[Order Qty]]/OrderTable[[#This Row],[Case Qty]],0))=OrderTable[[#This Row],[Order Qty]]/OrderTable[[#This Row],[Case Qty]],"BOX","EA")),"")</f>
        <v/>
      </c>
      <c r="L187" s="160" t="str">
        <f>IF(ISTEXT(OrderTable[[#This Row],[PART CODE]]),OrderTable[[#This Row],[Order Qty]]*OrderTable[[#This Row],[Price / Ea]],"")</f>
        <v/>
      </c>
      <c r="M18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7" s="192" t="str">
        <f>IFERROR(VLOOKUP(OrderTable[[#This Row],[PART CODE]],'Short-Long Transition'!A:I,9,0)," ")</f>
        <v xml:space="preserve"> </v>
      </c>
    </row>
    <row r="188" spans="1:15" x14ac:dyDescent="0.25">
      <c r="A188" s="111"/>
      <c r="B188" s="112"/>
      <c r="C188" s="109"/>
      <c r="D188" s="157" t="str">
        <f>IF(ISTEXT(OrderTable[[#This Row],[PART CODE]]),VLOOKUP(A188,'Price  List'!B:G,3,FALSE),"")</f>
        <v/>
      </c>
      <c r="E188" s="157"/>
      <c r="F188" s="156">
        <f>OrderTable[[#This Row],[PART CODE]]</f>
        <v>0</v>
      </c>
      <c r="G188" s="191" t="str">
        <f>IF(ISTEXT(OrderTable[[#This Row],[PART CODE]]),VLOOKUP(A188,'Price  List'!B:G,6,FALSE),"")</f>
        <v/>
      </c>
      <c r="H188" s="158" t="str">
        <f>IF(ISTEXT(OrderTable[[#This Row],[PART CODE]]),VLOOKUP(A188,'Price  List'!B:G,5,FALSE),"")</f>
        <v/>
      </c>
      <c r="I18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8" s="158" t="str">
        <f>IF(ISTEXT(OrderTable[[#This Row],[PART CODE]]),IF((ROUND(OrderTable[[#This Row],[Order Qty]]/OrderTable[[#This Row],[Case Qty]],0))=OrderTable[[#This Row],[Order Qty]]/OrderTable[[#This Row],[Case Qty]],OrderTable[[#This Row],[Order Qty]]/OrderTable[[#This Row],[Case Qty]],OrderTable[[#This Row],[Order Qty]]),"")</f>
        <v/>
      </c>
      <c r="K188" s="158" t="str">
        <f>IF(ISTEXT(OrderTable[[#This Row],[PART CODE]]),IF(OrderTable[[#This Row],[PART CODE]]="300.3712.GLV","PL",IF((ROUND(OrderTable[[#This Row],[Order Qty]]/OrderTable[[#This Row],[Case Qty]],0))=OrderTable[[#This Row],[Order Qty]]/OrderTable[[#This Row],[Case Qty]],"BOX","EA")),"")</f>
        <v/>
      </c>
      <c r="L188" s="160" t="str">
        <f>IF(ISTEXT(OrderTable[[#This Row],[PART CODE]]),OrderTable[[#This Row],[Order Qty]]*OrderTable[[#This Row],[Price / Ea]],"")</f>
        <v/>
      </c>
      <c r="M18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8" s="192" t="str">
        <f>IFERROR(VLOOKUP(OrderTable[[#This Row],[PART CODE]],'Short-Long Transition'!A:I,9,0)," ")</f>
        <v xml:space="preserve"> </v>
      </c>
    </row>
    <row r="189" spans="1:15" x14ac:dyDescent="0.25">
      <c r="A189" s="111"/>
      <c r="B189" s="112"/>
      <c r="C189" s="109"/>
      <c r="D189" s="157" t="str">
        <f>IF(ISTEXT(OrderTable[[#This Row],[PART CODE]]),VLOOKUP(A189,'Price  List'!B:G,3,FALSE),"")</f>
        <v/>
      </c>
      <c r="E189" s="157"/>
      <c r="F189" s="156">
        <f>OrderTable[[#This Row],[PART CODE]]</f>
        <v>0</v>
      </c>
      <c r="G189" s="191" t="str">
        <f>IF(ISTEXT(OrderTable[[#This Row],[PART CODE]]),VLOOKUP(A189,'Price  List'!B:G,6,FALSE),"")</f>
        <v/>
      </c>
      <c r="H189" s="158" t="str">
        <f>IF(ISTEXT(OrderTable[[#This Row],[PART CODE]]),VLOOKUP(A189,'Price  List'!B:G,5,FALSE),"")</f>
        <v/>
      </c>
      <c r="I18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9" s="158" t="str">
        <f>IF(ISTEXT(OrderTable[[#This Row],[PART CODE]]),IF((ROUND(OrderTable[[#This Row],[Order Qty]]/OrderTable[[#This Row],[Case Qty]],0))=OrderTable[[#This Row],[Order Qty]]/OrderTable[[#This Row],[Case Qty]],OrderTable[[#This Row],[Order Qty]]/OrderTable[[#This Row],[Case Qty]],OrderTable[[#This Row],[Order Qty]]),"")</f>
        <v/>
      </c>
      <c r="K189" s="158" t="str">
        <f>IF(ISTEXT(OrderTable[[#This Row],[PART CODE]]),IF(OrderTable[[#This Row],[PART CODE]]="300.3712.GLV","PL",IF((ROUND(OrderTable[[#This Row],[Order Qty]]/OrderTable[[#This Row],[Case Qty]],0))=OrderTable[[#This Row],[Order Qty]]/OrderTable[[#This Row],[Case Qty]],"BOX","EA")),"")</f>
        <v/>
      </c>
      <c r="L189" s="160" t="str">
        <f>IF(ISTEXT(OrderTable[[#This Row],[PART CODE]]),OrderTable[[#This Row],[Order Qty]]*OrderTable[[#This Row],[Price / Ea]],"")</f>
        <v/>
      </c>
      <c r="M18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9" s="192" t="str">
        <f>IFERROR(VLOOKUP(OrderTable[[#This Row],[PART CODE]],'Short-Long Transition'!A:I,9,0)," ")</f>
        <v xml:space="preserve"> </v>
      </c>
    </row>
    <row r="190" spans="1:15" x14ac:dyDescent="0.25">
      <c r="A190" s="111"/>
      <c r="B190" s="112"/>
      <c r="C190" s="109"/>
      <c r="D190" s="157" t="str">
        <f>IF(ISTEXT(OrderTable[[#This Row],[PART CODE]]),VLOOKUP(A190,'Price  List'!B:G,3,FALSE),"")</f>
        <v/>
      </c>
      <c r="E190" s="157"/>
      <c r="F190" s="156">
        <f>OrderTable[[#This Row],[PART CODE]]</f>
        <v>0</v>
      </c>
      <c r="G190" s="191" t="str">
        <f>IF(ISTEXT(OrderTable[[#This Row],[PART CODE]]),VLOOKUP(A190,'Price  List'!B:G,6,FALSE),"")</f>
        <v/>
      </c>
      <c r="H190" s="158" t="str">
        <f>IF(ISTEXT(OrderTable[[#This Row],[PART CODE]]),VLOOKUP(A190,'Price  List'!B:G,5,FALSE),"")</f>
        <v/>
      </c>
      <c r="I19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90" s="158" t="str">
        <f>IF(ISTEXT(OrderTable[[#This Row],[PART CODE]]),IF((ROUND(OrderTable[[#This Row],[Order Qty]]/OrderTable[[#This Row],[Case Qty]],0))=OrderTable[[#This Row],[Order Qty]]/OrderTable[[#This Row],[Case Qty]],OrderTable[[#This Row],[Order Qty]]/OrderTable[[#This Row],[Case Qty]],OrderTable[[#This Row],[Order Qty]]),"")</f>
        <v/>
      </c>
      <c r="K190" s="158" t="str">
        <f>IF(ISTEXT(OrderTable[[#This Row],[PART CODE]]),IF(OrderTable[[#This Row],[PART CODE]]="300.3712.GLV","PL",IF((ROUND(OrderTable[[#This Row],[Order Qty]]/OrderTable[[#This Row],[Case Qty]],0))=OrderTable[[#This Row],[Order Qty]]/OrderTable[[#This Row],[Case Qty]],"BOX","EA")),"")</f>
        <v/>
      </c>
      <c r="L190" s="160" t="str">
        <f>IF(ISTEXT(OrderTable[[#This Row],[PART CODE]]),OrderTable[[#This Row],[Order Qty]]*OrderTable[[#This Row],[Price / Ea]],"")</f>
        <v/>
      </c>
      <c r="M19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90" s="192" t="str">
        <f>IFERROR(VLOOKUP(OrderTable[[#This Row],[PART CODE]],'Short-Long Transition'!A:I,9,0)," ")</f>
        <v xml:space="preserve"> </v>
      </c>
    </row>
    <row r="191" spans="1:15" x14ac:dyDescent="0.25">
      <c r="A191" s="111"/>
      <c r="B191" s="112"/>
      <c r="C191" s="109"/>
      <c r="D191" s="157" t="str">
        <f>IF(ISTEXT(OrderTable[[#This Row],[PART CODE]]),VLOOKUP(A191,'Price  List'!B:G,3,FALSE),"")</f>
        <v/>
      </c>
      <c r="E191" s="157"/>
      <c r="F191" s="156">
        <f>OrderTable[[#This Row],[PART CODE]]</f>
        <v>0</v>
      </c>
      <c r="G191" s="191" t="str">
        <f>IF(ISTEXT(OrderTable[[#This Row],[PART CODE]]),VLOOKUP(A191,'Price  List'!B:G,6,FALSE),"")</f>
        <v/>
      </c>
      <c r="H191" s="158" t="str">
        <f>IF(ISTEXT(OrderTable[[#This Row],[PART CODE]]),VLOOKUP(A191,'Price  List'!B:G,5,FALSE),"")</f>
        <v/>
      </c>
      <c r="I19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91" s="158" t="str">
        <f>IF(ISTEXT(OrderTable[[#This Row],[PART CODE]]),IF((ROUND(OrderTable[[#This Row],[Order Qty]]/OrderTable[[#This Row],[Case Qty]],0))=OrderTable[[#This Row],[Order Qty]]/OrderTable[[#This Row],[Case Qty]],OrderTable[[#This Row],[Order Qty]]/OrderTable[[#This Row],[Case Qty]],OrderTable[[#This Row],[Order Qty]]),"")</f>
        <v/>
      </c>
      <c r="K191" s="158" t="str">
        <f>IF(ISTEXT(OrderTable[[#This Row],[PART CODE]]),IF(OrderTable[[#This Row],[PART CODE]]="300.3712.GLV","PL",IF((ROUND(OrderTable[[#This Row],[Order Qty]]/OrderTable[[#This Row],[Case Qty]],0))=OrderTable[[#This Row],[Order Qty]]/OrderTable[[#This Row],[Case Qty]],"BOX","EA")),"")</f>
        <v/>
      </c>
      <c r="L191" s="160" t="str">
        <f>IF(ISTEXT(OrderTable[[#This Row],[PART CODE]]),OrderTable[[#This Row],[Order Qty]]*OrderTable[[#This Row],[Price / Ea]],"")</f>
        <v/>
      </c>
      <c r="M19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91" s="192" t="str">
        <f>IFERROR(VLOOKUP(OrderTable[[#This Row],[PART CODE]],'Short-Long Transition'!A:I,9,0)," ")</f>
        <v xml:space="preserve"> </v>
      </c>
    </row>
    <row r="192" spans="1:15" x14ac:dyDescent="0.25">
      <c r="A192" s="111"/>
      <c r="B192" s="112"/>
      <c r="C192" s="109"/>
      <c r="D192" s="157" t="str">
        <f>IF(ISTEXT(OrderTable[[#This Row],[PART CODE]]),VLOOKUP(A192,'Price  List'!B:G,3,FALSE),"")</f>
        <v/>
      </c>
      <c r="E192" s="157"/>
      <c r="F192" s="156">
        <f>OrderTable[[#This Row],[PART CODE]]</f>
        <v>0</v>
      </c>
      <c r="G192" s="191" t="str">
        <f>IF(ISTEXT(OrderTable[[#This Row],[PART CODE]]),VLOOKUP(A192,'Price  List'!B:G,6,FALSE),"")</f>
        <v/>
      </c>
      <c r="H192" s="158" t="str">
        <f>IF(ISTEXT(OrderTable[[#This Row],[PART CODE]]),VLOOKUP(A192,'Price  List'!B:G,5,FALSE),"")</f>
        <v/>
      </c>
      <c r="I19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92" s="158" t="str">
        <f>IF(ISTEXT(OrderTable[[#This Row],[PART CODE]]),IF((ROUND(OrderTable[[#This Row],[Order Qty]]/OrderTable[[#This Row],[Case Qty]],0))=OrderTable[[#This Row],[Order Qty]]/OrderTable[[#This Row],[Case Qty]],OrderTable[[#This Row],[Order Qty]]/OrderTable[[#This Row],[Case Qty]],OrderTable[[#This Row],[Order Qty]]),"")</f>
        <v/>
      </c>
      <c r="K192" s="158" t="str">
        <f>IF(ISTEXT(OrderTable[[#This Row],[PART CODE]]),IF(OrderTable[[#This Row],[PART CODE]]="300.3712.GLV","PL",IF((ROUND(OrderTable[[#This Row],[Order Qty]]/OrderTable[[#This Row],[Case Qty]],0))=OrderTable[[#This Row],[Order Qty]]/OrderTable[[#This Row],[Case Qty]],"BOX","EA")),"")</f>
        <v/>
      </c>
      <c r="L192" s="160" t="str">
        <f>IF(ISTEXT(OrderTable[[#This Row],[PART CODE]]),OrderTable[[#This Row],[Order Qty]]*OrderTable[[#This Row],[Price / Ea]],"")</f>
        <v/>
      </c>
      <c r="M19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92" s="192" t="str">
        <f>IFERROR(VLOOKUP(OrderTable[[#This Row],[PART CODE]],'Short-Long Transition'!A:I,9,0)," ")</f>
        <v xml:space="preserve"> </v>
      </c>
    </row>
    <row r="193" spans="1:15" x14ac:dyDescent="0.25">
      <c r="A193" s="111"/>
      <c r="B193" s="112"/>
      <c r="C193" s="109"/>
      <c r="D193" s="157" t="str">
        <f>IF(ISTEXT(OrderTable[[#This Row],[PART CODE]]),VLOOKUP(A193,'Price  List'!B:G,3,FALSE),"")</f>
        <v/>
      </c>
      <c r="E193" s="157"/>
      <c r="F193" s="156">
        <f>OrderTable[[#This Row],[PART CODE]]</f>
        <v>0</v>
      </c>
      <c r="G193" s="191" t="str">
        <f>IF(ISTEXT(OrderTable[[#This Row],[PART CODE]]),VLOOKUP(A193,'Price  List'!B:G,6,FALSE),"")</f>
        <v/>
      </c>
      <c r="H193" s="158" t="str">
        <f>IF(ISTEXT(OrderTable[[#This Row],[PART CODE]]),VLOOKUP(A193,'Price  List'!B:G,5,FALSE),"")</f>
        <v/>
      </c>
      <c r="I19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93" s="158" t="str">
        <f>IF(ISTEXT(OrderTable[[#This Row],[PART CODE]]),IF((ROUND(OrderTable[[#This Row],[Order Qty]]/OrderTable[[#This Row],[Case Qty]],0))=OrderTable[[#This Row],[Order Qty]]/OrderTable[[#This Row],[Case Qty]],OrderTable[[#This Row],[Order Qty]]/OrderTable[[#This Row],[Case Qty]],OrderTable[[#This Row],[Order Qty]]),"")</f>
        <v/>
      </c>
      <c r="K193" s="158" t="str">
        <f>IF(ISTEXT(OrderTable[[#This Row],[PART CODE]]),IF(OrderTable[[#This Row],[PART CODE]]="300.3712.GLV","PL",IF((ROUND(OrderTable[[#This Row],[Order Qty]]/OrderTable[[#This Row],[Case Qty]],0))=OrderTable[[#This Row],[Order Qty]]/OrderTable[[#This Row],[Case Qty]],"BOX","EA")),"")</f>
        <v/>
      </c>
      <c r="L193" s="160" t="str">
        <f>IF(ISTEXT(OrderTable[[#This Row],[PART CODE]]),OrderTable[[#This Row],[Order Qty]]*OrderTable[[#This Row],[Price / Ea]],"")</f>
        <v/>
      </c>
      <c r="M19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93" s="192" t="str">
        <f>IFERROR(VLOOKUP(OrderTable[[#This Row],[PART CODE]],'Short-Long Transition'!A:I,9,0)," ")</f>
        <v xml:space="preserve"> </v>
      </c>
    </row>
    <row r="194" spans="1:15" x14ac:dyDescent="0.25">
      <c r="A194" s="111"/>
      <c r="B194" s="112"/>
      <c r="C194" s="109"/>
      <c r="D194" s="157" t="str">
        <f>IF(ISTEXT(OrderTable[[#This Row],[PART CODE]]),VLOOKUP(A194,'Price  List'!B:G,3,FALSE),"")</f>
        <v/>
      </c>
      <c r="E194" s="157"/>
      <c r="F194" s="156">
        <f>OrderTable[[#This Row],[PART CODE]]</f>
        <v>0</v>
      </c>
      <c r="G194" s="191" t="str">
        <f>IF(ISTEXT(OrderTable[[#This Row],[PART CODE]]),VLOOKUP(A194,'Price  List'!B:G,6,FALSE),"")</f>
        <v/>
      </c>
      <c r="H194" s="158" t="str">
        <f>IF(ISTEXT(OrderTable[[#This Row],[PART CODE]]),VLOOKUP(A194,'Price  List'!B:G,5,FALSE),"")</f>
        <v/>
      </c>
      <c r="I19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94" s="158" t="str">
        <f>IF(ISTEXT(OrderTable[[#This Row],[PART CODE]]),IF((ROUND(OrderTable[[#This Row],[Order Qty]]/OrderTable[[#This Row],[Case Qty]],0))=OrderTable[[#This Row],[Order Qty]]/OrderTable[[#This Row],[Case Qty]],OrderTable[[#This Row],[Order Qty]]/OrderTable[[#This Row],[Case Qty]],OrderTable[[#This Row],[Order Qty]]),"")</f>
        <v/>
      </c>
      <c r="K194" s="158" t="str">
        <f>IF(ISTEXT(OrderTable[[#This Row],[PART CODE]]),IF(OrderTable[[#This Row],[PART CODE]]="300.3712.GLV","PL",IF((ROUND(OrderTable[[#This Row],[Order Qty]]/OrderTable[[#This Row],[Case Qty]],0))=OrderTable[[#This Row],[Order Qty]]/OrderTable[[#This Row],[Case Qty]],"BOX","EA")),"")</f>
        <v/>
      </c>
      <c r="L194" s="160" t="str">
        <f>IF(ISTEXT(OrderTable[[#This Row],[PART CODE]]),OrderTable[[#This Row],[Order Qty]]*OrderTable[[#This Row],[Price / Ea]],"")</f>
        <v/>
      </c>
      <c r="M19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94" s="192" t="str">
        <f>IFERROR(VLOOKUP(OrderTable[[#This Row],[PART CODE]],'Short-Long Transition'!A:I,9,0)," ")</f>
        <v xml:space="preserve"> </v>
      </c>
    </row>
  </sheetData>
  <sheetProtection algorithmName="SHA-512" hashValue="sHLc6xRI1n5Wss99//1u4p/VQ54Jwlmg9Gk3qSMUSyIrDTHlWIEQFZRfnIl3zkMYPgqddPsMYTMKn4hnLAipDQ==" saltValue="9ZI0Lrt/Xht5wD2Ntgf9iQ==" spinCount="100000" sheet="1" sort="0" autoFilter="0" pivotTables="0"/>
  <mergeCells count="22">
    <mergeCell ref="L2:M2"/>
    <mergeCell ref="L3:M3"/>
    <mergeCell ref="A15:B15"/>
    <mergeCell ref="L6:M6"/>
    <mergeCell ref="L7:M7"/>
    <mergeCell ref="L12:M12"/>
    <mergeCell ref="L13:M13"/>
    <mergeCell ref="L9:M9"/>
    <mergeCell ref="L10:M10"/>
    <mergeCell ref="L11:M11"/>
    <mergeCell ref="E6:G6"/>
    <mergeCell ref="E7:G7"/>
    <mergeCell ref="E8:G8"/>
    <mergeCell ref="E9:G9"/>
    <mergeCell ref="E10:G10"/>
    <mergeCell ref="E11:G11"/>
    <mergeCell ref="E12:G12"/>
    <mergeCell ref="A24:C24"/>
    <mergeCell ref="C22:D22"/>
    <mergeCell ref="C20:D20"/>
    <mergeCell ref="A16:B16"/>
    <mergeCell ref="A18:B18"/>
  </mergeCells>
  <phoneticPr fontId="34" type="noConversion"/>
  <conditionalFormatting sqref="E16">
    <cfRule type="expression" dxfId="43" priority="21">
      <formula>$E$16="Qualified!"</formula>
    </cfRule>
  </conditionalFormatting>
  <conditionalFormatting sqref="M26:M194">
    <cfRule type="cellIs" dxfId="42" priority="22" operator="equal">
      <formula>"*** Not Case Qty ***"</formula>
    </cfRule>
  </conditionalFormatting>
  <conditionalFormatting sqref="D18">
    <cfRule type="notContainsBlanks" dxfId="41" priority="9">
      <formula>LEN(TRIM(D18))&gt;0</formula>
    </cfRule>
  </conditionalFormatting>
  <conditionalFormatting sqref="H18">
    <cfRule type="notContainsBlanks" dxfId="40" priority="8">
      <formula>LEN(TRIM(H18))&gt;0</formula>
    </cfRule>
  </conditionalFormatting>
  <conditionalFormatting sqref="M20">
    <cfRule type="expression" dxfId="39" priority="7">
      <formula>COUNTIF(M26:M194,"*** Not Case Qty ***")&gt;0</formula>
    </cfRule>
  </conditionalFormatting>
  <conditionalFormatting sqref="F26:F194">
    <cfRule type="expression" priority="1" stopIfTrue="1">
      <formula>$M26&lt;&gt;"Increased to full case(s)"</formula>
    </cfRule>
    <cfRule type="cellIs" priority="3" stopIfTrue="1" operator="equal">
      <formula>0</formula>
    </cfRule>
    <cfRule type="containsBlanks" priority="4" stopIfTrue="1">
      <formula>LEN(TRIM(F26))=0</formula>
    </cfRule>
    <cfRule type="duplicateValues" dxfId="38" priority="11"/>
  </conditionalFormatting>
  <pageMargins left="0.23622047244094491" right="0.23622047244094491" top="0.35433070866141736" bottom="0.35433070866141736" header="0.31496062992125984" footer="0.31496062992125984"/>
  <pageSetup scale="66" fitToHeight="0" orientation="landscape"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expression" priority="6" stopIfTrue="1" id="{71FE0030-66B5-4EF1-95D5-4FD299C4276F}">
            <xm:f>ISTEXT(VLOOKUP(LEFT($A26,12),DecoCheck!$A:$A,1,FALSE))</xm:f>
            <x14:dxf/>
          </x14:cfRule>
          <xm:sqref>F26:F194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DropDown="1" showInputMessage="1" showErrorMessage="1" errorTitle="Invalid Stockcode" error="Please enter a valid TAG stockcode to continue." xr:uid="{C4A75022-D986-4BFA-86CA-D7BEA8E2E335}">
          <x14:formula1>
            <xm:f>Search!$A$2:$A$3006</xm:f>
          </x14:formula1>
          <xm:sqref>A26:A194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799062-DAD8-4FB3-9C7B-8DD56B29B4C7}">
  <dimension ref="A2:I44"/>
  <sheetViews>
    <sheetView workbookViewId="0"/>
  </sheetViews>
  <sheetFormatPr defaultRowHeight="15" x14ac:dyDescent="0.25"/>
  <cols>
    <col min="1" max="1" width="12.85546875" style="197" bestFit="1" customWidth="1"/>
    <col min="2" max="2" width="29.85546875" style="197" bestFit="1" customWidth="1"/>
    <col min="3" max="3" width="20.7109375" style="197" bestFit="1" customWidth="1"/>
    <col min="4" max="4" width="14.85546875" style="253" bestFit="1" customWidth="1"/>
    <col min="5" max="5" width="15.140625" style="253" bestFit="1" customWidth="1"/>
    <col min="6" max="6" width="33.28515625" style="197" bestFit="1" customWidth="1"/>
    <col min="7" max="7" width="25.7109375" style="254" bestFit="1" customWidth="1"/>
    <col min="8" max="8" width="12.140625" customWidth="1"/>
    <col min="9" max="9" width="58" hidden="1" customWidth="1"/>
  </cols>
  <sheetData>
    <row r="2" spans="1:9" ht="15.75" thickBot="1" x14ac:dyDescent="0.3">
      <c r="A2" s="194" t="s">
        <v>8264</v>
      </c>
      <c r="B2" s="194"/>
      <c r="C2" s="195"/>
      <c r="D2" s="196"/>
      <c r="E2" s="196"/>
      <c r="G2" s="198"/>
    </row>
    <row r="3" spans="1:9" ht="26.25" thickBot="1" x14ac:dyDescent="0.3">
      <c r="A3" s="199" t="s">
        <v>8265</v>
      </c>
      <c r="B3" s="200" t="s">
        <v>2843</v>
      </c>
      <c r="C3" s="201" t="s">
        <v>8266</v>
      </c>
      <c r="D3" s="202" t="s">
        <v>8267</v>
      </c>
      <c r="E3" s="203" t="s">
        <v>8268</v>
      </c>
      <c r="F3" s="204" t="s">
        <v>8269</v>
      </c>
      <c r="G3" s="205" t="s">
        <v>8270</v>
      </c>
    </row>
    <row r="4" spans="1:9" x14ac:dyDescent="0.25">
      <c r="A4" s="206" t="s">
        <v>7521</v>
      </c>
      <c r="B4" s="207" t="s">
        <v>73</v>
      </c>
      <c r="C4" s="208" t="s">
        <v>8271</v>
      </c>
      <c r="D4" s="209">
        <v>18.28</v>
      </c>
      <c r="E4" s="209">
        <v>17.52</v>
      </c>
      <c r="F4" s="210" t="s">
        <v>8272</v>
      </c>
      <c r="G4" s="211" t="s">
        <v>8273</v>
      </c>
      <c r="I4" t="s">
        <v>8274</v>
      </c>
    </row>
    <row r="5" spans="1:9" x14ac:dyDescent="0.25">
      <c r="A5" s="212" t="s">
        <v>4639</v>
      </c>
      <c r="B5" s="213" t="s">
        <v>73</v>
      </c>
      <c r="C5" s="214" t="s">
        <v>8275</v>
      </c>
      <c r="D5" s="215">
        <v>17.27</v>
      </c>
      <c r="E5" s="215">
        <v>16.55</v>
      </c>
      <c r="F5" s="210" t="s">
        <v>8272</v>
      </c>
      <c r="G5" s="216" t="s">
        <v>8273</v>
      </c>
      <c r="I5" t="s">
        <v>8276</v>
      </c>
    </row>
    <row r="6" spans="1:9" x14ac:dyDescent="0.25">
      <c r="A6" s="217" t="s">
        <v>670</v>
      </c>
      <c r="B6" s="213" t="s">
        <v>73</v>
      </c>
      <c r="C6" s="218" t="s">
        <v>8277</v>
      </c>
      <c r="D6" s="215">
        <v>20.75</v>
      </c>
      <c r="E6" s="215">
        <v>19.89</v>
      </c>
      <c r="F6" s="210" t="s">
        <v>8272</v>
      </c>
      <c r="G6" s="216" t="s">
        <v>8273</v>
      </c>
      <c r="I6" t="s">
        <v>8278</v>
      </c>
    </row>
    <row r="7" spans="1:9" ht="15.75" thickBot="1" x14ac:dyDescent="0.3">
      <c r="A7" s="219" t="s">
        <v>587</v>
      </c>
      <c r="B7" s="220" t="s">
        <v>131</v>
      </c>
      <c r="C7" s="221" t="s">
        <v>8279</v>
      </c>
      <c r="D7" s="222">
        <v>13.01</v>
      </c>
      <c r="E7" s="222">
        <v>12.46</v>
      </c>
      <c r="F7" s="223" t="s">
        <v>8272</v>
      </c>
      <c r="G7" s="224" t="s">
        <v>8273</v>
      </c>
      <c r="I7" t="s">
        <v>8280</v>
      </c>
    </row>
    <row r="8" spans="1:9" x14ac:dyDescent="0.25">
      <c r="A8" s="225" t="s">
        <v>562</v>
      </c>
      <c r="B8" s="207" t="s">
        <v>73</v>
      </c>
      <c r="C8" s="226" t="s">
        <v>8281</v>
      </c>
      <c r="D8" s="209">
        <v>20.75</v>
      </c>
      <c r="E8" s="209">
        <v>19.89</v>
      </c>
      <c r="F8" s="227" t="s">
        <v>8282</v>
      </c>
      <c r="G8" s="228">
        <v>45153</v>
      </c>
      <c r="I8" t="s">
        <v>8283</v>
      </c>
    </row>
    <row r="9" spans="1:9" x14ac:dyDescent="0.25">
      <c r="A9" s="212" t="s">
        <v>231</v>
      </c>
      <c r="B9" s="213" t="s">
        <v>2912</v>
      </c>
      <c r="C9" s="214" t="s">
        <v>8284</v>
      </c>
      <c r="D9" s="215">
        <v>45.07</v>
      </c>
      <c r="E9" s="215">
        <v>42.75</v>
      </c>
      <c r="F9" s="210" t="s">
        <v>8272</v>
      </c>
      <c r="G9" s="229">
        <v>45153</v>
      </c>
      <c r="I9" t="s">
        <v>8285</v>
      </c>
    </row>
    <row r="10" spans="1:9" x14ac:dyDescent="0.25">
      <c r="A10" s="212" t="s">
        <v>54</v>
      </c>
      <c r="B10" s="213" t="s">
        <v>5137</v>
      </c>
      <c r="C10" s="214" t="s">
        <v>8286</v>
      </c>
      <c r="D10" s="215">
        <v>15.14</v>
      </c>
      <c r="E10" s="215">
        <v>14.51</v>
      </c>
      <c r="F10" s="210" t="s">
        <v>8272</v>
      </c>
      <c r="G10" s="229">
        <v>45153</v>
      </c>
      <c r="I10" t="s">
        <v>8287</v>
      </c>
    </row>
    <row r="11" spans="1:9" x14ac:dyDescent="0.25">
      <c r="A11" s="212" t="s">
        <v>237</v>
      </c>
      <c r="B11" s="213" t="s">
        <v>2915</v>
      </c>
      <c r="C11" s="214" t="s">
        <v>8288</v>
      </c>
      <c r="D11" s="215">
        <v>13.29</v>
      </c>
      <c r="E11" s="215">
        <v>12.74</v>
      </c>
      <c r="F11" s="210" t="s">
        <v>8289</v>
      </c>
      <c r="G11" s="229">
        <v>45153</v>
      </c>
      <c r="I11" t="s">
        <v>8290</v>
      </c>
    </row>
    <row r="12" spans="1:9" ht="15.75" thickBot="1" x14ac:dyDescent="0.3">
      <c r="A12" s="219" t="s">
        <v>5228</v>
      </c>
      <c r="B12" s="220" t="s">
        <v>5137</v>
      </c>
      <c r="C12" s="221" t="s">
        <v>8291</v>
      </c>
      <c r="D12" s="222">
        <v>18.62</v>
      </c>
      <c r="E12" s="222">
        <v>17.84</v>
      </c>
      <c r="F12" s="223" t="s">
        <v>8272</v>
      </c>
      <c r="G12" s="230">
        <v>45153</v>
      </c>
      <c r="I12" t="s">
        <v>8292</v>
      </c>
    </row>
    <row r="13" spans="1:9" x14ac:dyDescent="0.25">
      <c r="A13" s="225" t="s">
        <v>5136</v>
      </c>
      <c r="B13" s="207" t="s">
        <v>5137</v>
      </c>
      <c r="C13" s="226" t="s">
        <v>8293</v>
      </c>
      <c r="D13" s="209">
        <v>18.62</v>
      </c>
      <c r="E13" s="209">
        <v>17.84</v>
      </c>
      <c r="F13" s="227" t="s">
        <v>8282</v>
      </c>
      <c r="G13" s="231">
        <v>45181</v>
      </c>
      <c r="I13" t="s">
        <v>8294</v>
      </c>
    </row>
    <row r="14" spans="1:9" x14ac:dyDescent="0.25">
      <c r="A14" s="212" t="s">
        <v>7525</v>
      </c>
      <c r="B14" s="213" t="s">
        <v>86</v>
      </c>
      <c r="C14" s="214" t="s">
        <v>8295</v>
      </c>
      <c r="D14" s="215">
        <v>22.96</v>
      </c>
      <c r="E14" s="215">
        <v>22</v>
      </c>
      <c r="F14" s="210" t="s">
        <v>8272</v>
      </c>
      <c r="G14" s="232">
        <v>45181</v>
      </c>
      <c r="I14" t="s">
        <v>8296</v>
      </c>
    </row>
    <row r="15" spans="1:9" x14ac:dyDescent="0.25">
      <c r="A15" s="217" t="s">
        <v>569</v>
      </c>
      <c r="B15" s="213" t="s">
        <v>86</v>
      </c>
      <c r="C15" s="218" t="s">
        <v>8297</v>
      </c>
      <c r="D15" s="215">
        <v>25.27</v>
      </c>
      <c r="E15" s="215">
        <v>24.22</v>
      </c>
      <c r="F15" s="210" t="s">
        <v>8298</v>
      </c>
      <c r="G15" s="232">
        <v>45181</v>
      </c>
      <c r="I15" t="s">
        <v>8299</v>
      </c>
    </row>
    <row r="16" spans="1:9" x14ac:dyDescent="0.25">
      <c r="A16" s="212" t="s">
        <v>240</v>
      </c>
      <c r="B16" s="213" t="s">
        <v>423</v>
      </c>
      <c r="C16" s="214" t="s">
        <v>8300</v>
      </c>
      <c r="D16" s="215">
        <v>2.11</v>
      </c>
      <c r="E16" s="215">
        <v>2.02</v>
      </c>
      <c r="F16" s="210" t="s">
        <v>8272</v>
      </c>
      <c r="G16" s="232">
        <v>45181</v>
      </c>
      <c r="I16" t="s">
        <v>8301</v>
      </c>
    </row>
    <row r="17" spans="1:9" x14ac:dyDescent="0.25">
      <c r="A17" s="212" t="s">
        <v>7332</v>
      </c>
      <c r="B17" s="213" t="s">
        <v>5137</v>
      </c>
      <c r="C17" s="214" t="s">
        <v>8302</v>
      </c>
      <c r="D17" s="215">
        <v>15.53</v>
      </c>
      <c r="E17" s="215">
        <v>14.88</v>
      </c>
      <c r="F17" s="210" t="s">
        <v>8272</v>
      </c>
      <c r="G17" s="232">
        <v>45181</v>
      </c>
      <c r="I17" t="s">
        <v>8303</v>
      </c>
    </row>
    <row r="18" spans="1:9" x14ac:dyDescent="0.25">
      <c r="A18" s="212" t="s">
        <v>228</v>
      </c>
      <c r="B18" s="213" t="s">
        <v>422</v>
      </c>
      <c r="C18" s="214" t="s">
        <v>8304</v>
      </c>
      <c r="D18" s="215">
        <v>4.5999999999999996</v>
      </c>
      <c r="E18" s="215">
        <v>4.41</v>
      </c>
      <c r="F18" s="210" t="s">
        <v>8272</v>
      </c>
      <c r="G18" s="232">
        <v>45181</v>
      </c>
      <c r="I18" t="s">
        <v>8305</v>
      </c>
    </row>
    <row r="19" spans="1:9" x14ac:dyDescent="0.25">
      <c r="A19" s="212" t="s">
        <v>68</v>
      </c>
      <c r="B19" s="213" t="s">
        <v>86</v>
      </c>
      <c r="C19" s="214" t="s">
        <v>8306</v>
      </c>
      <c r="D19" s="215">
        <v>20.47</v>
      </c>
      <c r="E19" s="215">
        <v>19.62</v>
      </c>
      <c r="F19" s="210" t="s">
        <v>8272</v>
      </c>
      <c r="G19" s="232">
        <v>45181</v>
      </c>
      <c r="I19" t="s">
        <v>8307</v>
      </c>
    </row>
    <row r="20" spans="1:9" ht="15.75" thickBot="1" x14ac:dyDescent="0.3">
      <c r="A20" s="233" t="s">
        <v>227</v>
      </c>
      <c r="B20" s="220" t="s">
        <v>421</v>
      </c>
      <c r="C20" s="234" t="s">
        <v>8308</v>
      </c>
      <c r="D20" s="222">
        <v>4.63</v>
      </c>
      <c r="E20" s="222">
        <v>4.4400000000000004</v>
      </c>
      <c r="F20" s="223" t="s">
        <v>8272</v>
      </c>
      <c r="G20" s="235">
        <v>45181</v>
      </c>
      <c r="I20" t="s">
        <v>8309</v>
      </c>
    </row>
    <row r="21" spans="1:9" x14ac:dyDescent="0.25">
      <c r="A21" s="206" t="s">
        <v>7520</v>
      </c>
      <c r="B21" s="207" t="s">
        <v>5137</v>
      </c>
      <c r="C21" s="208" t="s">
        <v>8310</v>
      </c>
      <c r="D21" s="209">
        <v>16.54</v>
      </c>
      <c r="E21" s="209">
        <v>15.85</v>
      </c>
      <c r="F21" s="227" t="s">
        <v>8272</v>
      </c>
      <c r="G21" s="236">
        <v>45211</v>
      </c>
      <c r="I21" t="s">
        <v>8311</v>
      </c>
    </row>
    <row r="22" spans="1:9" x14ac:dyDescent="0.25">
      <c r="A22" s="237" t="s">
        <v>51</v>
      </c>
      <c r="B22" s="213" t="s">
        <v>5137</v>
      </c>
      <c r="C22" s="218" t="s">
        <v>8312</v>
      </c>
      <c r="D22" s="215">
        <v>16.940000000000001</v>
      </c>
      <c r="E22" s="215">
        <v>16.23</v>
      </c>
      <c r="F22" s="210" t="s">
        <v>8272</v>
      </c>
      <c r="G22" s="238">
        <v>45211</v>
      </c>
      <c r="I22" t="s">
        <v>8313</v>
      </c>
    </row>
    <row r="23" spans="1:9" x14ac:dyDescent="0.25">
      <c r="A23" s="212" t="s">
        <v>234</v>
      </c>
      <c r="B23" s="213" t="s">
        <v>426</v>
      </c>
      <c r="C23" s="214" t="s">
        <v>8314</v>
      </c>
      <c r="D23" s="215">
        <v>2.25</v>
      </c>
      <c r="E23" s="215">
        <v>2.16</v>
      </c>
      <c r="F23" s="210" t="s">
        <v>8272</v>
      </c>
      <c r="G23" s="238">
        <v>45211</v>
      </c>
      <c r="I23" t="s">
        <v>8315</v>
      </c>
    </row>
    <row r="24" spans="1:9" x14ac:dyDescent="0.25">
      <c r="A24" s="212" t="s">
        <v>235</v>
      </c>
      <c r="B24" s="213" t="s">
        <v>2914</v>
      </c>
      <c r="C24" s="214" t="s">
        <v>8316</v>
      </c>
      <c r="D24" s="215">
        <v>22.02</v>
      </c>
      <c r="E24" s="215">
        <v>21.1</v>
      </c>
      <c r="F24" s="210" t="s">
        <v>8272</v>
      </c>
      <c r="G24" s="238">
        <v>45211</v>
      </c>
      <c r="I24" t="s">
        <v>8317</v>
      </c>
    </row>
    <row r="25" spans="1:9" x14ac:dyDescent="0.25">
      <c r="A25" s="212" t="s">
        <v>62</v>
      </c>
      <c r="B25" s="213" t="s">
        <v>73</v>
      </c>
      <c r="C25" s="214" t="s">
        <v>8318</v>
      </c>
      <c r="D25" s="215">
        <v>16.87</v>
      </c>
      <c r="E25" s="215">
        <v>16.170000000000002</v>
      </c>
      <c r="F25" s="210" t="s">
        <v>8272</v>
      </c>
      <c r="G25" s="238">
        <v>45211</v>
      </c>
      <c r="I25" t="s">
        <v>8319</v>
      </c>
    </row>
    <row r="26" spans="1:9" x14ac:dyDescent="0.25">
      <c r="A26" s="217" t="s">
        <v>61</v>
      </c>
      <c r="B26" s="213" t="s">
        <v>73</v>
      </c>
      <c r="C26" s="218" t="s">
        <v>8320</v>
      </c>
      <c r="D26" s="215">
        <v>18.829999999999998</v>
      </c>
      <c r="E26" s="215">
        <v>18.05</v>
      </c>
      <c r="F26" s="210" t="s">
        <v>8272</v>
      </c>
      <c r="G26" s="238">
        <v>45211</v>
      </c>
      <c r="I26" t="s">
        <v>8321</v>
      </c>
    </row>
    <row r="27" spans="1:9" ht="15.75" thickBot="1" x14ac:dyDescent="0.3">
      <c r="A27" s="239" t="s">
        <v>4642</v>
      </c>
      <c r="B27" s="240" t="s">
        <v>86</v>
      </c>
      <c r="C27" s="241" t="s">
        <v>8322</v>
      </c>
      <c r="D27" s="242">
        <v>20.47</v>
      </c>
      <c r="E27" s="242">
        <v>19.62</v>
      </c>
      <c r="F27" s="223" t="s">
        <v>8272</v>
      </c>
      <c r="G27" s="243">
        <v>45211</v>
      </c>
      <c r="I27" t="s">
        <v>8323</v>
      </c>
    </row>
    <row r="28" spans="1:9" x14ac:dyDescent="0.25">
      <c r="A28" s="225" t="s">
        <v>675</v>
      </c>
      <c r="B28" s="207" t="s">
        <v>86</v>
      </c>
      <c r="C28" s="226" t="s">
        <v>8324</v>
      </c>
      <c r="D28" s="209">
        <v>25.27</v>
      </c>
      <c r="E28" s="209">
        <v>24.22</v>
      </c>
      <c r="F28" s="227" t="s">
        <v>8272</v>
      </c>
      <c r="G28" s="244">
        <v>45237</v>
      </c>
      <c r="I28" t="s">
        <v>8325</v>
      </c>
    </row>
    <row r="29" spans="1:9" x14ac:dyDescent="0.25">
      <c r="A29" s="212" t="s">
        <v>7334</v>
      </c>
      <c r="B29" s="213" t="s">
        <v>131</v>
      </c>
      <c r="C29" s="214" t="s">
        <v>8326</v>
      </c>
      <c r="D29" s="215">
        <v>11.68</v>
      </c>
      <c r="E29" s="215">
        <v>11.18</v>
      </c>
      <c r="F29" s="210" t="s">
        <v>8272</v>
      </c>
      <c r="G29" s="245">
        <v>45237</v>
      </c>
      <c r="I29" t="s">
        <v>8327</v>
      </c>
    </row>
    <row r="30" spans="1:9" x14ac:dyDescent="0.25">
      <c r="A30" s="212" t="s">
        <v>238</v>
      </c>
      <c r="B30" s="213" t="s">
        <v>423</v>
      </c>
      <c r="C30" s="214" t="s">
        <v>8328</v>
      </c>
      <c r="D30" s="215">
        <v>2.2200000000000002</v>
      </c>
      <c r="E30" s="215">
        <v>2.13</v>
      </c>
      <c r="F30" s="210" t="s">
        <v>8272</v>
      </c>
      <c r="G30" s="245">
        <v>45237</v>
      </c>
      <c r="I30" t="s">
        <v>8329</v>
      </c>
    </row>
    <row r="31" spans="1:9" x14ac:dyDescent="0.25">
      <c r="A31" s="217" t="s">
        <v>67</v>
      </c>
      <c r="B31" s="213" t="s">
        <v>86</v>
      </c>
      <c r="C31" s="218" t="s">
        <v>8330</v>
      </c>
      <c r="D31" s="215">
        <v>23.09</v>
      </c>
      <c r="E31" s="215">
        <v>22.13</v>
      </c>
      <c r="F31" s="210" t="s">
        <v>8272</v>
      </c>
      <c r="G31" s="245">
        <v>45237</v>
      </c>
      <c r="I31" t="s">
        <v>8331</v>
      </c>
    </row>
    <row r="32" spans="1:9" ht="15.75" thickBot="1" x14ac:dyDescent="0.3">
      <c r="A32" s="233" t="s">
        <v>233</v>
      </c>
      <c r="B32" s="220" t="s">
        <v>2913</v>
      </c>
      <c r="C32" s="234" t="s">
        <v>8332</v>
      </c>
      <c r="D32" s="222">
        <v>8.4600000000000009</v>
      </c>
      <c r="E32" s="222">
        <v>8.11</v>
      </c>
      <c r="F32" s="223" t="s">
        <v>8272</v>
      </c>
      <c r="G32" s="246">
        <v>45237</v>
      </c>
      <c r="I32" t="s">
        <v>8333</v>
      </c>
    </row>
    <row r="33" spans="1:9" x14ac:dyDescent="0.25">
      <c r="A33" s="225" t="s">
        <v>229</v>
      </c>
      <c r="B33" s="207" t="s">
        <v>423</v>
      </c>
      <c r="C33" s="226" t="s">
        <v>8334</v>
      </c>
      <c r="D33" s="209">
        <v>2.11</v>
      </c>
      <c r="E33" s="209">
        <v>2.02</v>
      </c>
      <c r="F33" s="227" t="s">
        <v>8272</v>
      </c>
      <c r="G33" s="247">
        <v>45260</v>
      </c>
      <c r="I33" t="s">
        <v>8335</v>
      </c>
    </row>
    <row r="34" spans="1:9" ht="15.75" thickBot="1" x14ac:dyDescent="0.3">
      <c r="A34" s="219" t="s">
        <v>130</v>
      </c>
      <c r="B34" s="220" t="s">
        <v>131</v>
      </c>
      <c r="C34" s="221" t="s">
        <v>8336</v>
      </c>
      <c r="D34" s="222">
        <v>17.97</v>
      </c>
      <c r="E34" s="222">
        <v>17.21</v>
      </c>
      <c r="F34" s="223" t="s">
        <v>8272</v>
      </c>
      <c r="G34" s="248">
        <v>45260</v>
      </c>
      <c r="I34" t="s">
        <v>8337</v>
      </c>
    </row>
    <row r="35" spans="1:9" x14ac:dyDescent="0.25">
      <c r="A35" s="206" t="s">
        <v>236</v>
      </c>
      <c r="B35" s="207" t="s">
        <v>423</v>
      </c>
      <c r="C35" s="208" t="s">
        <v>8338</v>
      </c>
      <c r="D35" s="209">
        <v>2.25</v>
      </c>
      <c r="E35" s="209">
        <v>2.16</v>
      </c>
      <c r="F35" s="227" t="s">
        <v>8272</v>
      </c>
      <c r="G35" s="236" t="s">
        <v>8339</v>
      </c>
      <c r="I35" t="s">
        <v>8340</v>
      </c>
    </row>
    <row r="36" spans="1:9" x14ac:dyDescent="0.25">
      <c r="A36" s="212" t="s">
        <v>232</v>
      </c>
      <c r="B36" s="213" t="s">
        <v>423</v>
      </c>
      <c r="C36" s="214" t="s">
        <v>8341</v>
      </c>
      <c r="D36" s="215">
        <v>2.2200000000000002</v>
      </c>
      <c r="E36" s="215">
        <v>2.13</v>
      </c>
      <c r="F36" s="210" t="s">
        <v>8272</v>
      </c>
      <c r="G36" s="238" t="s">
        <v>8339</v>
      </c>
      <c r="I36" t="s">
        <v>8340</v>
      </c>
    </row>
    <row r="37" spans="1:9" x14ac:dyDescent="0.25">
      <c r="A37" s="212" t="s">
        <v>7543</v>
      </c>
      <c r="B37" s="213" t="s">
        <v>131</v>
      </c>
      <c r="C37" s="214" t="s">
        <v>8342</v>
      </c>
      <c r="D37" s="215">
        <v>11.68</v>
      </c>
      <c r="E37" s="215">
        <v>11.18</v>
      </c>
      <c r="F37" s="210" t="s">
        <v>8272</v>
      </c>
      <c r="G37" s="238" t="s">
        <v>8339</v>
      </c>
      <c r="I37" t="s">
        <v>8340</v>
      </c>
    </row>
    <row r="38" spans="1:9" x14ac:dyDescent="0.25">
      <c r="A38" s="212" t="s">
        <v>132</v>
      </c>
      <c r="B38" s="213" t="s">
        <v>131</v>
      </c>
      <c r="C38" s="214" t="s">
        <v>8343</v>
      </c>
      <c r="D38" s="215">
        <v>9.89</v>
      </c>
      <c r="E38" s="215">
        <v>9.4700000000000006</v>
      </c>
      <c r="F38" s="210" t="s">
        <v>8272</v>
      </c>
      <c r="G38" s="238" t="s">
        <v>8339</v>
      </c>
      <c r="I38" t="s">
        <v>8340</v>
      </c>
    </row>
    <row r="39" spans="1:9" x14ac:dyDescent="0.25">
      <c r="A39" s="217" t="s">
        <v>693</v>
      </c>
      <c r="B39" s="213" t="s">
        <v>131</v>
      </c>
      <c r="C39" s="218" t="s">
        <v>8344</v>
      </c>
      <c r="D39" s="215">
        <v>13.01</v>
      </c>
      <c r="E39" s="215">
        <v>12.46</v>
      </c>
      <c r="F39" s="210" t="s">
        <v>8272</v>
      </c>
      <c r="G39" s="238" t="s">
        <v>8339</v>
      </c>
      <c r="I39" t="s">
        <v>8340</v>
      </c>
    </row>
    <row r="40" spans="1:9" x14ac:dyDescent="0.25">
      <c r="A40" s="212" t="s">
        <v>202</v>
      </c>
      <c r="B40" s="213" t="s">
        <v>404</v>
      </c>
      <c r="C40" s="214" t="s">
        <v>8339</v>
      </c>
      <c r="D40" s="215">
        <v>57.83</v>
      </c>
      <c r="E40" s="249" t="s">
        <v>8339</v>
      </c>
      <c r="F40" s="210" t="s">
        <v>8339</v>
      </c>
      <c r="G40" s="238" t="s">
        <v>8339</v>
      </c>
      <c r="I40" t="s">
        <v>8340</v>
      </c>
    </row>
    <row r="41" spans="1:9" x14ac:dyDescent="0.25">
      <c r="A41" s="250" t="s">
        <v>203</v>
      </c>
      <c r="B41" s="213" t="s">
        <v>406</v>
      </c>
      <c r="C41" s="214" t="s">
        <v>8339</v>
      </c>
      <c r="D41" s="215">
        <v>22.64</v>
      </c>
      <c r="E41" s="249" t="s">
        <v>8339</v>
      </c>
      <c r="F41" s="210" t="s">
        <v>8339</v>
      </c>
      <c r="G41" s="238" t="s">
        <v>8339</v>
      </c>
      <c r="I41" t="s">
        <v>8340</v>
      </c>
    </row>
    <row r="42" spans="1:9" x14ac:dyDescent="0.25">
      <c r="A42" s="212" t="s">
        <v>230</v>
      </c>
      <c r="B42" s="213" t="s">
        <v>423</v>
      </c>
      <c r="C42" s="214" t="s">
        <v>8345</v>
      </c>
      <c r="D42" s="215">
        <v>2.2200000000000002</v>
      </c>
      <c r="E42" s="215">
        <v>2.13</v>
      </c>
      <c r="F42" s="210" t="s">
        <v>8272</v>
      </c>
      <c r="G42" s="238" t="s">
        <v>8339</v>
      </c>
      <c r="I42" t="s">
        <v>8340</v>
      </c>
    </row>
    <row r="43" spans="1:9" x14ac:dyDescent="0.25">
      <c r="A43" s="212" t="s">
        <v>239</v>
      </c>
      <c r="B43" s="213" t="s">
        <v>2916</v>
      </c>
      <c r="C43" s="214" t="s">
        <v>8346</v>
      </c>
      <c r="D43" s="215">
        <v>16.93</v>
      </c>
      <c r="E43" s="215">
        <v>16.059999999999999</v>
      </c>
      <c r="F43" s="210" t="s">
        <v>8272</v>
      </c>
      <c r="G43" s="238" t="s">
        <v>8339</v>
      </c>
      <c r="I43" t="s">
        <v>8340</v>
      </c>
    </row>
    <row r="44" spans="1:9" ht="15.75" thickBot="1" x14ac:dyDescent="0.3">
      <c r="A44" s="233" t="s">
        <v>242</v>
      </c>
      <c r="B44" s="251" t="s">
        <v>2917</v>
      </c>
      <c r="C44" s="234" t="s">
        <v>8347</v>
      </c>
      <c r="D44" s="222">
        <v>10.63</v>
      </c>
      <c r="E44" s="222">
        <v>10.19</v>
      </c>
      <c r="F44" s="223" t="s">
        <v>8272</v>
      </c>
      <c r="G44" s="252" t="s">
        <v>8339</v>
      </c>
      <c r="I44" t="s">
        <v>8340</v>
      </c>
    </row>
  </sheetData>
  <sheetProtection algorithmName="SHA-512" hashValue="G1uEWxQwG2CXUu3EhWkyfWDG8qtzFlJ0N/NDzoKdz1E+StfUmiYlXph7ParVjKTV8VBv43ZeqQyMWo3pgM57oQ==" saltValue="+S/jDknwGYUY+703cLlk6g=="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7633A-EC43-4598-A19C-103189DBB50C}">
  <sheetPr codeName="Sheet5"/>
  <dimension ref="A1:F19"/>
  <sheetViews>
    <sheetView workbookViewId="0"/>
  </sheetViews>
  <sheetFormatPr defaultRowHeight="15" x14ac:dyDescent="0.25"/>
  <cols>
    <col min="1" max="1" width="14.85546875" customWidth="1"/>
    <col min="2" max="2" width="34" bestFit="1" customWidth="1"/>
    <col min="3" max="3" width="10.140625" customWidth="1"/>
    <col min="4" max="4" width="12.42578125" bestFit="1" customWidth="1"/>
    <col min="5" max="5" width="12.42578125" customWidth="1"/>
    <col min="6" max="6" width="11.85546875" bestFit="1" customWidth="1"/>
  </cols>
  <sheetData>
    <row r="1" spans="1:6" x14ac:dyDescent="0.25">
      <c r="A1" t="s">
        <v>2825</v>
      </c>
      <c r="B1" t="s">
        <v>2827</v>
      </c>
      <c r="C1" t="s">
        <v>2829</v>
      </c>
      <c r="D1" t="s">
        <v>2828</v>
      </c>
      <c r="E1" t="s">
        <v>2826</v>
      </c>
      <c r="F1" t="s">
        <v>2889</v>
      </c>
    </row>
    <row r="2" spans="1:6" x14ac:dyDescent="0.25">
      <c r="A2" s="83" t="s">
        <v>2817</v>
      </c>
      <c r="B2" s="83" t="s">
        <v>91</v>
      </c>
      <c r="C2" s="161" cm="1">
        <f t="array" ref="C2">SUM(SUMIFS(OrderTable[Pcs Rqd.],OrderTable[PART CODE],{"310.3000.12.SG","310.3000.12.MG","310.3000.12.MALCR","310.3000.12.ORB","310.3000.12.BLK","310.3000.12.MNL"}))</f>
        <v>0</v>
      </c>
      <c r="D2">
        <v>12</v>
      </c>
      <c r="E2" t="str">
        <f>IF(MixedAllowed[[#This Row],[Total Order]]/MixedAllowed[[#This Row],[Box Qty]]=ROUND(MixedAllowed[[#This Row],[Total Order]]/MixedAllowed[[#This Row],[Box Qty]],0),"OK","Not Case Qty")</f>
        <v>OK</v>
      </c>
      <c r="F2">
        <f>ROUND(MixedAllowed[[#This Row],[Total Order]]/MixedAllowed[[#This Row],[Box Qty]],0)</f>
        <v>0</v>
      </c>
    </row>
    <row r="3" spans="1:6" x14ac:dyDescent="0.25">
      <c r="A3" s="83" t="s">
        <v>2818</v>
      </c>
      <c r="B3" s="83" t="s">
        <v>93</v>
      </c>
      <c r="C3" s="161" cm="1">
        <f t="array" ref="C3">SUM(SUMIFS(OrderTable[Pcs Rqd.],OrderTable[PART CODE],{"310.3010.12.SG","310.3010.12.MG","310.3010.12.MALCR","310.3010.12.ORB","310.3010.12.BLK","310.3010.12.MNL"}))</f>
        <v>0</v>
      </c>
      <c r="D3">
        <v>12</v>
      </c>
      <c r="E3" t="str">
        <f>IF(MixedAllowed[[#This Row],[Total Order]]/MixedAllowed[[#This Row],[Box Qty]]=ROUND(MixedAllowed[[#This Row],[Total Order]]/MixedAllowed[[#This Row],[Box Qty]],0),"OK","Not Case Qty")</f>
        <v>OK</v>
      </c>
      <c r="F3">
        <f>ROUND(MixedAllowed[[#This Row],[Total Order]]/MixedAllowed[[#This Row],[Box Qty]],0)</f>
        <v>0</v>
      </c>
    </row>
    <row r="4" spans="1:6" x14ac:dyDescent="0.25">
      <c r="A4" s="83" t="s">
        <v>2819</v>
      </c>
      <c r="B4" s="83" t="s">
        <v>95</v>
      </c>
      <c r="C4" s="161" cm="1">
        <f t="array" ref="C4">SUM(SUMIFS(OrderTable[Pcs Rqd.],OrderTable[PART CODE],{"310.3020.12.SG","310.3020.12.MG","310.3020.12.MALCR","310.3020.12.ORB""310.3020.12.BLK","310.3020.12.MNL"}))</f>
        <v>0</v>
      </c>
      <c r="D4">
        <v>18</v>
      </c>
      <c r="E4" t="str">
        <f>IF(MixedAllowed[[#This Row],[Total Order]]/MixedAllowed[[#This Row],[Box Qty]]=ROUND(MixedAllowed[[#This Row],[Total Order]]/MixedAllowed[[#This Row],[Box Qty]],0),"OK","Not Case Qty")</f>
        <v>OK</v>
      </c>
      <c r="F4">
        <f>ROUND(MixedAllowed[[#This Row],[Total Order]]/MixedAllowed[[#This Row],[Box Qty]],0)</f>
        <v>0</v>
      </c>
    </row>
    <row r="5" spans="1:6" x14ac:dyDescent="0.25">
      <c r="A5" s="83" t="s">
        <v>2820</v>
      </c>
      <c r="B5" s="83" t="s">
        <v>97</v>
      </c>
      <c r="C5" s="161" cm="1">
        <f t="array" ref="C5">SUM(SUMIFS(OrderTable[Pcs Rqd.],OrderTable[PART CODE],{"310.3080.12.SG","310.3080.12.MG","310.3080.12.MALCR","310.3080.12.ORB","310.3080.12.BLK","310.3080.12.MNL"}))</f>
        <v>0</v>
      </c>
      <c r="D5">
        <v>12</v>
      </c>
      <c r="E5" t="str">
        <f>IF(MixedAllowed[[#This Row],[Total Order]]/MixedAllowed[[#This Row],[Box Qty]]=ROUND(MixedAllowed[[#This Row],[Total Order]]/MixedAllowed[[#This Row],[Box Qty]],0),"OK","Not Case Qty")</f>
        <v>OK</v>
      </c>
      <c r="F5">
        <f>ROUND(MixedAllowed[[#This Row],[Total Order]]/MixedAllowed[[#This Row],[Box Qty]],0)</f>
        <v>0</v>
      </c>
    </row>
    <row r="6" spans="1:6" x14ac:dyDescent="0.25">
      <c r="A6" s="83" t="s">
        <v>2817</v>
      </c>
      <c r="B6" s="83" t="s">
        <v>99</v>
      </c>
      <c r="C6" s="161" cm="1">
        <f t="array" ref="C6">SUM(SUMIFS(OrderTable[Pcs Rqd.],OrderTable[PART CODE],{"310.3000.14.SG","310.3000.14.MG","310.3000.14.MALCR","310.3000.14.ORB","310.3000.14.BLK","310.3000.14.MNL"}))</f>
        <v>0</v>
      </c>
      <c r="D6">
        <v>12</v>
      </c>
      <c r="E6" t="str">
        <f>IF(MixedAllowed[[#This Row],[Total Order]]/MixedAllowed[[#This Row],[Box Qty]]=ROUND(MixedAllowed[[#This Row],[Total Order]]/MixedAllowed[[#This Row],[Box Qty]],0),"OK","Not Case Qty")</f>
        <v>OK</v>
      </c>
      <c r="F6">
        <f>ROUND(MixedAllowed[[#This Row],[Total Order]]/MixedAllowed[[#This Row],[Box Qty]],0)</f>
        <v>0</v>
      </c>
    </row>
    <row r="7" spans="1:6" x14ac:dyDescent="0.25">
      <c r="A7" s="83" t="s">
        <v>2818</v>
      </c>
      <c r="B7" s="83" t="s">
        <v>101</v>
      </c>
      <c r="C7" s="161" cm="1">
        <f t="array" ref="C7">SUM(SUMIFS(OrderTable[Pcs Rqd.],OrderTable[PART CODE],{"310.3010.14.SG","310.3010.14.MG","310.3010.14.MALCR","310.3010.14.ORB","310.3010.14.BLK","310.3010.14.MNL"}))</f>
        <v>0</v>
      </c>
      <c r="D7">
        <v>12</v>
      </c>
      <c r="E7" t="str">
        <f>IF(MixedAllowed[[#This Row],[Total Order]]/MixedAllowed[[#This Row],[Box Qty]]=ROUND(MixedAllowed[[#This Row],[Total Order]]/MixedAllowed[[#This Row],[Box Qty]],0),"OK","Not Case Qty")</f>
        <v>OK</v>
      </c>
      <c r="F7">
        <f>ROUND(MixedAllowed[[#This Row],[Total Order]]/MixedAllowed[[#This Row],[Box Qty]],0)</f>
        <v>0</v>
      </c>
    </row>
    <row r="8" spans="1:6" x14ac:dyDescent="0.25">
      <c r="A8" s="83" t="s">
        <v>2819</v>
      </c>
      <c r="B8" s="83" t="s">
        <v>103</v>
      </c>
      <c r="C8" s="161" cm="1">
        <f t="array" ref="C8">SUM(SUMIFS(OrderTable[Pcs Rqd.],OrderTable[PART CODE],{"310.3020.14.SG","310.3020.14.MG","310.3020.14.MALCR","310.3020.14.ORB","310.3020.14.BLK","310.3020.14.MNL"}))</f>
        <v>0</v>
      </c>
      <c r="D8">
        <v>18</v>
      </c>
      <c r="E8" t="str">
        <f>IF(MixedAllowed[[#This Row],[Total Order]]/MixedAllowed[[#This Row],[Box Qty]]=ROUND(MixedAllowed[[#This Row],[Total Order]]/MixedAllowed[[#This Row],[Box Qty]],0),"OK","Not Case Qty")</f>
        <v>OK</v>
      </c>
      <c r="F8">
        <f>ROUND(MixedAllowed[[#This Row],[Total Order]]/MixedAllowed[[#This Row],[Box Qty]],0)</f>
        <v>0</v>
      </c>
    </row>
    <row r="9" spans="1:6" x14ac:dyDescent="0.25">
      <c r="A9" s="83" t="s">
        <v>2820</v>
      </c>
      <c r="B9" s="83" t="s">
        <v>105</v>
      </c>
      <c r="C9" s="161" cm="1">
        <f t="array" ref="C9">SUM(SUMIFS(OrderTable[Pcs Rqd.],OrderTable[PART CODE],{"310.3080.14.SG","310.3080.14.MG","310.3080.14.MALCR","310.3080.14.ORB","310.3080.14.BLK","310.3080.14.MNL"}))</f>
        <v>0</v>
      </c>
      <c r="D9">
        <v>12</v>
      </c>
      <c r="E9" t="str">
        <f>IF(MixedAllowed[[#This Row],[Total Order]]/MixedAllowed[[#This Row],[Box Qty]]=ROUND(MixedAllowed[[#This Row],[Total Order]]/MixedAllowed[[#This Row],[Box Qty]],0),"OK","Not Case Qty")</f>
        <v>OK</v>
      </c>
      <c r="F9">
        <f>ROUND(MixedAllowed[[#This Row],[Total Order]]/MixedAllowed[[#This Row],[Box Qty]],0)</f>
        <v>0</v>
      </c>
    </row>
    <row r="10" spans="1:6" x14ac:dyDescent="0.25">
      <c r="A10" s="83" t="s">
        <v>2817</v>
      </c>
      <c r="B10" s="83" t="s">
        <v>107</v>
      </c>
      <c r="C10" s="161" cm="1">
        <f t="array" ref="C10">SUM(SUMIFS(OrderTable[Pcs Rqd.],OrderTable[PART CODE],{"310.3000.18.SG","310.3000.18.MG","310.3000.18.MALCR","310.3000.18.ORB","310.3000.18.BLK","310.3000.18.MNL"}))</f>
        <v>0</v>
      </c>
      <c r="D10">
        <v>12</v>
      </c>
      <c r="E10" t="str">
        <f>IF(MixedAllowed[[#This Row],[Total Order]]/MixedAllowed[[#This Row],[Box Qty]]=ROUND(MixedAllowed[[#This Row],[Total Order]]/MixedAllowed[[#This Row],[Box Qty]],0),"OK","Not Case Qty")</f>
        <v>OK</v>
      </c>
      <c r="F10">
        <f>ROUND(MixedAllowed[[#This Row],[Total Order]]/MixedAllowed[[#This Row],[Box Qty]],0)</f>
        <v>0</v>
      </c>
    </row>
    <row r="11" spans="1:6" x14ac:dyDescent="0.25">
      <c r="A11" s="83" t="s">
        <v>2818</v>
      </c>
      <c r="B11" s="83" t="s">
        <v>109</v>
      </c>
      <c r="C11" s="161" cm="1">
        <f t="array" ref="C11">SUM(SUMIFS(OrderTable[Pcs Rqd.],OrderTable[PART CODE],{"310.3010.18.SG","310.3010.18.MG","310.3010.18.MALCR","310.3010.18.ORB","310.3010.18.BLK","310.3010.18.MNL"}))</f>
        <v>0</v>
      </c>
      <c r="D11">
        <v>12</v>
      </c>
      <c r="E11" t="str">
        <f>IF(MixedAllowed[[#This Row],[Total Order]]/MixedAllowed[[#This Row],[Box Qty]]=ROUND(MixedAllowed[[#This Row],[Total Order]]/MixedAllowed[[#This Row],[Box Qty]],0),"OK","Not Case Qty")</f>
        <v>OK</v>
      </c>
      <c r="F11">
        <f>ROUND(MixedAllowed[[#This Row],[Total Order]]/MixedAllowed[[#This Row],[Box Qty]],0)</f>
        <v>0</v>
      </c>
    </row>
    <row r="12" spans="1:6" x14ac:dyDescent="0.25">
      <c r="A12" s="83" t="s">
        <v>2820</v>
      </c>
      <c r="B12" s="83" t="s">
        <v>112</v>
      </c>
      <c r="C12" s="161" cm="1">
        <f t="array" ref="C12">SUM(SUMIFS(OrderTable[Pcs Rqd.],OrderTable[PART CODE],{"310.3080.18.SG","310.3080.18.MG","310.3080.18.MALCR","310.3080.18.ORB","310.3080.18.BLK","310.3080.18.MNL"}))</f>
        <v>0</v>
      </c>
      <c r="D12">
        <v>12</v>
      </c>
      <c r="E12" t="str">
        <f>IF(MixedAllowed[[#This Row],[Total Order]]/MixedAllowed[[#This Row],[Box Qty]]=ROUND(MixedAllowed[[#This Row],[Total Order]]/MixedAllowed[[#This Row],[Box Qty]],0),"OK","Not Case Qty")</f>
        <v>OK</v>
      </c>
      <c r="F12">
        <f>ROUND(MixedAllowed[[#This Row],[Total Order]]/MixedAllowed[[#This Row],[Box Qty]],0)</f>
        <v>0</v>
      </c>
    </row>
    <row r="13" spans="1:6" x14ac:dyDescent="0.25">
      <c r="A13" s="83" t="s">
        <v>2821</v>
      </c>
      <c r="B13" t="s">
        <v>118</v>
      </c>
      <c r="C13" s="161" cm="1">
        <f t="array" ref="C13">SUM(SUMIFS(OrderTable[Pcs Rqd.],OrderTable[PART CODE],{"300.3162.CR","300.3162.MALCR","300.3162.ORB","300.3162.BLK","300.3162.MG","300.3162.SG","300.3162.MNL"}))</f>
        <v>0</v>
      </c>
      <c r="D13">
        <v>25</v>
      </c>
      <c r="E13" t="str">
        <f>IF(MixedAllowed[[#This Row],[Total Order]]/MixedAllowed[[#This Row],[Box Qty]]=ROUND(MixedAllowed[[#This Row],[Total Order]]/MixedAllowed[[#This Row],[Box Qty]],0),"OK","Not Case Qty")</f>
        <v>OK</v>
      </c>
      <c r="F13">
        <f>ROUND(MixedAllowed[[#This Row],[Total Order]]/MixedAllowed[[#This Row],[Box Qty]],0)</f>
        <v>0</v>
      </c>
    </row>
    <row r="14" spans="1:6" x14ac:dyDescent="0.25">
      <c r="A14" s="83" t="s">
        <v>2822</v>
      </c>
      <c r="B14" t="s">
        <v>121</v>
      </c>
      <c r="C14" s="161" cm="1">
        <f t="array" ref="C14">SUM(SUMIFS(OrderTable[Pcs Rqd.],OrderTable[PART CODE],{"300.3164.CR","300.3164.MALCR","300.3164.ORB","300.3164.BLK","300.3164.MG","300.3164.SG","300.3164.MNL"}))</f>
        <v>0</v>
      </c>
      <c r="D14">
        <v>25</v>
      </c>
      <c r="E14" t="str">
        <f>IF(MixedAllowed[[#This Row],[Total Order]]/MixedAllowed[[#This Row],[Box Qty]]=ROUND(MixedAllowed[[#This Row],[Total Order]]/MixedAllowed[[#This Row],[Box Qty]],0),"OK","Not Case Qty")</f>
        <v>OK</v>
      </c>
      <c r="F14">
        <f>ROUND(MixedAllowed[[#This Row],[Total Order]]/MixedAllowed[[#This Row],[Box Qty]],0)</f>
        <v>0</v>
      </c>
    </row>
    <row r="15" spans="1:6" x14ac:dyDescent="0.25">
      <c r="A15" s="83" t="s">
        <v>2888</v>
      </c>
      <c r="B15" s="83" t="s">
        <v>123</v>
      </c>
      <c r="C15" s="161" cm="1">
        <f t="array" ref="C15">SUM(SUMIFS(OrderTable[Pcs Rqd.],OrderTable[PART CODE],{"300.3166.CR","300.3166.MALCR","300.3166.ORB","300.3166.BLK","300.3166.MG","300.3166.SG","300.3166.MNL"}))</f>
        <v>0</v>
      </c>
      <c r="D15">
        <v>25</v>
      </c>
      <c r="E15" t="str">
        <f>IF(MixedAllowed[[#This Row],[Total Order]]/MixedAllowed[[#This Row],[Box Qty]]=ROUND(MixedAllowed[[#This Row],[Total Order]]/MixedAllowed[[#This Row],[Box Qty]],0),"OK","Not Case Qty")</f>
        <v>OK</v>
      </c>
      <c r="F15">
        <f>ROUND(MixedAllowed[[#This Row],[Total Order]]/MixedAllowed[[#This Row],[Box Qty]],0)</f>
        <v>0</v>
      </c>
    </row>
    <row r="16" spans="1:6" x14ac:dyDescent="0.25">
      <c r="A16" s="83" t="s">
        <v>2823</v>
      </c>
      <c r="B16" t="s">
        <v>125</v>
      </c>
      <c r="C16" s="161" cm="1">
        <f t="array" ref="C16">SUM(SUMIFS(OrderTable[Pcs Rqd.],OrderTable[PART CODE],{"300.3168.CR","300.3168.MALCR","300.3168.ORB","300.3168.BLK","300.3168.MG","300.3168.SG","300.3168.MNL"}))</f>
        <v>0</v>
      </c>
      <c r="D16">
        <v>25</v>
      </c>
      <c r="E16" t="str">
        <f>IF(MixedAllowed[[#This Row],[Total Order]]/MixedAllowed[[#This Row],[Box Qty]]=ROUND(MixedAllowed[[#This Row],[Total Order]]/MixedAllowed[[#This Row],[Box Qty]],0),"OK","Not Case Qty")</f>
        <v>OK</v>
      </c>
      <c r="F16">
        <f>ROUND(MixedAllowed[[#This Row],[Total Order]]/MixedAllowed[[#This Row],[Box Qty]],0)</f>
        <v>0</v>
      </c>
    </row>
    <row r="17" spans="1:6" x14ac:dyDescent="0.25">
      <c r="A17" s="83" t="s">
        <v>2824</v>
      </c>
      <c r="B17" t="s">
        <v>128</v>
      </c>
      <c r="C17" s="161" cm="1">
        <f t="array" ref="C17">SUM(SUMIFS(OrderTable[Pcs Rqd.],OrderTable[PART CODE],{"300.3172.CR","300.3172.MALCR","300.3172.ORB","300.3172.BLK","300.3172.MG","300.3172.SG","300.3172.MNL"}))</f>
        <v>0</v>
      </c>
      <c r="D17">
        <v>25</v>
      </c>
      <c r="E17" t="str">
        <f>IF(MixedAllowed[[#This Row],[Total Order]]/MixedAllowed[[#This Row],[Box Qty]]=ROUND(MixedAllowed[[#This Row],[Total Order]]/MixedAllowed[[#This Row],[Box Qty]],0),"OK","Not Case Qty")</f>
        <v>OK</v>
      </c>
      <c r="F17">
        <f>ROUND(MixedAllowed[[#This Row],[Total Order]]/MixedAllowed[[#This Row],[Box Qty]],0)</f>
        <v>0</v>
      </c>
    </row>
    <row r="19" spans="1:6" x14ac:dyDescent="0.25">
      <c r="A19" s="149" t="s">
        <v>2910</v>
      </c>
    </row>
  </sheetData>
  <sheetProtection algorithmName="SHA-512" hashValue="C7TGLZK739gybvJYX21IQkbxk2X/i3ARDnAU5uK9M0Npk+RdilX8j6ltshFntKJtb7gSMYaW90TMuVbKDGC0aw==" saltValue="/plVfESzdwSAnc1YN5hinw==" spinCount="100000" sheet="1" sort="0" autoFilter="0" pivotTables="0"/>
  <conditionalFormatting sqref="B2:B17">
    <cfRule type="expression" dxfId="22" priority="1">
      <formula>$E2="Not Case Qty"</formula>
    </cfRule>
  </conditionalFormatting>
  <pageMargins left="0.7" right="0.7" top="0.75" bottom="0.75" header="0.3" footer="0.3"/>
  <pageSetup orientation="portrait" horizontalDpi="4294967295" verticalDpi="4294967295"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A339B-72EC-4CAA-9E74-0F93049F699E}">
  <sheetPr codeName="Sheet7"/>
  <dimension ref="A1:C12"/>
  <sheetViews>
    <sheetView workbookViewId="0">
      <selection activeCell="C12" sqref="C12"/>
    </sheetView>
  </sheetViews>
  <sheetFormatPr defaultRowHeight="15" x14ac:dyDescent="0.25"/>
  <cols>
    <col min="1" max="1" width="13.5703125" customWidth="1"/>
    <col min="2" max="2" width="13.7109375" customWidth="1"/>
    <col min="3" max="4" width="45" bestFit="1" customWidth="1"/>
  </cols>
  <sheetData>
    <row r="1" spans="1:3" x14ac:dyDescent="0.25">
      <c r="A1" t="s">
        <v>2825</v>
      </c>
      <c r="B1" t="s">
        <v>2828</v>
      </c>
      <c r="C1" t="s">
        <v>2827</v>
      </c>
    </row>
    <row r="2" spans="1:3" x14ac:dyDescent="0.25">
      <c r="A2" t="s">
        <v>2830</v>
      </c>
      <c r="B2">
        <v>25</v>
      </c>
      <c r="C2" t="s">
        <v>2840</v>
      </c>
    </row>
    <row r="3" spans="1:3" x14ac:dyDescent="0.25">
      <c r="A3" t="s">
        <v>2831</v>
      </c>
      <c r="B3">
        <v>25</v>
      </c>
      <c r="C3" t="s">
        <v>2841</v>
      </c>
    </row>
    <row r="4" spans="1:3" x14ac:dyDescent="0.25">
      <c r="A4" t="s">
        <v>2832</v>
      </c>
      <c r="B4">
        <v>20</v>
      </c>
      <c r="C4" t="s">
        <v>2780</v>
      </c>
    </row>
    <row r="5" spans="1:3" x14ac:dyDescent="0.25">
      <c r="A5" t="s">
        <v>2833</v>
      </c>
      <c r="B5">
        <v>20</v>
      </c>
      <c r="C5" t="s">
        <v>2784</v>
      </c>
    </row>
    <row r="6" spans="1:3" x14ac:dyDescent="0.25">
      <c r="A6" t="s">
        <v>2834</v>
      </c>
      <c r="B6">
        <v>20</v>
      </c>
      <c r="C6" t="s">
        <v>2785</v>
      </c>
    </row>
    <row r="7" spans="1:3" x14ac:dyDescent="0.25">
      <c r="A7" t="s">
        <v>2835</v>
      </c>
      <c r="B7">
        <v>20</v>
      </c>
      <c r="C7" t="s">
        <v>2778</v>
      </c>
    </row>
    <row r="8" spans="1:3" x14ac:dyDescent="0.25">
      <c r="A8" t="s">
        <v>2836</v>
      </c>
      <c r="B8">
        <v>20</v>
      </c>
      <c r="C8" t="s">
        <v>2779</v>
      </c>
    </row>
    <row r="9" spans="1:3" x14ac:dyDescent="0.25">
      <c r="A9" t="s">
        <v>2837</v>
      </c>
      <c r="B9">
        <v>20</v>
      </c>
      <c r="C9" t="s">
        <v>2781</v>
      </c>
    </row>
    <row r="10" spans="1:3" x14ac:dyDescent="0.25">
      <c r="A10" t="s">
        <v>2838</v>
      </c>
      <c r="B10">
        <v>20</v>
      </c>
      <c r="C10" t="s">
        <v>2782</v>
      </c>
    </row>
    <row r="11" spans="1:3" x14ac:dyDescent="0.25">
      <c r="A11" t="s">
        <v>2839</v>
      </c>
      <c r="B11">
        <v>20</v>
      </c>
      <c r="C11" t="s">
        <v>2783</v>
      </c>
    </row>
    <row r="12" spans="1:3" x14ac:dyDescent="0.25">
      <c r="A12" t="s">
        <v>7382</v>
      </c>
      <c r="B12">
        <v>20</v>
      </c>
      <c r="C12" t="s">
        <v>7377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268F3-36A3-43A5-89DC-54922E3E4D74}">
  <sheetPr codeName="Sheet2"/>
  <dimension ref="A2:M3309"/>
  <sheetViews>
    <sheetView zoomScale="70" zoomScaleNormal="70" workbookViewId="0">
      <pane xSplit="1" ySplit="5" topLeftCell="B6" activePane="bottomRight" state="frozen"/>
      <selection pane="topRight"/>
      <selection pane="bottomLeft"/>
      <selection pane="bottomRight"/>
    </sheetView>
  </sheetViews>
  <sheetFormatPr defaultColWidth="9.140625" defaultRowHeight="23.25" x14ac:dyDescent="0.35"/>
  <cols>
    <col min="1" max="1" width="29.42578125" customWidth="1"/>
    <col min="2" max="2" width="16.85546875" style="140" customWidth="1"/>
    <col min="3" max="3" width="29" customWidth="1"/>
    <col min="4" max="4" width="111.85546875" style="140" customWidth="1"/>
    <col min="5" max="5" width="15.85546875" customWidth="1"/>
    <col min="6" max="6" width="14.5703125" customWidth="1"/>
    <col min="7" max="7" width="23.140625" customWidth="1"/>
    <col min="8" max="8" width="18.85546875" bestFit="1" customWidth="1"/>
    <col min="9" max="9" width="30.7109375" customWidth="1"/>
    <col min="10" max="10" width="32.42578125" style="256" bestFit="1" customWidth="1"/>
    <col min="11" max="11" width="32.140625" style="259" bestFit="1" customWidth="1"/>
    <col min="12" max="12" width="12.42578125" style="189" bestFit="1" customWidth="1"/>
  </cols>
  <sheetData>
    <row r="2" spans="1:13" x14ac:dyDescent="0.35">
      <c r="B2" s="1"/>
      <c r="C2" s="2" t="s">
        <v>0</v>
      </c>
      <c r="D2" s="3"/>
      <c r="E2" s="4"/>
      <c r="F2" s="5"/>
      <c r="G2" s="108" t="s">
        <v>8386</v>
      </c>
    </row>
    <row r="3" spans="1:13" x14ac:dyDescent="0.35">
      <c r="C3" s="6" t="s">
        <v>1</v>
      </c>
      <c r="D3" s="7"/>
      <c r="E3" s="8"/>
      <c r="F3" s="8"/>
      <c r="G3" s="9"/>
      <c r="H3" s="10"/>
    </row>
    <row r="4" spans="1:13" x14ac:dyDescent="0.35">
      <c r="B4" s="11"/>
      <c r="C4" s="6" t="s">
        <v>2</v>
      </c>
      <c r="D4" s="12"/>
      <c r="E4" s="13" t="s">
        <v>3</v>
      </c>
      <c r="F4" s="5" t="s">
        <v>4</v>
      </c>
      <c r="G4" s="14" t="s">
        <v>5</v>
      </c>
      <c r="H4" s="15" t="s">
        <v>4</v>
      </c>
      <c r="I4" s="284" t="s">
        <v>7500</v>
      </c>
    </row>
    <row r="5" spans="1:13" ht="47.25" thickBot="1" x14ac:dyDescent="0.4">
      <c r="A5" s="162" t="s">
        <v>4798</v>
      </c>
      <c r="B5" s="16" t="s">
        <v>6</v>
      </c>
      <c r="C5" s="16"/>
      <c r="D5" s="17" t="s">
        <v>7</v>
      </c>
      <c r="E5" s="18" t="s">
        <v>8</v>
      </c>
      <c r="F5" s="19" t="s">
        <v>9</v>
      </c>
      <c r="G5" s="20" t="s">
        <v>10</v>
      </c>
      <c r="H5" s="21" t="s">
        <v>11</v>
      </c>
      <c r="I5" s="284"/>
      <c r="J5" s="257" t="s">
        <v>8384</v>
      </c>
      <c r="K5" s="258" t="s">
        <v>8385</v>
      </c>
    </row>
    <row r="6" spans="1:13" x14ac:dyDescent="0.35">
      <c r="B6" s="1"/>
      <c r="C6" s="1"/>
      <c r="D6" s="22"/>
      <c r="E6" s="4"/>
      <c r="F6" s="5"/>
      <c r="G6" s="23"/>
      <c r="H6" s="24"/>
      <c r="J6"/>
      <c r="K6"/>
    </row>
    <row r="7" spans="1:13" ht="30" x14ac:dyDescent="0.4">
      <c r="B7" s="173" t="s">
        <v>12</v>
      </c>
      <c r="C7" s="25"/>
      <c r="D7" s="25"/>
      <c r="E7" s="26"/>
      <c r="F7" s="25"/>
      <c r="G7" s="25"/>
      <c r="H7" s="25"/>
      <c r="J7"/>
      <c r="K7"/>
    </row>
    <row r="8" spans="1:13" ht="15" x14ac:dyDescent="0.25">
      <c r="J8"/>
      <c r="K8"/>
    </row>
    <row r="9" spans="1:13" x14ac:dyDescent="0.25">
      <c r="A9" t="s">
        <v>4799</v>
      </c>
      <c r="B9" s="27" t="s">
        <v>14</v>
      </c>
      <c r="C9" s="27"/>
      <c r="D9" s="28" t="s">
        <v>15</v>
      </c>
      <c r="E9" s="29"/>
      <c r="F9" s="30">
        <v>100</v>
      </c>
      <c r="G9" s="31">
        <v>0.97</v>
      </c>
      <c r="H9" s="31">
        <f>+F9*G9</f>
        <v>97</v>
      </c>
      <c r="I9" s="170" t="s">
        <v>7501</v>
      </c>
      <c r="J9" t="s">
        <v>2853</v>
      </c>
      <c r="K9" s="188" t="s">
        <v>2853</v>
      </c>
      <c r="M9" s="137"/>
    </row>
    <row r="10" spans="1:13" x14ac:dyDescent="0.25">
      <c r="B10" s="27"/>
      <c r="C10" s="27"/>
      <c r="D10" s="28"/>
      <c r="E10" s="29"/>
      <c r="F10" s="30"/>
      <c r="G10" s="31"/>
      <c r="H10" s="31"/>
      <c r="J10" t="s">
        <v>2853</v>
      </c>
      <c r="K10" s="188" t="s">
        <v>2853</v>
      </c>
    </row>
    <row r="11" spans="1:13" ht="30" x14ac:dyDescent="0.4">
      <c r="B11" s="173" t="s">
        <v>16</v>
      </c>
      <c r="C11" s="32"/>
      <c r="D11" s="32"/>
      <c r="E11" s="32"/>
      <c r="F11" s="32"/>
      <c r="G11" s="32"/>
      <c r="H11" s="32"/>
      <c r="J11" t="s">
        <v>2853</v>
      </c>
      <c r="K11" s="188" t="s">
        <v>2853</v>
      </c>
    </row>
    <row r="12" spans="1:13" ht="15" x14ac:dyDescent="0.25">
      <c r="J12" t="s">
        <v>2853</v>
      </c>
      <c r="K12" s="188" t="s">
        <v>2853</v>
      </c>
    </row>
    <row r="13" spans="1:13" x14ac:dyDescent="0.25">
      <c r="A13" t="s">
        <v>4800</v>
      </c>
      <c r="B13" s="27" t="s">
        <v>17</v>
      </c>
      <c r="C13" s="27"/>
      <c r="D13" s="28" t="s">
        <v>18</v>
      </c>
      <c r="E13" s="29" t="s">
        <v>19</v>
      </c>
      <c r="F13" s="30">
        <v>1</v>
      </c>
      <c r="G13" s="31">
        <v>79.8</v>
      </c>
      <c r="H13" s="31">
        <f t="shared" ref="H13:H14" si="0">+F13*G13</f>
        <v>79.8</v>
      </c>
      <c r="I13" s="170" t="s">
        <v>2842</v>
      </c>
      <c r="J13" t="s">
        <v>2853</v>
      </c>
      <c r="K13" s="188" t="s">
        <v>2853</v>
      </c>
    </row>
    <row r="14" spans="1:13" x14ac:dyDescent="0.25">
      <c r="A14" t="s">
        <v>4801</v>
      </c>
      <c r="B14" s="27" t="s">
        <v>20</v>
      </c>
      <c r="C14" s="27"/>
      <c r="D14" s="28" t="s">
        <v>18</v>
      </c>
      <c r="E14" s="29" t="s">
        <v>21</v>
      </c>
      <c r="F14" s="30">
        <v>1</v>
      </c>
      <c r="G14" s="31">
        <v>79.760000000000005</v>
      </c>
      <c r="H14" s="31">
        <f t="shared" si="0"/>
        <v>79.760000000000005</v>
      </c>
      <c r="I14" s="170" t="s">
        <v>2842</v>
      </c>
      <c r="J14" t="s">
        <v>2853</v>
      </c>
      <c r="K14" s="188" t="s">
        <v>2853</v>
      </c>
    </row>
    <row r="15" spans="1:13" x14ac:dyDescent="0.25">
      <c r="G15" s="30"/>
      <c r="J15" t="s">
        <v>2853</v>
      </c>
      <c r="K15" s="188" t="s">
        <v>2853</v>
      </c>
    </row>
    <row r="16" spans="1:13" x14ac:dyDescent="0.25">
      <c r="A16" t="s">
        <v>4802</v>
      </c>
      <c r="B16" s="27" t="s">
        <v>22</v>
      </c>
      <c r="C16" s="27"/>
      <c r="D16" s="28" t="s">
        <v>23</v>
      </c>
      <c r="E16" s="29" t="s">
        <v>19</v>
      </c>
      <c r="F16" s="30">
        <v>1</v>
      </c>
      <c r="G16" s="31">
        <v>95.66</v>
      </c>
      <c r="H16" s="31">
        <f t="shared" ref="H16:H17" si="1">+F16*G16</f>
        <v>95.66</v>
      </c>
      <c r="I16" s="170" t="s">
        <v>2842</v>
      </c>
      <c r="J16" t="s">
        <v>2853</v>
      </c>
      <c r="K16" s="188" t="s">
        <v>2853</v>
      </c>
    </row>
    <row r="17" spans="1:11" x14ac:dyDescent="0.25">
      <c r="A17" t="s">
        <v>4803</v>
      </c>
      <c r="B17" s="27" t="s">
        <v>24</v>
      </c>
      <c r="C17" s="27"/>
      <c r="D17" s="28" t="s">
        <v>23</v>
      </c>
      <c r="E17" s="29" t="s">
        <v>21</v>
      </c>
      <c r="F17" s="30">
        <v>1</v>
      </c>
      <c r="G17" s="31">
        <v>95.63</v>
      </c>
      <c r="H17" s="31">
        <f t="shared" si="1"/>
        <v>95.63</v>
      </c>
      <c r="I17" s="170" t="s">
        <v>2842</v>
      </c>
      <c r="J17" t="s">
        <v>2853</v>
      </c>
      <c r="K17" s="188" t="s">
        <v>2853</v>
      </c>
    </row>
    <row r="18" spans="1:11" x14ac:dyDescent="0.25">
      <c r="G18" s="30"/>
      <c r="J18" t="s">
        <v>2853</v>
      </c>
      <c r="K18" s="188" t="s">
        <v>2853</v>
      </c>
    </row>
    <row r="19" spans="1:11" x14ac:dyDescent="0.25">
      <c r="A19" t="s">
        <v>4804</v>
      </c>
      <c r="B19" s="27" t="s">
        <v>25</v>
      </c>
      <c r="C19" s="27"/>
      <c r="D19" s="28" t="s">
        <v>26</v>
      </c>
      <c r="E19" s="29" t="s">
        <v>19</v>
      </c>
      <c r="F19" s="30">
        <v>1</v>
      </c>
      <c r="G19" s="31">
        <v>111.51</v>
      </c>
      <c r="H19" s="31">
        <f t="shared" ref="H19:H20" si="2">+F19*G19</f>
        <v>111.51</v>
      </c>
      <c r="I19" s="170" t="s">
        <v>2842</v>
      </c>
      <c r="J19" t="s">
        <v>2853</v>
      </c>
      <c r="K19" s="188" t="s">
        <v>2853</v>
      </c>
    </row>
    <row r="20" spans="1:11" x14ac:dyDescent="0.25">
      <c r="A20" t="s">
        <v>4805</v>
      </c>
      <c r="B20" s="27" t="s">
        <v>27</v>
      </c>
      <c r="C20" s="27"/>
      <c r="D20" s="28" t="s">
        <v>26</v>
      </c>
      <c r="E20" s="29" t="s">
        <v>21</v>
      </c>
      <c r="F20" s="30">
        <v>1</v>
      </c>
      <c r="G20" s="31">
        <v>111.47</v>
      </c>
      <c r="H20" s="31">
        <f t="shared" si="2"/>
        <v>111.47</v>
      </c>
      <c r="I20" s="170" t="s">
        <v>2842</v>
      </c>
      <c r="J20" t="s">
        <v>2853</v>
      </c>
      <c r="K20" s="188" t="s">
        <v>2853</v>
      </c>
    </row>
    <row r="21" spans="1:11" x14ac:dyDescent="0.25">
      <c r="G21" s="30"/>
      <c r="J21" t="s">
        <v>2853</v>
      </c>
      <c r="K21" s="188" t="s">
        <v>2853</v>
      </c>
    </row>
    <row r="22" spans="1:11" x14ac:dyDescent="0.25">
      <c r="A22" t="s">
        <v>4806</v>
      </c>
      <c r="B22" s="27" t="s">
        <v>29</v>
      </c>
      <c r="C22" s="27"/>
      <c r="D22" s="28" t="s">
        <v>30</v>
      </c>
      <c r="E22" s="29" t="s">
        <v>19</v>
      </c>
      <c r="F22" s="30">
        <v>1</v>
      </c>
      <c r="G22" s="31">
        <v>65.900000000000006</v>
      </c>
      <c r="H22" s="31">
        <f t="shared" ref="H22:H23" si="3">+F22*G22</f>
        <v>65.900000000000006</v>
      </c>
      <c r="I22" s="170" t="s">
        <v>2842</v>
      </c>
      <c r="J22" t="s">
        <v>2853</v>
      </c>
      <c r="K22" s="188" t="s">
        <v>2853</v>
      </c>
    </row>
    <row r="23" spans="1:11" x14ac:dyDescent="0.25">
      <c r="A23" t="s">
        <v>4807</v>
      </c>
      <c r="B23" s="27" t="s">
        <v>31</v>
      </c>
      <c r="C23" s="27"/>
      <c r="D23" s="28" t="s">
        <v>30</v>
      </c>
      <c r="E23" s="29" t="s">
        <v>21</v>
      </c>
      <c r="F23" s="30">
        <v>1</v>
      </c>
      <c r="G23" s="31">
        <v>65.88</v>
      </c>
      <c r="H23" s="31">
        <f t="shared" si="3"/>
        <v>65.88</v>
      </c>
      <c r="I23" s="170" t="s">
        <v>2842</v>
      </c>
      <c r="J23" t="s">
        <v>2853</v>
      </c>
      <c r="K23" s="188" t="s">
        <v>2853</v>
      </c>
    </row>
    <row r="24" spans="1:11" ht="15" x14ac:dyDescent="0.25">
      <c r="J24" t="s">
        <v>2853</v>
      </c>
      <c r="K24" s="188" t="s">
        <v>2853</v>
      </c>
    </row>
    <row r="25" spans="1:11" x14ac:dyDescent="0.25">
      <c r="A25" t="s">
        <v>4808</v>
      </c>
      <c r="B25" s="27" t="s">
        <v>33</v>
      </c>
      <c r="C25" s="27"/>
      <c r="D25" s="28" t="s">
        <v>34</v>
      </c>
      <c r="E25" s="29" t="s">
        <v>19</v>
      </c>
      <c r="F25" s="30">
        <v>1</v>
      </c>
      <c r="G25" s="31">
        <v>75.3</v>
      </c>
      <c r="H25" s="31">
        <f t="shared" ref="H25:H26" si="4">+F25*G25</f>
        <v>75.3</v>
      </c>
      <c r="I25" s="170" t="s">
        <v>2842</v>
      </c>
      <c r="J25" t="s">
        <v>2853</v>
      </c>
      <c r="K25" s="188" t="s">
        <v>2853</v>
      </c>
    </row>
    <row r="26" spans="1:11" x14ac:dyDescent="0.25">
      <c r="A26" t="s">
        <v>4809</v>
      </c>
      <c r="B26" s="27" t="s">
        <v>35</v>
      </c>
      <c r="C26" s="27"/>
      <c r="D26" s="28" t="s">
        <v>34</v>
      </c>
      <c r="E26" s="29" t="s">
        <v>21</v>
      </c>
      <c r="F26" s="30">
        <v>1</v>
      </c>
      <c r="G26" s="31">
        <v>75.28</v>
      </c>
      <c r="H26" s="31">
        <f t="shared" si="4"/>
        <v>75.28</v>
      </c>
      <c r="I26" s="170" t="s">
        <v>2842</v>
      </c>
      <c r="J26" t="s">
        <v>2853</v>
      </c>
      <c r="K26" s="188" t="s">
        <v>2853</v>
      </c>
    </row>
    <row r="27" spans="1:11" ht="15" x14ac:dyDescent="0.25">
      <c r="J27" t="s">
        <v>2853</v>
      </c>
      <c r="K27" s="188" t="s">
        <v>2853</v>
      </c>
    </row>
    <row r="28" spans="1:11" x14ac:dyDescent="0.25">
      <c r="A28" t="s">
        <v>4810</v>
      </c>
      <c r="B28" s="27" t="s">
        <v>39</v>
      </c>
      <c r="C28" s="27"/>
      <c r="D28" s="28" t="s">
        <v>40</v>
      </c>
      <c r="E28" s="29" t="s">
        <v>19</v>
      </c>
      <c r="F28" s="30">
        <v>1</v>
      </c>
      <c r="G28" s="31">
        <v>87.51</v>
      </c>
      <c r="H28" s="31">
        <f t="shared" ref="H28:H29" si="5">+F28*G28</f>
        <v>87.51</v>
      </c>
      <c r="I28" s="170" t="s">
        <v>2842</v>
      </c>
      <c r="J28" t="s">
        <v>2853</v>
      </c>
      <c r="K28" s="188" t="s">
        <v>2853</v>
      </c>
    </row>
    <row r="29" spans="1:11" x14ac:dyDescent="0.25">
      <c r="A29" s="177" t="s">
        <v>7732</v>
      </c>
      <c r="B29" s="27" t="s">
        <v>41</v>
      </c>
      <c r="C29" s="27"/>
      <c r="D29" s="28" t="s">
        <v>40</v>
      </c>
      <c r="E29" s="29" t="s">
        <v>21</v>
      </c>
      <c r="F29" s="30">
        <v>1</v>
      </c>
      <c r="G29" s="31">
        <v>87.48</v>
      </c>
      <c r="H29" s="31">
        <f t="shared" si="5"/>
        <v>87.48</v>
      </c>
      <c r="I29" s="170" t="s">
        <v>2842</v>
      </c>
      <c r="J29" t="s">
        <v>2853</v>
      </c>
      <c r="K29" s="188" t="s">
        <v>2853</v>
      </c>
    </row>
    <row r="30" spans="1:11" ht="15" x14ac:dyDescent="0.25">
      <c r="J30" t="s">
        <v>2853</v>
      </c>
      <c r="K30" s="188" t="s">
        <v>2853</v>
      </c>
    </row>
    <row r="31" spans="1:11" x14ac:dyDescent="0.25">
      <c r="A31" t="s">
        <v>7733</v>
      </c>
      <c r="B31" s="27" t="s">
        <v>7502</v>
      </c>
      <c r="C31" s="27"/>
      <c r="D31" s="28" t="s">
        <v>43</v>
      </c>
      <c r="E31" s="29" t="s">
        <v>44</v>
      </c>
      <c r="F31" s="30">
        <v>1</v>
      </c>
      <c r="G31" s="31">
        <v>49.66</v>
      </c>
      <c r="H31" s="31">
        <f t="shared" ref="H31:H33" si="6">+F31*G31</f>
        <v>49.66</v>
      </c>
      <c r="I31" s="170" t="s">
        <v>2842</v>
      </c>
      <c r="J31" t="s">
        <v>2853</v>
      </c>
      <c r="K31" s="188" t="s">
        <v>2853</v>
      </c>
    </row>
    <row r="32" spans="1:11" x14ac:dyDescent="0.25">
      <c r="A32" t="s">
        <v>7734</v>
      </c>
      <c r="B32" s="27" t="s">
        <v>7503</v>
      </c>
      <c r="C32" s="27"/>
      <c r="D32" s="28" t="s">
        <v>45</v>
      </c>
      <c r="E32" s="29" t="s">
        <v>44</v>
      </c>
      <c r="F32" s="30">
        <v>1</v>
      </c>
      <c r="G32" s="31">
        <v>58.93</v>
      </c>
      <c r="H32" s="31">
        <f t="shared" si="6"/>
        <v>58.93</v>
      </c>
      <c r="I32" s="170" t="s">
        <v>2842</v>
      </c>
      <c r="J32" t="s">
        <v>2853</v>
      </c>
      <c r="K32" s="188" t="s">
        <v>2853</v>
      </c>
    </row>
    <row r="33" spans="1:11" x14ac:dyDescent="0.25">
      <c r="A33" t="s">
        <v>7735</v>
      </c>
      <c r="B33" s="27" t="s">
        <v>7504</v>
      </c>
      <c r="C33" s="27"/>
      <c r="D33" s="28" t="s">
        <v>46</v>
      </c>
      <c r="E33" s="29" t="s">
        <v>44</v>
      </c>
      <c r="F33" s="30">
        <v>1</v>
      </c>
      <c r="G33" s="31">
        <v>66.069999999999993</v>
      </c>
      <c r="H33" s="31">
        <f t="shared" si="6"/>
        <v>66.069999999999993</v>
      </c>
      <c r="I33" s="170" t="s">
        <v>2842</v>
      </c>
      <c r="J33" t="s">
        <v>2853</v>
      </c>
      <c r="K33" s="188" t="s">
        <v>2853</v>
      </c>
    </row>
    <row r="34" spans="1:11" ht="15" x14ac:dyDescent="0.25">
      <c r="J34" t="s">
        <v>2853</v>
      </c>
      <c r="K34" s="188" t="s">
        <v>2853</v>
      </c>
    </row>
    <row r="35" spans="1:11" x14ac:dyDescent="0.25">
      <c r="A35" t="s">
        <v>4811</v>
      </c>
      <c r="B35" s="27" t="s">
        <v>47</v>
      </c>
      <c r="C35" s="27"/>
      <c r="D35" s="28" t="s">
        <v>48</v>
      </c>
      <c r="E35" s="29" t="s">
        <v>44</v>
      </c>
      <c r="F35" s="30">
        <v>18</v>
      </c>
      <c r="G35" s="31">
        <v>3.41</v>
      </c>
      <c r="H35" s="31">
        <f t="shared" ref="H35:H38" si="7">+F35*G35</f>
        <v>61.38</v>
      </c>
      <c r="I35" s="170" t="s">
        <v>2842</v>
      </c>
      <c r="J35" t="s">
        <v>2853</v>
      </c>
      <c r="K35" s="188" t="s">
        <v>2853</v>
      </c>
    </row>
    <row r="36" spans="1:11" x14ac:dyDescent="0.25">
      <c r="A36" t="s">
        <v>4812</v>
      </c>
      <c r="B36" s="27" t="s">
        <v>49</v>
      </c>
      <c r="C36" s="27"/>
      <c r="D36" s="28" t="s">
        <v>50</v>
      </c>
      <c r="E36" s="29" t="s">
        <v>44</v>
      </c>
      <c r="F36" s="30">
        <v>100</v>
      </c>
      <c r="G36" s="31">
        <v>0.91</v>
      </c>
      <c r="H36" s="31">
        <f t="shared" si="7"/>
        <v>91</v>
      </c>
      <c r="I36" s="170" t="s">
        <v>7501</v>
      </c>
      <c r="J36" t="s">
        <v>2853</v>
      </c>
      <c r="K36" s="188" t="s">
        <v>2853</v>
      </c>
    </row>
    <row r="37" spans="1:11" x14ac:dyDescent="0.25">
      <c r="A37" t="s">
        <v>4813</v>
      </c>
      <c r="B37" s="27" t="s">
        <v>52</v>
      </c>
      <c r="C37" s="27"/>
      <c r="D37" s="28" t="s">
        <v>53</v>
      </c>
      <c r="E37" s="29" t="s">
        <v>44</v>
      </c>
      <c r="F37" s="30">
        <v>4</v>
      </c>
      <c r="G37" s="31">
        <v>21.44</v>
      </c>
      <c r="H37" s="31">
        <f t="shared" si="7"/>
        <v>85.76</v>
      </c>
      <c r="I37" s="170" t="s">
        <v>2842</v>
      </c>
      <c r="J37" t="s">
        <v>2853</v>
      </c>
      <c r="K37" s="188" t="s">
        <v>2853</v>
      </c>
    </row>
    <row r="38" spans="1:11" x14ac:dyDescent="0.25">
      <c r="A38" t="s">
        <v>4814</v>
      </c>
      <c r="B38" s="27" t="s">
        <v>55</v>
      </c>
      <c r="C38" s="27"/>
      <c r="D38" s="28" t="s">
        <v>56</v>
      </c>
      <c r="E38" s="29" t="s">
        <v>44</v>
      </c>
      <c r="F38" s="30">
        <v>2</v>
      </c>
      <c r="G38" s="31">
        <v>31.84</v>
      </c>
      <c r="H38" s="31">
        <f t="shared" si="7"/>
        <v>63.68</v>
      </c>
      <c r="I38" s="170" t="s">
        <v>2842</v>
      </c>
      <c r="J38" t="s">
        <v>2853</v>
      </c>
      <c r="K38" s="188" t="s">
        <v>2853</v>
      </c>
    </row>
    <row r="39" spans="1:11" x14ac:dyDescent="0.25">
      <c r="B39" s="27"/>
      <c r="C39" s="27"/>
      <c r="D39" s="28"/>
      <c r="E39" s="29"/>
      <c r="F39" s="30"/>
      <c r="H39" s="31"/>
      <c r="J39" t="s">
        <v>2853</v>
      </c>
      <c r="K39" s="188" t="s">
        <v>2853</v>
      </c>
    </row>
    <row r="40" spans="1:11" x14ac:dyDescent="0.25">
      <c r="A40" t="s">
        <v>4815</v>
      </c>
      <c r="B40" s="27" t="s">
        <v>57</v>
      </c>
      <c r="C40" s="27"/>
      <c r="D40" s="28" t="s">
        <v>58</v>
      </c>
      <c r="E40" s="29" t="s">
        <v>59</v>
      </c>
      <c r="F40" s="30">
        <v>288</v>
      </c>
      <c r="G40" s="31">
        <v>0.28999999999999998</v>
      </c>
      <c r="H40" s="31">
        <f>+F40*G40</f>
        <v>83.52</v>
      </c>
      <c r="I40" s="170" t="s">
        <v>2842</v>
      </c>
      <c r="J40" t="s">
        <v>2853</v>
      </c>
      <c r="K40" s="188" t="s">
        <v>2853</v>
      </c>
    </row>
    <row r="41" spans="1:11" x14ac:dyDescent="0.25">
      <c r="B41" s="27"/>
      <c r="C41" s="27"/>
      <c r="D41" s="28"/>
      <c r="E41" s="29"/>
      <c r="F41" s="30"/>
      <c r="H41" s="31"/>
      <c r="J41" t="s">
        <v>2853</v>
      </c>
      <c r="K41" s="188" t="s">
        <v>2853</v>
      </c>
    </row>
    <row r="42" spans="1:11" x14ac:dyDescent="0.25">
      <c r="A42" t="s">
        <v>4816</v>
      </c>
      <c r="B42" s="27" t="s">
        <v>63</v>
      </c>
      <c r="C42" s="27"/>
      <c r="D42" s="28" t="s">
        <v>64</v>
      </c>
      <c r="E42" s="29" t="s">
        <v>19</v>
      </c>
      <c r="F42" s="30">
        <v>48</v>
      </c>
      <c r="G42" s="31">
        <v>4.46</v>
      </c>
      <c r="H42" s="31">
        <f t="shared" ref="H42:H43" si="8">+F42*G42</f>
        <v>214.07999999999998</v>
      </c>
      <c r="I42" s="170" t="s">
        <v>2842</v>
      </c>
      <c r="J42" t="s">
        <v>2853</v>
      </c>
      <c r="K42" s="188" t="s">
        <v>2853</v>
      </c>
    </row>
    <row r="43" spans="1:11" x14ac:dyDescent="0.25">
      <c r="A43" t="s">
        <v>4817</v>
      </c>
      <c r="B43" s="27" t="s">
        <v>66</v>
      </c>
      <c r="C43" s="27"/>
      <c r="D43" s="28" t="s">
        <v>64</v>
      </c>
      <c r="E43" s="29" t="s">
        <v>21</v>
      </c>
      <c r="F43" s="30">
        <v>48</v>
      </c>
      <c r="G43" s="31">
        <v>4.46</v>
      </c>
      <c r="H43" s="31">
        <f t="shared" si="8"/>
        <v>214.07999999999998</v>
      </c>
      <c r="I43" s="170" t="s">
        <v>2842</v>
      </c>
      <c r="J43" t="s">
        <v>2853</v>
      </c>
      <c r="K43" s="188" t="s">
        <v>2853</v>
      </c>
    </row>
    <row r="44" spans="1:11" x14ac:dyDescent="0.25">
      <c r="B44" s="27"/>
      <c r="C44" s="27"/>
      <c r="D44" s="28"/>
      <c r="E44" s="29"/>
      <c r="F44" s="30"/>
      <c r="G44" s="31"/>
      <c r="H44" s="31"/>
      <c r="J44" t="s">
        <v>2853</v>
      </c>
      <c r="K44" s="188" t="s">
        <v>2853</v>
      </c>
    </row>
    <row r="45" spans="1:11" ht="30" x14ac:dyDescent="0.4">
      <c r="B45" s="171" t="s">
        <v>69</v>
      </c>
      <c r="C45" s="25"/>
      <c r="D45" s="32"/>
      <c r="E45" s="26"/>
      <c r="F45" s="26"/>
      <c r="G45" s="26"/>
      <c r="H45" s="26"/>
      <c r="J45" t="s">
        <v>2853</v>
      </c>
      <c r="K45" s="188" t="s">
        <v>2853</v>
      </c>
    </row>
    <row r="46" spans="1:11" ht="15" x14ac:dyDescent="0.25">
      <c r="J46" t="s">
        <v>2853</v>
      </c>
      <c r="K46" s="188" t="s">
        <v>2853</v>
      </c>
    </row>
    <row r="47" spans="1:11" x14ac:dyDescent="0.35">
      <c r="B47" s="27" t="s">
        <v>51</v>
      </c>
      <c r="C47" s="33"/>
      <c r="D47" s="27" t="s">
        <v>71</v>
      </c>
      <c r="E47" s="29" t="s">
        <v>19</v>
      </c>
      <c r="F47" s="30">
        <v>18</v>
      </c>
      <c r="G47" s="31">
        <v>16.940000000000001</v>
      </c>
      <c r="H47" s="31">
        <f t="shared" ref="H47:H48" si="9">+F47*G47</f>
        <v>304.92</v>
      </c>
      <c r="I47" s="170" t="s">
        <v>2842</v>
      </c>
      <c r="J47" s="256" t="s">
        <v>8312</v>
      </c>
      <c r="K47" s="259">
        <v>45211</v>
      </c>
    </row>
    <row r="48" spans="1:11" x14ac:dyDescent="0.35">
      <c r="B48" s="27" t="s">
        <v>54</v>
      </c>
      <c r="C48" s="33"/>
      <c r="D48" s="27" t="s">
        <v>71</v>
      </c>
      <c r="E48" s="29" t="s">
        <v>21</v>
      </c>
      <c r="F48" s="30">
        <v>18</v>
      </c>
      <c r="G48" s="31">
        <v>15.14</v>
      </c>
      <c r="H48" s="31">
        <f t="shared" si="9"/>
        <v>272.52</v>
      </c>
      <c r="I48" s="170" t="s">
        <v>2842</v>
      </c>
      <c r="J48" s="256" t="s">
        <v>8286</v>
      </c>
      <c r="K48" s="259">
        <v>45153</v>
      </c>
    </row>
    <row r="49" spans="1:11" x14ac:dyDescent="0.25">
      <c r="B49" s="27"/>
      <c r="C49" s="33"/>
      <c r="D49" s="27"/>
      <c r="E49" s="29"/>
      <c r="F49" s="30"/>
      <c r="H49" s="31"/>
      <c r="J49" t="s">
        <v>2853</v>
      </c>
      <c r="K49" s="188" t="s">
        <v>2853</v>
      </c>
    </row>
    <row r="50" spans="1:11" x14ac:dyDescent="0.35">
      <c r="A50" t="s">
        <v>4818</v>
      </c>
      <c r="B50" s="27" t="s">
        <v>61</v>
      </c>
      <c r="C50" s="33"/>
      <c r="D50" s="27" t="s">
        <v>73</v>
      </c>
      <c r="E50" s="29" t="s">
        <v>19</v>
      </c>
      <c r="F50" s="30">
        <v>18</v>
      </c>
      <c r="G50" s="31">
        <v>18.829999999999998</v>
      </c>
      <c r="H50" s="31">
        <f t="shared" ref="H50:H51" si="10">+F50*G50</f>
        <v>338.93999999999994</v>
      </c>
      <c r="I50" s="170" t="s">
        <v>2842</v>
      </c>
      <c r="J50" s="256" t="s">
        <v>8320</v>
      </c>
      <c r="K50" s="259">
        <v>45211</v>
      </c>
    </row>
    <row r="51" spans="1:11" x14ac:dyDescent="0.35">
      <c r="A51" t="s">
        <v>4819</v>
      </c>
      <c r="B51" s="27" t="s">
        <v>62</v>
      </c>
      <c r="C51" s="33"/>
      <c r="D51" s="27" t="s">
        <v>73</v>
      </c>
      <c r="E51" s="29" t="s">
        <v>21</v>
      </c>
      <c r="F51" s="30">
        <v>18</v>
      </c>
      <c r="G51" s="31">
        <v>16.87</v>
      </c>
      <c r="H51" s="31">
        <f t="shared" si="10"/>
        <v>303.66000000000003</v>
      </c>
      <c r="I51" s="170" t="s">
        <v>2842</v>
      </c>
      <c r="J51" s="256" t="s">
        <v>8318</v>
      </c>
      <c r="K51" s="259">
        <v>45211</v>
      </c>
    </row>
    <row r="52" spans="1:11" ht="15" x14ac:dyDescent="0.25">
      <c r="J52" t="s">
        <v>2853</v>
      </c>
      <c r="K52" s="188" t="s">
        <v>2853</v>
      </c>
    </row>
    <row r="53" spans="1:11" x14ac:dyDescent="0.25">
      <c r="A53" t="s">
        <v>4820</v>
      </c>
      <c r="B53" s="27" t="s">
        <v>28</v>
      </c>
      <c r="C53" s="34"/>
      <c r="D53" s="27" t="s">
        <v>74</v>
      </c>
      <c r="E53" s="29" t="s">
        <v>19</v>
      </c>
      <c r="F53" s="30">
        <v>200</v>
      </c>
      <c r="G53" s="31">
        <v>1.62</v>
      </c>
      <c r="H53" s="31">
        <f t="shared" ref="H53:H54" si="11">+F53*G53</f>
        <v>324</v>
      </c>
      <c r="I53" s="170" t="s">
        <v>2842</v>
      </c>
      <c r="J53" t="s">
        <v>2853</v>
      </c>
      <c r="K53" s="188" t="s">
        <v>2853</v>
      </c>
    </row>
    <row r="54" spans="1:11" x14ac:dyDescent="0.25">
      <c r="A54" t="s">
        <v>4821</v>
      </c>
      <c r="B54" s="27" t="s">
        <v>75</v>
      </c>
      <c r="C54" s="34"/>
      <c r="D54" s="27" t="s">
        <v>74</v>
      </c>
      <c r="E54" s="29" t="s">
        <v>21</v>
      </c>
      <c r="F54" s="30">
        <v>200</v>
      </c>
      <c r="G54" s="31">
        <v>1.63</v>
      </c>
      <c r="H54" s="31">
        <f t="shared" si="11"/>
        <v>326</v>
      </c>
      <c r="I54" s="170" t="s">
        <v>2842</v>
      </c>
      <c r="J54" t="s">
        <v>2853</v>
      </c>
      <c r="K54" s="188" t="s">
        <v>2853</v>
      </c>
    </row>
    <row r="55" spans="1:11" x14ac:dyDescent="0.25">
      <c r="B55" s="27"/>
      <c r="D55" s="27"/>
      <c r="E55" s="29"/>
      <c r="F55" s="30"/>
      <c r="G55" s="31"/>
      <c r="H55" s="31"/>
      <c r="I55" s="170"/>
      <c r="J55" t="s">
        <v>2853</v>
      </c>
      <c r="K55" s="188" t="s">
        <v>2853</v>
      </c>
    </row>
    <row r="56" spans="1:11" x14ac:dyDescent="0.25">
      <c r="A56" t="s">
        <v>4822</v>
      </c>
      <c r="B56" s="27" t="s">
        <v>37</v>
      </c>
      <c r="D56" s="27" t="s">
        <v>79</v>
      </c>
      <c r="E56" s="29" t="s">
        <v>19</v>
      </c>
      <c r="F56" s="30">
        <v>30</v>
      </c>
      <c r="G56" s="31">
        <v>2.62</v>
      </c>
      <c r="H56" s="31">
        <f t="shared" ref="H56:H57" si="12">+F56*G56</f>
        <v>78.600000000000009</v>
      </c>
      <c r="I56" s="170" t="s">
        <v>2842</v>
      </c>
      <c r="J56" t="s">
        <v>2853</v>
      </c>
      <c r="K56" s="188" t="s">
        <v>2853</v>
      </c>
    </row>
    <row r="57" spans="1:11" x14ac:dyDescent="0.25">
      <c r="A57" t="s">
        <v>4823</v>
      </c>
      <c r="B57" s="27" t="s">
        <v>38</v>
      </c>
      <c r="D57" s="27" t="s">
        <v>79</v>
      </c>
      <c r="E57" s="29" t="s">
        <v>21</v>
      </c>
      <c r="F57" s="30">
        <v>30</v>
      </c>
      <c r="G57" s="31">
        <v>2.62</v>
      </c>
      <c r="H57" s="31">
        <f t="shared" si="12"/>
        <v>78.600000000000009</v>
      </c>
      <c r="I57" s="170" t="s">
        <v>2842</v>
      </c>
      <c r="J57" t="s">
        <v>2853</v>
      </c>
      <c r="K57" s="188" t="s">
        <v>2853</v>
      </c>
    </row>
    <row r="58" spans="1:11" x14ac:dyDescent="0.25">
      <c r="B58" s="27"/>
      <c r="D58" s="27"/>
      <c r="E58" s="29"/>
      <c r="F58" s="30"/>
      <c r="H58" s="31"/>
      <c r="I58" s="170" t="s">
        <v>2842</v>
      </c>
      <c r="J58" t="s">
        <v>2853</v>
      </c>
      <c r="K58" s="188" t="s">
        <v>2853</v>
      </c>
    </row>
    <row r="59" spans="1:11" x14ac:dyDescent="0.25">
      <c r="A59" t="s">
        <v>4824</v>
      </c>
      <c r="B59" s="27" t="s">
        <v>42</v>
      </c>
      <c r="D59" s="27" t="s">
        <v>83</v>
      </c>
      <c r="E59" s="29" t="s">
        <v>19</v>
      </c>
      <c r="F59" s="30">
        <v>30</v>
      </c>
      <c r="G59" s="31">
        <v>3</v>
      </c>
      <c r="H59" s="31">
        <f t="shared" ref="H59:H60" si="13">+F59*G59</f>
        <v>90</v>
      </c>
      <c r="I59" s="170" t="s">
        <v>2842</v>
      </c>
      <c r="J59" t="s">
        <v>2853</v>
      </c>
      <c r="K59" s="188" t="s">
        <v>2853</v>
      </c>
    </row>
    <row r="60" spans="1:11" x14ac:dyDescent="0.25">
      <c r="A60" t="s">
        <v>4825</v>
      </c>
      <c r="B60" s="27" t="s">
        <v>85</v>
      </c>
      <c r="D60" s="27" t="s">
        <v>83</v>
      </c>
      <c r="E60" s="29" t="s">
        <v>21</v>
      </c>
      <c r="F60" s="30">
        <v>30</v>
      </c>
      <c r="G60" s="31">
        <v>3.01</v>
      </c>
      <c r="H60" s="31">
        <f t="shared" si="13"/>
        <v>90.3</v>
      </c>
      <c r="I60" s="170" t="s">
        <v>2842</v>
      </c>
      <c r="J60" t="s">
        <v>2853</v>
      </c>
      <c r="K60" s="188" t="s">
        <v>2853</v>
      </c>
    </row>
    <row r="61" spans="1:11" x14ac:dyDescent="0.25">
      <c r="B61" s="27"/>
      <c r="C61" s="35"/>
      <c r="D61" s="28"/>
      <c r="E61" s="36"/>
      <c r="F61" s="30"/>
      <c r="H61" s="31"/>
      <c r="I61" s="170" t="s">
        <v>2842</v>
      </c>
      <c r="J61" t="s">
        <v>2853</v>
      </c>
      <c r="K61" s="188" t="s">
        <v>2853</v>
      </c>
    </row>
    <row r="62" spans="1:11" x14ac:dyDescent="0.35">
      <c r="A62" t="s">
        <v>4826</v>
      </c>
      <c r="B62" s="27" t="s">
        <v>67</v>
      </c>
      <c r="C62" s="35"/>
      <c r="D62" s="28" t="s">
        <v>86</v>
      </c>
      <c r="E62" s="29" t="s">
        <v>19</v>
      </c>
      <c r="F62" s="30">
        <v>12</v>
      </c>
      <c r="G62" s="31">
        <v>23.09</v>
      </c>
      <c r="H62" s="31">
        <f t="shared" ref="H62:H63" si="14">+F62*G62</f>
        <v>277.08</v>
      </c>
      <c r="I62" s="170"/>
      <c r="J62" s="256" t="s">
        <v>8330</v>
      </c>
      <c r="K62" s="259">
        <v>45237</v>
      </c>
    </row>
    <row r="63" spans="1:11" x14ac:dyDescent="0.35">
      <c r="A63" t="s">
        <v>4827</v>
      </c>
      <c r="B63" s="27" t="s">
        <v>68</v>
      </c>
      <c r="C63" s="35"/>
      <c r="D63" s="28" t="s">
        <v>86</v>
      </c>
      <c r="E63" s="29" t="s">
        <v>21</v>
      </c>
      <c r="F63" s="30">
        <v>12</v>
      </c>
      <c r="G63" s="31">
        <v>20.47</v>
      </c>
      <c r="H63" s="31">
        <f t="shared" si="14"/>
        <v>245.64</v>
      </c>
      <c r="I63" s="170" t="s">
        <v>2842</v>
      </c>
      <c r="J63" s="256" t="s">
        <v>8306</v>
      </c>
      <c r="K63" s="259">
        <v>45181</v>
      </c>
    </row>
    <row r="64" spans="1:11" x14ac:dyDescent="0.25">
      <c r="B64" s="29"/>
      <c r="C64" s="36"/>
      <c r="D64" s="29"/>
      <c r="E64" s="36"/>
      <c r="F64" s="30"/>
      <c r="H64" s="31"/>
      <c r="I64" s="170" t="s">
        <v>2842</v>
      </c>
      <c r="J64" t="s">
        <v>2853</v>
      </c>
      <c r="K64" s="188" t="s">
        <v>2853</v>
      </c>
    </row>
    <row r="65" spans="1:11" x14ac:dyDescent="0.25">
      <c r="A65" t="s">
        <v>4828</v>
      </c>
      <c r="B65" s="27" t="s">
        <v>32</v>
      </c>
      <c r="C65" s="35"/>
      <c r="D65" s="27" t="s">
        <v>87</v>
      </c>
      <c r="E65" s="29" t="s">
        <v>19</v>
      </c>
      <c r="F65" s="30">
        <v>200</v>
      </c>
      <c r="G65" s="31">
        <v>1.73</v>
      </c>
      <c r="H65" s="31">
        <f t="shared" ref="H65:H80" si="15">+F65*G65</f>
        <v>346</v>
      </c>
      <c r="I65" s="170" t="s">
        <v>2842</v>
      </c>
      <c r="J65" t="s">
        <v>2853</v>
      </c>
      <c r="K65" s="188" t="s">
        <v>2853</v>
      </c>
    </row>
    <row r="66" spans="1:11" x14ac:dyDescent="0.25">
      <c r="A66" t="s">
        <v>4829</v>
      </c>
      <c r="B66" s="27" t="s">
        <v>88</v>
      </c>
      <c r="C66" s="35"/>
      <c r="D66" s="27" t="s">
        <v>87</v>
      </c>
      <c r="E66" s="29" t="s">
        <v>21</v>
      </c>
      <c r="F66" s="30">
        <v>200</v>
      </c>
      <c r="G66" s="31">
        <v>1.73</v>
      </c>
      <c r="H66" s="31">
        <f t="shared" si="15"/>
        <v>346</v>
      </c>
      <c r="I66" s="170" t="s">
        <v>2842</v>
      </c>
      <c r="J66" t="s">
        <v>2853</v>
      </c>
      <c r="K66" s="188" t="s">
        <v>2853</v>
      </c>
    </row>
    <row r="67" spans="1:11" x14ac:dyDescent="0.25">
      <c r="B67" s="27"/>
      <c r="D67" s="27"/>
      <c r="E67" s="29"/>
      <c r="F67" s="30"/>
      <c r="G67" s="31"/>
      <c r="H67" s="31"/>
      <c r="I67" s="170"/>
      <c r="J67" t="s">
        <v>2853</v>
      </c>
      <c r="K67" s="188" t="s">
        <v>2853</v>
      </c>
    </row>
    <row r="68" spans="1:11" x14ac:dyDescent="0.25">
      <c r="B68" s="27" t="s">
        <v>7714</v>
      </c>
      <c r="D68" s="27" t="s">
        <v>7715</v>
      </c>
      <c r="E68" s="29" t="s">
        <v>1701</v>
      </c>
      <c r="F68" s="30">
        <v>6</v>
      </c>
      <c r="G68" s="31">
        <v>24</v>
      </c>
      <c r="H68" s="31">
        <f t="shared" si="15"/>
        <v>144</v>
      </c>
      <c r="I68" s="170" t="s">
        <v>2842</v>
      </c>
      <c r="J68" t="s">
        <v>2853</v>
      </c>
      <c r="K68" s="188" t="s">
        <v>2853</v>
      </c>
    </row>
    <row r="69" spans="1:11" x14ac:dyDescent="0.25">
      <c r="B69" s="27" t="s">
        <v>7716</v>
      </c>
      <c r="D69" s="27" t="s">
        <v>7717</v>
      </c>
      <c r="E69" s="29" t="s">
        <v>1699</v>
      </c>
      <c r="F69" s="30">
        <v>6</v>
      </c>
      <c r="G69" s="31">
        <v>24</v>
      </c>
      <c r="H69" s="31">
        <f t="shared" si="15"/>
        <v>144</v>
      </c>
      <c r="I69" s="170" t="s">
        <v>2842</v>
      </c>
      <c r="J69" t="s">
        <v>2853</v>
      </c>
      <c r="K69" s="188" t="s">
        <v>2853</v>
      </c>
    </row>
    <row r="70" spans="1:11" x14ac:dyDescent="0.25">
      <c r="B70" s="27" t="s">
        <v>7718</v>
      </c>
      <c r="D70" s="27" t="s">
        <v>7719</v>
      </c>
      <c r="E70" s="29" t="s">
        <v>1703</v>
      </c>
      <c r="F70" s="30">
        <v>6</v>
      </c>
      <c r="G70" s="31">
        <v>24</v>
      </c>
      <c r="H70" s="31">
        <f t="shared" si="15"/>
        <v>144</v>
      </c>
      <c r="I70" s="170" t="s">
        <v>2842</v>
      </c>
      <c r="J70" t="s">
        <v>2853</v>
      </c>
      <c r="K70" s="188" t="s">
        <v>2853</v>
      </c>
    </row>
    <row r="71" spans="1:11" x14ac:dyDescent="0.25">
      <c r="B71" s="27"/>
      <c r="D71" s="27"/>
      <c r="E71" s="29"/>
      <c r="F71" s="30"/>
      <c r="G71" s="31"/>
      <c r="H71" s="31"/>
      <c r="I71" s="170"/>
      <c r="J71" t="s">
        <v>2853</v>
      </c>
      <c r="K71" s="188" t="s">
        <v>2853</v>
      </c>
    </row>
    <row r="72" spans="1:11" x14ac:dyDescent="0.25">
      <c r="B72" s="27" t="s">
        <v>7720</v>
      </c>
      <c r="D72" s="27" t="s">
        <v>7721</v>
      </c>
      <c r="E72" s="29" t="s">
        <v>59</v>
      </c>
      <c r="F72" s="30">
        <v>30</v>
      </c>
      <c r="G72" s="31">
        <v>3.4</v>
      </c>
      <c r="H72" s="31">
        <f t="shared" si="15"/>
        <v>102</v>
      </c>
      <c r="I72" s="170"/>
      <c r="J72" t="s">
        <v>2853</v>
      </c>
      <c r="K72" s="188" t="s">
        <v>2853</v>
      </c>
    </row>
    <row r="73" spans="1:11" x14ac:dyDescent="0.25">
      <c r="B73" s="27" t="s">
        <v>7722</v>
      </c>
      <c r="D73" s="27" t="s">
        <v>7723</v>
      </c>
      <c r="E73" s="29" t="s">
        <v>19</v>
      </c>
      <c r="F73" s="30">
        <v>30</v>
      </c>
      <c r="G73" s="31">
        <v>3.2</v>
      </c>
      <c r="H73" s="31">
        <f t="shared" si="15"/>
        <v>96</v>
      </c>
      <c r="I73" s="170" t="s">
        <v>2842</v>
      </c>
      <c r="J73" t="s">
        <v>2853</v>
      </c>
      <c r="K73" s="188" t="s">
        <v>2853</v>
      </c>
    </row>
    <row r="74" spans="1:11" x14ac:dyDescent="0.25">
      <c r="B74" s="27" t="s">
        <v>7724</v>
      </c>
      <c r="D74" s="27" t="s">
        <v>7725</v>
      </c>
      <c r="E74" s="29" t="s">
        <v>21</v>
      </c>
      <c r="F74" s="30">
        <v>30</v>
      </c>
      <c r="G74" s="31">
        <v>3.2</v>
      </c>
      <c r="H74" s="31">
        <f t="shared" si="15"/>
        <v>96</v>
      </c>
      <c r="I74" s="170" t="s">
        <v>2842</v>
      </c>
      <c r="J74" t="s">
        <v>2853</v>
      </c>
      <c r="K74" s="188" t="s">
        <v>2853</v>
      </c>
    </row>
    <row r="75" spans="1:11" x14ac:dyDescent="0.25">
      <c r="B75" s="27" t="s">
        <v>7726</v>
      </c>
      <c r="D75" s="27" t="s">
        <v>7727</v>
      </c>
      <c r="E75" s="29" t="s">
        <v>563</v>
      </c>
      <c r="F75" s="30">
        <v>30</v>
      </c>
      <c r="G75" s="31">
        <v>3.8</v>
      </c>
      <c r="H75" s="31">
        <f t="shared" si="15"/>
        <v>114</v>
      </c>
      <c r="I75" s="170" t="s">
        <v>2842</v>
      </c>
      <c r="J75" t="s">
        <v>2853</v>
      </c>
      <c r="K75" s="188" t="s">
        <v>2853</v>
      </c>
    </row>
    <row r="76" spans="1:11" x14ac:dyDescent="0.25">
      <c r="B76" s="27" t="s">
        <v>7728</v>
      </c>
      <c r="D76" s="27" t="s">
        <v>7729</v>
      </c>
      <c r="E76" s="29" t="s">
        <v>4633</v>
      </c>
      <c r="F76" s="30">
        <v>30</v>
      </c>
      <c r="G76" s="31">
        <v>3.4</v>
      </c>
      <c r="H76" s="31">
        <f t="shared" si="15"/>
        <v>102</v>
      </c>
      <c r="I76" s="170"/>
      <c r="J76" t="s">
        <v>2853</v>
      </c>
      <c r="K76" s="188" t="s">
        <v>2853</v>
      </c>
    </row>
    <row r="77" spans="1:11" x14ac:dyDescent="0.25">
      <c r="B77" s="27" t="s">
        <v>7730</v>
      </c>
      <c r="D77" s="27" t="s">
        <v>7731</v>
      </c>
      <c r="E77" s="29" t="s">
        <v>671</v>
      </c>
      <c r="F77" s="30">
        <v>30</v>
      </c>
      <c r="G77" s="31">
        <v>3.8</v>
      </c>
      <c r="H77" s="31">
        <f t="shared" si="15"/>
        <v>114</v>
      </c>
      <c r="I77" s="170" t="s">
        <v>2842</v>
      </c>
      <c r="J77" t="s">
        <v>2853</v>
      </c>
      <c r="K77" s="188" t="s">
        <v>2853</v>
      </c>
    </row>
    <row r="78" spans="1:11" x14ac:dyDescent="0.25">
      <c r="B78" s="27"/>
      <c r="C78" s="35"/>
      <c r="D78" s="27"/>
      <c r="E78" s="29"/>
      <c r="F78" s="30"/>
      <c r="G78" s="31"/>
      <c r="H78" s="31"/>
      <c r="J78" t="s">
        <v>2853</v>
      </c>
      <c r="K78" s="188" t="s">
        <v>2853</v>
      </c>
    </row>
    <row r="79" spans="1:11" x14ac:dyDescent="0.25">
      <c r="B79" s="27" t="s">
        <v>7410</v>
      </c>
      <c r="C79" s="35"/>
      <c r="D79" s="27" t="s">
        <v>7411</v>
      </c>
      <c r="E79" s="29" t="s">
        <v>19</v>
      </c>
      <c r="F79" s="30">
        <v>100</v>
      </c>
      <c r="G79" s="31">
        <v>2.4500000000000002</v>
      </c>
      <c r="H79" s="31">
        <f t="shared" si="15"/>
        <v>245.00000000000003</v>
      </c>
      <c r="I79" s="170" t="s">
        <v>2842</v>
      </c>
      <c r="J79" t="s">
        <v>2853</v>
      </c>
      <c r="K79" s="188" t="s">
        <v>2853</v>
      </c>
    </row>
    <row r="80" spans="1:11" x14ac:dyDescent="0.25">
      <c r="B80" s="27" t="s">
        <v>7412</v>
      </c>
      <c r="C80" s="35"/>
      <c r="D80" s="27" t="s">
        <v>7413</v>
      </c>
      <c r="E80" s="29" t="s">
        <v>21</v>
      </c>
      <c r="F80" s="30">
        <v>100</v>
      </c>
      <c r="G80" s="31">
        <v>2.4500000000000002</v>
      </c>
      <c r="H80" s="31">
        <f t="shared" si="15"/>
        <v>245.00000000000003</v>
      </c>
      <c r="I80" s="170" t="s">
        <v>2842</v>
      </c>
      <c r="J80" t="s">
        <v>2853</v>
      </c>
      <c r="K80" s="188" t="s">
        <v>2853</v>
      </c>
    </row>
    <row r="81" spans="1:11" x14ac:dyDescent="0.25">
      <c r="B81" s="27"/>
      <c r="C81" s="27"/>
      <c r="D81" s="28"/>
      <c r="E81" s="29"/>
      <c r="F81" s="30"/>
      <c r="H81" s="31"/>
      <c r="I81" s="170" t="s">
        <v>2842</v>
      </c>
      <c r="J81" t="s">
        <v>2853</v>
      </c>
      <c r="K81" s="188" t="s">
        <v>2853</v>
      </c>
    </row>
    <row r="82" spans="1:11" ht="30" x14ac:dyDescent="0.4">
      <c r="B82" s="173" t="s">
        <v>89</v>
      </c>
      <c r="C82" s="25"/>
      <c r="D82" s="25"/>
      <c r="E82" s="25"/>
      <c r="F82" s="25"/>
      <c r="G82" s="25"/>
      <c r="H82" s="25"/>
      <c r="I82" s="170" t="s">
        <v>2842</v>
      </c>
      <c r="J82" t="s">
        <v>2853</v>
      </c>
      <c r="K82" s="188" t="s">
        <v>2853</v>
      </c>
    </row>
    <row r="83" spans="1:11" x14ac:dyDescent="0.25">
      <c r="B83" s="27"/>
      <c r="C83" s="27"/>
      <c r="D83" s="28"/>
      <c r="E83" s="29"/>
      <c r="F83" s="30"/>
      <c r="H83" s="31"/>
      <c r="J83" t="s">
        <v>2853</v>
      </c>
      <c r="K83" s="188" t="s">
        <v>2853</v>
      </c>
    </row>
    <row r="84" spans="1:11" x14ac:dyDescent="0.25">
      <c r="A84" t="s">
        <v>4830</v>
      </c>
      <c r="B84" s="27" t="s">
        <v>90</v>
      </c>
      <c r="D84" s="28" t="s">
        <v>91</v>
      </c>
      <c r="E84" s="29" t="s">
        <v>13</v>
      </c>
      <c r="F84" s="30">
        <v>12</v>
      </c>
      <c r="G84" s="31">
        <v>23.91</v>
      </c>
      <c r="H84" s="31">
        <f t="shared" ref="H84" si="16">+F84*G84</f>
        <v>286.92</v>
      </c>
      <c r="I84" s="170" t="s">
        <v>2842</v>
      </c>
      <c r="J84" t="s">
        <v>2853</v>
      </c>
      <c r="K84" s="188" t="s">
        <v>2853</v>
      </c>
    </row>
    <row r="85" spans="1:11" x14ac:dyDescent="0.25">
      <c r="B85" s="27"/>
      <c r="C85" s="27"/>
      <c r="D85" s="28"/>
      <c r="E85" s="29"/>
      <c r="F85" s="30"/>
      <c r="G85" s="30"/>
      <c r="H85" s="31"/>
      <c r="J85" t="s">
        <v>2853</v>
      </c>
      <c r="K85" s="188" t="s">
        <v>2853</v>
      </c>
    </row>
    <row r="86" spans="1:11" x14ac:dyDescent="0.25">
      <c r="A86" t="s">
        <v>4831</v>
      </c>
      <c r="B86" s="27" t="s">
        <v>92</v>
      </c>
      <c r="D86" s="28" t="s">
        <v>93</v>
      </c>
      <c r="E86" s="29" t="s">
        <v>13</v>
      </c>
      <c r="F86" s="30">
        <v>12</v>
      </c>
      <c r="G86" s="31">
        <v>22.42</v>
      </c>
      <c r="H86" s="31">
        <f t="shared" ref="H86" si="17">+F86*G86</f>
        <v>269.04000000000002</v>
      </c>
      <c r="I86" s="170" t="s">
        <v>2842</v>
      </c>
      <c r="J86" t="s">
        <v>2853</v>
      </c>
      <c r="K86" s="188" t="s">
        <v>2853</v>
      </c>
    </row>
    <row r="87" spans="1:11" x14ac:dyDescent="0.25">
      <c r="B87" s="27"/>
      <c r="C87" s="27"/>
      <c r="D87" s="28"/>
      <c r="E87" s="29"/>
      <c r="F87" s="30"/>
      <c r="G87" s="30"/>
      <c r="H87" s="31"/>
      <c r="J87" t="s">
        <v>2853</v>
      </c>
      <c r="K87" s="188" t="s">
        <v>2853</v>
      </c>
    </row>
    <row r="88" spans="1:11" x14ac:dyDescent="0.25">
      <c r="A88" t="s">
        <v>4832</v>
      </c>
      <c r="B88" s="27" t="s">
        <v>94</v>
      </c>
      <c r="D88" s="28" t="s">
        <v>95</v>
      </c>
      <c r="E88" s="29" t="s">
        <v>13</v>
      </c>
      <c r="F88" s="30">
        <v>18</v>
      </c>
      <c r="G88" s="31">
        <v>19.649999999999999</v>
      </c>
      <c r="H88" s="31">
        <f t="shared" ref="H88" si="18">+F88*G88</f>
        <v>353.7</v>
      </c>
      <c r="I88" s="170" t="s">
        <v>2842</v>
      </c>
      <c r="J88" t="s">
        <v>2853</v>
      </c>
      <c r="K88" s="188" t="s">
        <v>2853</v>
      </c>
    </row>
    <row r="89" spans="1:11" x14ac:dyDescent="0.25">
      <c r="B89" s="27"/>
      <c r="C89" s="27"/>
      <c r="D89" s="28"/>
      <c r="E89" s="28"/>
      <c r="F89" s="30"/>
      <c r="G89" s="30"/>
      <c r="H89" s="31"/>
      <c r="J89" t="s">
        <v>2853</v>
      </c>
      <c r="K89" s="188" t="s">
        <v>2853</v>
      </c>
    </row>
    <row r="90" spans="1:11" x14ac:dyDescent="0.25">
      <c r="A90" t="s">
        <v>4833</v>
      </c>
      <c r="B90" s="27" t="s">
        <v>96</v>
      </c>
      <c r="D90" s="28" t="s">
        <v>97</v>
      </c>
      <c r="E90" s="29" t="s">
        <v>13</v>
      </c>
      <c r="F90" s="30">
        <v>12</v>
      </c>
      <c r="G90" s="31">
        <v>26.62</v>
      </c>
      <c r="H90" s="31">
        <f t="shared" ref="H90" si="19">+F90*G90</f>
        <v>319.44</v>
      </c>
      <c r="I90" s="170" t="s">
        <v>2842</v>
      </c>
      <c r="J90" t="s">
        <v>2853</v>
      </c>
      <c r="K90" s="188" t="s">
        <v>2853</v>
      </c>
    </row>
    <row r="91" spans="1:11" x14ac:dyDescent="0.25">
      <c r="B91" s="27"/>
      <c r="C91" s="27"/>
      <c r="D91" s="28"/>
      <c r="E91" s="29"/>
      <c r="F91" s="30"/>
      <c r="G91" s="30"/>
      <c r="H91" s="31"/>
      <c r="J91" t="s">
        <v>2853</v>
      </c>
      <c r="K91" s="188" t="s">
        <v>2853</v>
      </c>
    </row>
    <row r="92" spans="1:11" x14ac:dyDescent="0.25">
      <c r="A92" t="s">
        <v>4834</v>
      </c>
      <c r="B92" s="27" t="s">
        <v>98</v>
      </c>
      <c r="D92" s="28" t="s">
        <v>99</v>
      </c>
      <c r="E92" s="29" t="s">
        <v>13</v>
      </c>
      <c r="F92" s="30">
        <v>12</v>
      </c>
      <c r="G92" s="31">
        <v>27.43</v>
      </c>
      <c r="H92" s="31">
        <f t="shared" ref="H92" si="20">+F92*G92</f>
        <v>329.15999999999997</v>
      </c>
      <c r="I92" s="170" t="s">
        <v>2842</v>
      </c>
      <c r="J92" t="s">
        <v>2853</v>
      </c>
      <c r="K92" s="188" t="s">
        <v>2853</v>
      </c>
    </row>
    <row r="93" spans="1:11" x14ac:dyDescent="0.25">
      <c r="B93" s="27"/>
      <c r="C93" s="27"/>
      <c r="D93" s="28"/>
      <c r="E93" s="29"/>
      <c r="F93" s="30"/>
      <c r="G93" s="30"/>
      <c r="H93" s="31"/>
      <c r="J93" t="s">
        <v>2853</v>
      </c>
      <c r="K93" s="188" t="s">
        <v>2853</v>
      </c>
    </row>
    <row r="94" spans="1:11" x14ac:dyDescent="0.25">
      <c r="A94" t="s">
        <v>4835</v>
      </c>
      <c r="B94" s="27" t="s">
        <v>100</v>
      </c>
      <c r="D94" s="28" t="s">
        <v>101</v>
      </c>
      <c r="E94" s="29" t="s">
        <v>13</v>
      </c>
      <c r="F94" s="30">
        <v>12</v>
      </c>
      <c r="G94" s="31">
        <v>25.97</v>
      </c>
      <c r="H94" s="31">
        <f t="shared" ref="H94" si="21">+F94*G94</f>
        <v>311.64</v>
      </c>
      <c r="I94" s="170" t="s">
        <v>2842</v>
      </c>
      <c r="J94" t="s">
        <v>2853</v>
      </c>
      <c r="K94" s="188" t="s">
        <v>2853</v>
      </c>
    </row>
    <row r="95" spans="1:11" x14ac:dyDescent="0.25">
      <c r="B95" s="27"/>
      <c r="C95" s="27"/>
      <c r="D95" s="28"/>
      <c r="E95" s="29"/>
      <c r="F95" s="30"/>
      <c r="G95" s="30"/>
      <c r="H95" s="31"/>
      <c r="J95" t="s">
        <v>2853</v>
      </c>
      <c r="K95" s="188" t="s">
        <v>2853</v>
      </c>
    </row>
    <row r="96" spans="1:11" x14ac:dyDescent="0.25">
      <c r="A96" t="s">
        <v>4836</v>
      </c>
      <c r="B96" s="27" t="s">
        <v>102</v>
      </c>
      <c r="D96" s="28" t="s">
        <v>103</v>
      </c>
      <c r="E96" s="29" t="s">
        <v>13</v>
      </c>
      <c r="F96" s="30">
        <v>18</v>
      </c>
      <c r="G96" s="31">
        <v>19.62</v>
      </c>
      <c r="H96" s="31">
        <f t="shared" ref="H96" si="22">+F96*G96</f>
        <v>353.16</v>
      </c>
      <c r="I96" s="170" t="s">
        <v>2842</v>
      </c>
      <c r="J96" t="s">
        <v>2853</v>
      </c>
      <c r="K96" s="188" t="s">
        <v>2853</v>
      </c>
    </row>
    <row r="97" spans="1:11" x14ac:dyDescent="0.25">
      <c r="B97" s="27"/>
      <c r="C97" s="27"/>
      <c r="D97" s="28"/>
      <c r="E97" s="28"/>
      <c r="F97" s="30"/>
      <c r="G97" s="30"/>
      <c r="H97" s="31"/>
      <c r="J97" t="s">
        <v>2853</v>
      </c>
      <c r="K97" s="188" t="s">
        <v>2853</v>
      </c>
    </row>
    <row r="98" spans="1:11" x14ac:dyDescent="0.25">
      <c r="A98" t="s">
        <v>4837</v>
      </c>
      <c r="B98" s="27" t="s">
        <v>104</v>
      </c>
      <c r="D98" s="28" t="s">
        <v>105</v>
      </c>
      <c r="E98" s="29" t="s">
        <v>13</v>
      </c>
      <c r="F98" s="30">
        <v>12</v>
      </c>
      <c r="G98" s="31">
        <v>30.2</v>
      </c>
      <c r="H98" s="31">
        <f t="shared" ref="H98" si="23">+F98*G98</f>
        <v>362.4</v>
      </c>
      <c r="I98" s="170" t="s">
        <v>2842</v>
      </c>
      <c r="J98" t="s">
        <v>2853</v>
      </c>
      <c r="K98" s="188" t="s">
        <v>2853</v>
      </c>
    </row>
    <row r="99" spans="1:11" x14ac:dyDescent="0.25">
      <c r="B99" s="27"/>
      <c r="C99" s="27"/>
      <c r="D99" s="28"/>
      <c r="E99" s="29"/>
      <c r="F99" s="30"/>
      <c r="G99" s="30"/>
      <c r="H99" s="31"/>
      <c r="J99" t="s">
        <v>2853</v>
      </c>
      <c r="K99" s="188" t="s">
        <v>2853</v>
      </c>
    </row>
    <row r="100" spans="1:11" x14ac:dyDescent="0.25">
      <c r="A100" t="s">
        <v>4838</v>
      </c>
      <c r="B100" s="27" t="s">
        <v>106</v>
      </c>
      <c r="D100" s="28" t="s">
        <v>107</v>
      </c>
      <c r="E100" s="29" t="s">
        <v>13</v>
      </c>
      <c r="F100" s="30">
        <v>12</v>
      </c>
      <c r="G100" s="31">
        <v>34.549999999999997</v>
      </c>
      <c r="H100" s="31">
        <f t="shared" ref="H100" si="24">+F100*G100</f>
        <v>414.59999999999997</v>
      </c>
      <c r="J100" t="s">
        <v>2853</v>
      </c>
      <c r="K100" s="188" t="s">
        <v>2853</v>
      </c>
    </row>
    <row r="101" spans="1:11" x14ac:dyDescent="0.25">
      <c r="B101" s="27"/>
      <c r="C101" s="27"/>
      <c r="D101" s="28"/>
      <c r="E101" s="29"/>
      <c r="F101" s="30"/>
      <c r="G101" s="30"/>
      <c r="H101" s="31"/>
      <c r="J101" t="s">
        <v>2853</v>
      </c>
      <c r="K101" s="188" t="s">
        <v>2853</v>
      </c>
    </row>
    <row r="102" spans="1:11" x14ac:dyDescent="0.25">
      <c r="A102" t="s">
        <v>4839</v>
      </c>
      <c r="B102" s="27" t="s">
        <v>108</v>
      </c>
      <c r="D102" s="28" t="s">
        <v>109</v>
      </c>
      <c r="E102" s="29" t="s">
        <v>13</v>
      </c>
      <c r="F102" s="30">
        <v>12</v>
      </c>
      <c r="G102" s="31">
        <v>32.380000000000003</v>
      </c>
      <c r="H102" s="31">
        <f t="shared" ref="H102" si="25">+F102*G102</f>
        <v>388.56000000000006</v>
      </c>
      <c r="I102" s="170" t="s">
        <v>2842</v>
      </c>
      <c r="J102" t="s">
        <v>2853</v>
      </c>
      <c r="K102" s="188" t="s">
        <v>2853</v>
      </c>
    </row>
    <row r="103" spans="1:11" x14ac:dyDescent="0.25">
      <c r="B103" s="27"/>
      <c r="C103" s="27"/>
      <c r="D103" s="28"/>
      <c r="E103" s="29"/>
      <c r="F103" s="30"/>
      <c r="G103" s="30"/>
      <c r="H103" s="31"/>
      <c r="I103" s="170" t="s">
        <v>2842</v>
      </c>
      <c r="J103" t="s">
        <v>2853</v>
      </c>
      <c r="K103" s="188" t="s">
        <v>2853</v>
      </c>
    </row>
    <row r="104" spans="1:11" x14ac:dyDescent="0.25">
      <c r="A104" t="s">
        <v>4840</v>
      </c>
      <c r="B104" s="27" t="s">
        <v>111</v>
      </c>
      <c r="D104" s="28" t="s">
        <v>112</v>
      </c>
      <c r="E104" s="29" t="s">
        <v>13</v>
      </c>
      <c r="F104" s="30">
        <v>12</v>
      </c>
      <c r="G104" s="31">
        <v>37.299999999999997</v>
      </c>
      <c r="H104" s="31">
        <f t="shared" ref="H104" si="26">+F104*G104</f>
        <v>447.59999999999997</v>
      </c>
      <c r="J104" t="s">
        <v>2853</v>
      </c>
      <c r="K104" s="188" t="s">
        <v>2853</v>
      </c>
    </row>
    <row r="105" spans="1:11" x14ac:dyDescent="0.25">
      <c r="B105" s="27"/>
      <c r="C105" s="27"/>
      <c r="D105" s="28"/>
      <c r="E105" s="29"/>
      <c r="F105" s="30"/>
      <c r="G105" s="30"/>
      <c r="H105" s="31"/>
      <c r="I105" s="170" t="s">
        <v>2842</v>
      </c>
      <c r="J105" t="s">
        <v>2853</v>
      </c>
      <c r="K105" s="188" t="s">
        <v>2853</v>
      </c>
    </row>
    <row r="106" spans="1:11" x14ac:dyDescent="0.25">
      <c r="I106" s="170" t="s">
        <v>2842</v>
      </c>
      <c r="J106" t="s">
        <v>2853</v>
      </c>
      <c r="K106" s="188" t="s">
        <v>2853</v>
      </c>
    </row>
    <row r="107" spans="1:11" ht="30" x14ac:dyDescent="0.4">
      <c r="B107" s="173" t="s">
        <v>114</v>
      </c>
      <c r="C107" s="32"/>
      <c r="D107" s="32"/>
      <c r="E107" s="32"/>
      <c r="F107" s="32"/>
      <c r="G107" s="32"/>
      <c r="H107" s="32"/>
      <c r="J107" t="s">
        <v>2853</v>
      </c>
      <c r="K107" s="188" t="s">
        <v>2853</v>
      </c>
    </row>
    <row r="108" spans="1:11" x14ac:dyDescent="0.25">
      <c r="I108" s="170" t="s">
        <v>2842</v>
      </c>
      <c r="J108" t="s">
        <v>2853</v>
      </c>
      <c r="K108" s="188" t="s">
        <v>2853</v>
      </c>
    </row>
    <row r="109" spans="1:11" x14ac:dyDescent="0.25">
      <c r="A109" t="s">
        <v>4841</v>
      </c>
      <c r="B109" s="27" t="s">
        <v>117</v>
      </c>
      <c r="C109" s="38"/>
      <c r="D109" s="28" t="s">
        <v>118</v>
      </c>
      <c r="E109" s="29" t="s">
        <v>19</v>
      </c>
      <c r="F109" s="30">
        <v>25</v>
      </c>
      <c r="G109" s="31">
        <v>5.55</v>
      </c>
      <c r="H109" s="31">
        <f t="shared" ref="H109:H110" si="27">+F109*G109</f>
        <v>138.75</v>
      </c>
      <c r="I109" s="170" t="s">
        <v>2842</v>
      </c>
      <c r="J109" t="s">
        <v>2853</v>
      </c>
      <c r="K109" s="188" t="s">
        <v>2853</v>
      </c>
    </row>
    <row r="110" spans="1:11" x14ac:dyDescent="0.25">
      <c r="A110" t="s">
        <v>4842</v>
      </c>
      <c r="B110" s="27" t="s">
        <v>110</v>
      </c>
      <c r="D110" s="28" t="s">
        <v>118</v>
      </c>
      <c r="E110" s="29" t="s">
        <v>13</v>
      </c>
      <c r="F110" s="30">
        <v>25</v>
      </c>
      <c r="G110" s="31">
        <v>4.88</v>
      </c>
      <c r="H110" s="31">
        <f t="shared" si="27"/>
        <v>122</v>
      </c>
      <c r="I110" s="170" t="s">
        <v>2842</v>
      </c>
      <c r="J110" t="s">
        <v>2853</v>
      </c>
      <c r="K110" s="188" t="s">
        <v>2853</v>
      </c>
    </row>
    <row r="111" spans="1:11" x14ac:dyDescent="0.25">
      <c r="B111" s="27"/>
      <c r="C111" s="27"/>
      <c r="D111" s="28"/>
      <c r="E111" s="29"/>
      <c r="F111" s="30"/>
      <c r="H111" s="31"/>
      <c r="I111" s="170" t="s">
        <v>2842</v>
      </c>
      <c r="J111" t="s">
        <v>2853</v>
      </c>
      <c r="K111" s="188" t="s">
        <v>2853</v>
      </c>
    </row>
    <row r="112" spans="1:11" x14ac:dyDescent="0.25">
      <c r="A112" t="s">
        <v>4843</v>
      </c>
      <c r="B112" s="27" t="s">
        <v>120</v>
      </c>
      <c r="C112" s="38"/>
      <c r="D112" s="28" t="s">
        <v>121</v>
      </c>
      <c r="E112" s="29" t="s">
        <v>19</v>
      </c>
      <c r="F112" s="30">
        <v>25</v>
      </c>
      <c r="G112" s="31">
        <v>7.29</v>
      </c>
      <c r="H112" s="31">
        <f t="shared" ref="H112:H113" si="28">+F112*G112</f>
        <v>182.25</v>
      </c>
      <c r="I112" s="170" t="s">
        <v>2842</v>
      </c>
      <c r="J112" t="s">
        <v>2853</v>
      </c>
      <c r="K112" s="188" t="s">
        <v>2853</v>
      </c>
    </row>
    <row r="113" spans="1:11" x14ac:dyDescent="0.25">
      <c r="A113" t="s">
        <v>4844</v>
      </c>
      <c r="B113" s="27" t="s">
        <v>113</v>
      </c>
      <c r="D113" s="28" t="s">
        <v>121</v>
      </c>
      <c r="E113" s="29" t="s">
        <v>13</v>
      </c>
      <c r="F113" s="30">
        <v>25</v>
      </c>
      <c r="G113" s="31">
        <v>6.38</v>
      </c>
      <c r="H113" s="31">
        <f t="shared" si="28"/>
        <v>159.5</v>
      </c>
      <c r="I113" s="170" t="s">
        <v>2842</v>
      </c>
      <c r="J113" t="s">
        <v>2853</v>
      </c>
      <c r="K113" s="188" t="s">
        <v>2853</v>
      </c>
    </row>
    <row r="114" spans="1:11" x14ac:dyDescent="0.25">
      <c r="B114" s="27"/>
      <c r="D114" s="28"/>
      <c r="E114" s="29"/>
      <c r="I114" s="170" t="s">
        <v>2842</v>
      </c>
      <c r="J114" t="s">
        <v>2853</v>
      </c>
      <c r="K114" s="188" t="s">
        <v>2853</v>
      </c>
    </row>
    <row r="115" spans="1:11" x14ac:dyDescent="0.25">
      <c r="A115" t="s">
        <v>4845</v>
      </c>
      <c r="B115" s="27" t="s">
        <v>115</v>
      </c>
      <c r="C115" s="38"/>
      <c r="D115" s="28" t="s">
        <v>123</v>
      </c>
      <c r="E115" s="29" t="s">
        <v>19</v>
      </c>
      <c r="F115" s="30">
        <v>25</v>
      </c>
      <c r="G115" s="31">
        <v>8.27</v>
      </c>
      <c r="H115" s="31">
        <f t="shared" ref="H115:H116" si="29">+F115*G115</f>
        <v>206.75</v>
      </c>
      <c r="I115" s="170" t="s">
        <v>2842</v>
      </c>
      <c r="J115" t="s">
        <v>2853</v>
      </c>
      <c r="K115" s="188" t="s">
        <v>2853</v>
      </c>
    </row>
    <row r="116" spans="1:11" x14ac:dyDescent="0.25">
      <c r="A116" t="s">
        <v>4846</v>
      </c>
      <c r="B116" s="27" t="s">
        <v>116</v>
      </c>
      <c r="D116" s="28" t="s">
        <v>123</v>
      </c>
      <c r="E116" s="29" t="s">
        <v>13</v>
      </c>
      <c r="F116" s="30">
        <v>25</v>
      </c>
      <c r="G116" s="31">
        <v>7.15</v>
      </c>
      <c r="H116" s="31">
        <f t="shared" si="29"/>
        <v>178.75</v>
      </c>
      <c r="I116" s="170" t="s">
        <v>2842</v>
      </c>
      <c r="J116" t="s">
        <v>2853</v>
      </c>
      <c r="K116" s="188" t="s">
        <v>2853</v>
      </c>
    </row>
    <row r="117" spans="1:11" x14ac:dyDescent="0.25">
      <c r="E117" s="29"/>
      <c r="I117" s="170" t="s">
        <v>2842</v>
      </c>
      <c r="J117" t="s">
        <v>2853</v>
      </c>
      <c r="K117" s="188" t="s">
        <v>2853</v>
      </c>
    </row>
    <row r="118" spans="1:11" x14ac:dyDescent="0.25">
      <c r="A118" t="s">
        <v>4847</v>
      </c>
      <c r="B118" s="27" t="s">
        <v>119</v>
      </c>
      <c r="C118" s="38"/>
      <c r="D118" s="28" t="s">
        <v>125</v>
      </c>
      <c r="E118" s="29" t="s">
        <v>19</v>
      </c>
      <c r="F118" s="30">
        <v>25</v>
      </c>
      <c r="G118" s="31">
        <v>9.94</v>
      </c>
      <c r="H118" s="31">
        <f t="shared" ref="H118:H119" si="30">+F118*G118</f>
        <v>248.5</v>
      </c>
      <c r="I118" s="170" t="s">
        <v>2842</v>
      </c>
      <c r="J118" t="s">
        <v>2853</v>
      </c>
      <c r="K118" s="188" t="s">
        <v>2853</v>
      </c>
    </row>
    <row r="119" spans="1:11" x14ac:dyDescent="0.25">
      <c r="A119" t="s">
        <v>4848</v>
      </c>
      <c r="B119" s="27" t="s">
        <v>122</v>
      </c>
      <c r="D119" s="28" t="s">
        <v>125</v>
      </c>
      <c r="E119" s="29" t="s">
        <v>13</v>
      </c>
      <c r="F119" s="30">
        <v>25</v>
      </c>
      <c r="G119" s="31">
        <v>8.61</v>
      </c>
      <c r="H119" s="31">
        <f t="shared" si="30"/>
        <v>215.25</v>
      </c>
      <c r="I119" s="170" t="s">
        <v>2842</v>
      </c>
      <c r="J119" t="s">
        <v>2853</v>
      </c>
      <c r="K119" s="188" t="s">
        <v>2853</v>
      </c>
    </row>
    <row r="120" spans="1:11" x14ac:dyDescent="0.25">
      <c r="B120" s="27"/>
      <c r="D120" s="28"/>
      <c r="E120" s="29"/>
      <c r="F120" s="30"/>
      <c r="H120" s="31"/>
      <c r="I120" s="170" t="s">
        <v>2842</v>
      </c>
      <c r="J120" t="s">
        <v>2853</v>
      </c>
      <c r="K120" s="188" t="s">
        <v>2853</v>
      </c>
    </row>
    <row r="121" spans="1:11" x14ac:dyDescent="0.25">
      <c r="A121" t="s">
        <v>4849</v>
      </c>
      <c r="B121" s="27" t="s">
        <v>127</v>
      </c>
      <c r="C121" s="38"/>
      <c r="D121" s="28" t="s">
        <v>128</v>
      </c>
      <c r="E121" s="29" t="s">
        <v>19</v>
      </c>
      <c r="F121" s="30">
        <v>25</v>
      </c>
      <c r="G121" s="31">
        <v>11.15</v>
      </c>
      <c r="H121" s="31">
        <f t="shared" ref="H121:H122" si="31">+F121*G121</f>
        <v>278.75</v>
      </c>
      <c r="I121" s="170" t="s">
        <v>2842</v>
      </c>
      <c r="J121" t="s">
        <v>2853</v>
      </c>
      <c r="K121" s="188" t="s">
        <v>2853</v>
      </c>
    </row>
    <row r="122" spans="1:11" x14ac:dyDescent="0.25">
      <c r="A122" t="s">
        <v>4850</v>
      </c>
      <c r="B122" s="27" t="s">
        <v>129</v>
      </c>
      <c r="D122" s="28" t="s">
        <v>128</v>
      </c>
      <c r="E122" s="29" t="s">
        <v>13</v>
      </c>
      <c r="F122" s="30">
        <v>25</v>
      </c>
      <c r="G122" s="31">
        <v>9.48</v>
      </c>
      <c r="H122" s="31">
        <f t="shared" si="31"/>
        <v>237</v>
      </c>
      <c r="I122" s="170" t="s">
        <v>2842</v>
      </c>
      <c r="J122" t="s">
        <v>2853</v>
      </c>
      <c r="K122" s="188" t="s">
        <v>2853</v>
      </c>
    </row>
    <row r="123" spans="1:11" x14ac:dyDescent="0.25">
      <c r="B123" s="27"/>
      <c r="D123" s="28"/>
      <c r="E123" s="29"/>
      <c r="F123" s="30"/>
      <c r="H123" s="31"/>
      <c r="I123" s="170" t="s">
        <v>2842</v>
      </c>
      <c r="J123" t="s">
        <v>2853</v>
      </c>
      <c r="K123" s="188" t="s">
        <v>2853</v>
      </c>
    </row>
    <row r="124" spans="1:11" x14ac:dyDescent="0.35">
      <c r="B124" s="27" t="s">
        <v>130</v>
      </c>
      <c r="C124" s="38"/>
      <c r="D124" s="28" t="s">
        <v>131</v>
      </c>
      <c r="E124" s="29" t="s">
        <v>19</v>
      </c>
      <c r="F124" s="30">
        <v>20</v>
      </c>
      <c r="G124" s="31">
        <v>17.97</v>
      </c>
      <c r="H124" s="31">
        <f t="shared" ref="H124:H125" si="32">+F124*G124</f>
        <v>359.4</v>
      </c>
      <c r="I124" s="170" t="s">
        <v>2842</v>
      </c>
      <c r="J124" s="256" t="s">
        <v>8336</v>
      </c>
      <c r="K124" s="259">
        <v>45260</v>
      </c>
    </row>
    <row r="125" spans="1:11" x14ac:dyDescent="0.35">
      <c r="B125" s="27" t="s">
        <v>132</v>
      </c>
      <c r="C125" s="38"/>
      <c r="D125" s="28" t="s">
        <v>131</v>
      </c>
      <c r="E125" s="29" t="s">
        <v>21</v>
      </c>
      <c r="F125" s="30">
        <v>20</v>
      </c>
      <c r="G125" s="31">
        <v>9.89</v>
      </c>
      <c r="H125" s="31">
        <f t="shared" si="32"/>
        <v>197.8</v>
      </c>
      <c r="J125" s="256" t="s">
        <v>8343</v>
      </c>
      <c r="K125" s="259" t="s">
        <v>8339</v>
      </c>
    </row>
    <row r="126" spans="1:11" x14ac:dyDescent="0.25">
      <c r="B126" s="27"/>
      <c r="D126" s="28"/>
      <c r="E126" s="29"/>
      <c r="F126" s="30"/>
      <c r="H126" s="31"/>
      <c r="J126" t="s">
        <v>2853</v>
      </c>
      <c r="K126" s="188" t="s">
        <v>2853</v>
      </c>
    </row>
    <row r="127" spans="1:11" x14ac:dyDescent="0.25">
      <c r="A127" t="s">
        <v>4851</v>
      </c>
      <c r="B127" s="27" t="s">
        <v>126</v>
      </c>
      <c r="D127" s="28" t="s">
        <v>133</v>
      </c>
      <c r="E127" s="29" t="s">
        <v>19</v>
      </c>
      <c r="F127" s="30">
        <v>50</v>
      </c>
      <c r="G127" s="31">
        <v>0.98</v>
      </c>
      <c r="H127" s="31">
        <f t="shared" ref="H127:H129" si="33">+F127*G127</f>
        <v>49</v>
      </c>
      <c r="I127" s="170" t="s">
        <v>2842</v>
      </c>
      <c r="J127" t="s">
        <v>2853</v>
      </c>
      <c r="K127" s="188" t="s">
        <v>2853</v>
      </c>
    </row>
    <row r="128" spans="1:11" x14ac:dyDescent="0.25">
      <c r="A128" t="s">
        <v>4852</v>
      </c>
      <c r="B128" s="27" t="s">
        <v>124</v>
      </c>
      <c r="D128" s="28" t="s">
        <v>134</v>
      </c>
      <c r="E128" s="29" t="s">
        <v>19</v>
      </c>
      <c r="F128" s="30">
        <v>50</v>
      </c>
      <c r="G128" s="31">
        <v>1.18</v>
      </c>
      <c r="H128" s="31">
        <f t="shared" si="33"/>
        <v>59</v>
      </c>
      <c r="I128" s="170" t="s">
        <v>2842</v>
      </c>
      <c r="J128" t="s">
        <v>2853</v>
      </c>
      <c r="K128" s="188" t="s">
        <v>2853</v>
      </c>
    </row>
    <row r="129" spans="1:11" x14ac:dyDescent="0.25">
      <c r="B129" s="27" t="s">
        <v>137</v>
      </c>
      <c r="D129" s="28" t="s">
        <v>138</v>
      </c>
      <c r="E129" s="29" t="s">
        <v>19</v>
      </c>
      <c r="F129" s="30">
        <v>50</v>
      </c>
      <c r="G129" s="31">
        <v>1.77</v>
      </c>
      <c r="H129" s="31">
        <f t="shared" si="33"/>
        <v>88.5</v>
      </c>
      <c r="I129" s="170" t="s">
        <v>2842</v>
      </c>
      <c r="J129" t="s">
        <v>2853</v>
      </c>
      <c r="K129" s="188" t="s">
        <v>2853</v>
      </c>
    </row>
    <row r="130" spans="1:11" x14ac:dyDescent="0.25">
      <c r="B130" s="27"/>
      <c r="D130" s="28"/>
      <c r="E130" s="29"/>
      <c r="F130" s="30"/>
      <c r="H130" s="31"/>
      <c r="I130" s="170" t="s">
        <v>2842</v>
      </c>
      <c r="J130" t="s">
        <v>2853</v>
      </c>
      <c r="K130" s="188" t="s">
        <v>2853</v>
      </c>
    </row>
    <row r="131" spans="1:11" ht="30" x14ac:dyDescent="0.4">
      <c r="B131" s="171" t="s">
        <v>139</v>
      </c>
      <c r="C131" s="25"/>
      <c r="D131" s="32"/>
      <c r="E131" s="32"/>
      <c r="F131" s="32"/>
      <c r="G131" s="32"/>
      <c r="H131" s="32"/>
      <c r="J131" t="s">
        <v>2853</v>
      </c>
      <c r="K131" s="188" t="s">
        <v>2853</v>
      </c>
    </row>
    <row r="132" spans="1:11" x14ac:dyDescent="0.25">
      <c r="B132" s="27"/>
      <c r="D132" s="28"/>
      <c r="E132" s="29"/>
      <c r="I132" s="170" t="s">
        <v>2842</v>
      </c>
      <c r="J132" t="s">
        <v>2853</v>
      </c>
      <c r="K132" s="188" t="s">
        <v>2853</v>
      </c>
    </row>
    <row r="133" spans="1:11" x14ac:dyDescent="0.25">
      <c r="A133" t="s">
        <v>4853</v>
      </c>
      <c r="B133" s="40" t="s">
        <v>141</v>
      </c>
      <c r="D133" s="28" t="s">
        <v>2894</v>
      </c>
      <c r="E133" s="29" t="s">
        <v>19</v>
      </c>
      <c r="F133" s="30">
        <v>20</v>
      </c>
      <c r="G133" s="31">
        <v>1.9</v>
      </c>
      <c r="H133" s="31">
        <f t="shared" ref="H133:H134" si="34">+F133*G133</f>
        <v>38</v>
      </c>
      <c r="I133" s="170" t="s">
        <v>2842</v>
      </c>
      <c r="J133" t="s">
        <v>2853</v>
      </c>
      <c r="K133" s="188" t="s">
        <v>2853</v>
      </c>
    </row>
    <row r="134" spans="1:11" x14ac:dyDescent="0.25">
      <c r="A134" t="s">
        <v>4854</v>
      </c>
      <c r="B134" s="40" t="s">
        <v>142</v>
      </c>
      <c r="D134" s="28" t="s">
        <v>2894</v>
      </c>
      <c r="E134" s="29" t="s">
        <v>21</v>
      </c>
      <c r="F134" s="30">
        <v>20</v>
      </c>
      <c r="G134" s="31">
        <v>2.06</v>
      </c>
      <c r="H134" s="31">
        <f t="shared" si="34"/>
        <v>41.2</v>
      </c>
      <c r="I134" s="170" t="s">
        <v>2842</v>
      </c>
      <c r="J134" t="s">
        <v>2853</v>
      </c>
      <c r="K134" s="188" t="s">
        <v>2853</v>
      </c>
    </row>
    <row r="135" spans="1:11" x14ac:dyDescent="0.25">
      <c r="B135" s="27"/>
      <c r="D135" s="28"/>
      <c r="E135" s="29"/>
      <c r="G135" s="39"/>
      <c r="I135" s="170" t="s">
        <v>2842</v>
      </c>
      <c r="J135" t="s">
        <v>2853</v>
      </c>
      <c r="K135" s="188" t="s">
        <v>2853</v>
      </c>
    </row>
    <row r="136" spans="1:11" x14ac:dyDescent="0.25">
      <c r="A136" t="s">
        <v>4855</v>
      </c>
      <c r="B136" s="40" t="s">
        <v>143</v>
      </c>
      <c r="D136" s="28" t="s">
        <v>2895</v>
      </c>
      <c r="E136" s="29" t="s">
        <v>19</v>
      </c>
      <c r="F136" s="30">
        <v>20</v>
      </c>
      <c r="G136" s="31">
        <v>1.76</v>
      </c>
      <c r="H136" s="31">
        <f t="shared" ref="H136:H137" si="35">+F136*G136</f>
        <v>35.200000000000003</v>
      </c>
      <c r="I136" s="170" t="s">
        <v>2842</v>
      </c>
      <c r="J136" t="s">
        <v>2853</v>
      </c>
      <c r="K136" s="188" t="s">
        <v>2853</v>
      </c>
    </row>
    <row r="137" spans="1:11" x14ac:dyDescent="0.25">
      <c r="A137" t="s">
        <v>4856</v>
      </c>
      <c r="B137" s="40" t="s">
        <v>144</v>
      </c>
      <c r="D137" s="28" t="s">
        <v>2895</v>
      </c>
      <c r="E137" s="29" t="s">
        <v>21</v>
      </c>
      <c r="F137" s="30">
        <v>20</v>
      </c>
      <c r="G137" s="31">
        <v>1.9</v>
      </c>
      <c r="H137" s="31">
        <f t="shared" si="35"/>
        <v>38</v>
      </c>
      <c r="I137" s="170" t="s">
        <v>2842</v>
      </c>
      <c r="J137" t="s">
        <v>2853</v>
      </c>
      <c r="K137" s="188" t="s">
        <v>2853</v>
      </c>
    </row>
    <row r="138" spans="1:11" x14ac:dyDescent="0.25">
      <c r="B138" s="27"/>
      <c r="D138" s="28"/>
      <c r="E138" s="29"/>
      <c r="I138" s="170" t="s">
        <v>2842</v>
      </c>
      <c r="J138" t="s">
        <v>2853</v>
      </c>
      <c r="K138" s="188" t="s">
        <v>2853</v>
      </c>
    </row>
    <row r="139" spans="1:11" x14ac:dyDescent="0.25">
      <c r="A139" t="s">
        <v>4857</v>
      </c>
      <c r="B139" s="40" t="s">
        <v>146</v>
      </c>
      <c r="D139" s="41" t="s">
        <v>147</v>
      </c>
      <c r="E139" s="29" t="s">
        <v>19</v>
      </c>
      <c r="F139" s="30">
        <v>25</v>
      </c>
      <c r="G139" s="31">
        <v>1.51</v>
      </c>
      <c r="H139" s="31">
        <f t="shared" ref="H139:H140" si="36">+F139*G139</f>
        <v>37.75</v>
      </c>
      <c r="I139" s="170" t="s">
        <v>2842</v>
      </c>
      <c r="J139" t="s">
        <v>2853</v>
      </c>
      <c r="K139" s="188" t="s">
        <v>2853</v>
      </c>
    </row>
    <row r="140" spans="1:11" x14ac:dyDescent="0.25">
      <c r="A140" t="s">
        <v>4858</v>
      </c>
      <c r="B140" s="40" t="s">
        <v>148</v>
      </c>
      <c r="D140" s="41" t="s">
        <v>147</v>
      </c>
      <c r="E140" s="29" t="s">
        <v>21</v>
      </c>
      <c r="F140" s="30">
        <v>25</v>
      </c>
      <c r="G140" s="31">
        <v>1.57</v>
      </c>
      <c r="H140" s="31">
        <f t="shared" si="36"/>
        <v>39.25</v>
      </c>
      <c r="I140" s="170" t="s">
        <v>2842</v>
      </c>
      <c r="J140" t="s">
        <v>2853</v>
      </c>
      <c r="K140" s="188" t="s">
        <v>2853</v>
      </c>
    </row>
    <row r="141" spans="1:11" x14ac:dyDescent="0.25">
      <c r="B141" s="27"/>
      <c r="D141" s="28"/>
      <c r="E141" s="29"/>
      <c r="I141" s="170" t="s">
        <v>2842</v>
      </c>
      <c r="J141" t="s">
        <v>2853</v>
      </c>
      <c r="K141" s="188" t="s">
        <v>2853</v>
      </c>
    </row>
    <row r="142" spans="1:11" x14ac:dyDescent="0.25">
      <c r="A142" t="s">
        <v>4859</v>
      </c>
      <c r="B142" s="40" t="s">
        <v>151</v>
      </c>
      <c r="D142" s="41" t="s">
        <v>152</v>
      </c>
      <c r="E142" s="29" t="s">
        <v>19</v>
      </c>
      <c r="F142" s="30">
        <v>25</v>
      </c>
      <c r="G142" s="31">
        <v>2.23</v>
      </c>
      <c r="H142" s="31">
        <f t="shared" ref="H142:H143" si="37">+F142*G142</f>
        <v>55.75</v>
      </c>
      <c r="I142" s="170" t="s">
        <v>2842</v>
      </c>
      <c r="J142" t="s">
        <v>2853</v>
      </c>
      <c r="K142" s="188" t="s">
        <v>2853</v>
      </c>
    </row>
    <row r="143" spans="1:11" x14ac:dyDescent="0.25">
      <c r="A143" t="s">
        <v>4860</v>
      </c>
      <c r="B143" s="40" t="s">
        <v>153</v>
      </c>
      <c r="D143" s="41" t="s">
        <v>152</v>
      </c>
      <c r="E143" s="29" t="s">
        <v>21</v>
      </c>
      <c r="F143" s="30">
        <v>25</v>
      </c>
      <c r="G143" s="31">
        <v>2.4</v>
      </c>
      <c r="H143" s="31">
        <f t="shared" si="37"/>
        <v>60</v>
      </c>
      <c r="I143" s="170" t="s">
        <v>2842</v>
      </c>
      <c r="J143" t="s">
        <v>2853</v>
      </c>
      <c r="K143" s="188" t="s">
        <v>2853</v>
      </c>
    </row>
    <row r="144" spans="1:11" x14ac:dyDescent="0.25">
      <c r="B144" s="40"/>
      <c r="D144" s="41"/>
      <c r="E144" s="29"/>
      <c r="F144" s="30"/>
      <c r="H144" s="31"/>
      <c r="I144" s="170" t="s">
        <v>2842</v>
      </c>
      <c r="J144" t="s">
        <v>2853</v>
      </c>
      <c r="K144" s="188" t="s">
        <v>2853</v>
      </c>
    </row>
    <row r="145" spans="1:11" x14ac:dyDescent="0.25">
      <c r="A145" t="s">
        <v>4861</v>
      </c>
      <c r="B145" s="40" t="s">
        <v>156</v>
      </c>
      <c r="D145" s="28" t="s">
        <v>2896</v>
      </c>
      <c r="E145" s="29" t="s">
        <v>19</v>
      </c>
      <c r="F145" s="30">
        <v>20</v>
      </c>
      <c r="G145" s="31">
        <v>2.38</v>
      </c>
      <c r="H145" s="31">
        <f t="shared" ref="H145:H146" si="38">+F145*G145</f>
        <v>47.599999999999994</v>
      </c>
      <c r="I145" s="170" t="s">
        <v>2842</v>
      </c>
      <c r="J145" t="s">
        <v>2853</v>
      </c>
      <c r="K145" s="188" t="s">
        <v>2853</v>
      </c>
    </row>
    <row r="146" spans="1:11" x14ac:dyDescent="0.25">
      <c r="A146" t="s">
        <v>4862</v>
      </c>
      <c r="B146" s="40" t="s">
        <v>157</v>
      </c>
      <c r="D146" s="28" t="s">
        <v>2896</v>
      </c>
      <c r="E146" s="29" t="s">
        <v>21</v>
      </c>
      <c r="F146" s="30">
        <v>20</v>
      </c>
      <c r="G146" s="31">
        <v>2.6</v>
      </c>
      <c r="H146" s="31">
        <f t="shared" si="38"/>
        <v>52</v>
      </c>
      <c r="I146" s="170" t="s">
        <v>2842</v>
      </c>
      <c r="J146" t="s">
        <v>2853</v>
      </c>
      <c r="K146" s="188" t="s">
        <v>2853</v>
      </c>
    </row>
    <row r="147" spans="1:11" x14ac:dyDescent="0.25">
      <c r="B147" s="40"/>
      <c r="D147" s="41"/>
      <c r="E147" s="29"/>
      <c r="G147" s="31"/>
      <c r="H147" s="31"/>
      <c r="I147" s="170" t="s">
        <v>2842</v>
      </c>
      <c r="J147" t="s">
        <v>2853</v>
      </c>
      <c r="K147" s="188" t="s">
        <v>2853</v>
      </c>
    </row>
    <row r="148" spans="1:11" x14ac:dyDescent="0.25">
      <c r="A148" t="s">
        <v>4863</v>
      </c>
      <c r="B148" s="40" t="s">
        <v>158</v>
      </c>
      <c r="D148" s="28" t="s">
        <v>2897</v>
      </c>
      <c r="E148" s="29" t="s">
        <v>19</v>
      </c>
      <c r="F148" s="30">
        <v>20</v>
      </c>
      <c r="G148" s="31">
        <v>3.81</v>
      </c>
      <c r="H148" s="31">
        <f t="shared" ref="H148:H149" si="39">+F148*G148</f>
        <v>76.2</v>
      </c>
      <c r="I148" s="170" t="s">
        <v>2842</v>
      </c>
      <c r="J148" t="s">
        <v>2853</v>
      </c>
      <c r="K148" s="188" t="s">
        <v>2853</v>
      </c>
    </row>
    <row r="149" spans="1:11" x14ac:dyDescent="0.25">
      <c r="A149" t="s">
        <v>4864</v>
      </c>
      <c r="B149" s="40" t="s">
        <v>159</v>
      </c>
      <c r="D149" s="28" t="s">
        <v>2897</v>
      </c>
      <c r="E149" s="29" t="s">
        <v>21</v>
      </c>
      <c r="F149" s="30">
        <v>20</v>
      </c>
      <c r="G149" s="31">
        <v>4.21</v>
      </c>
      <c r="H149" s="31">
        <f t="shared" si="39"/>
        <v>84.2</v>
      </c>
      <c r="I149" s="170" t="s">
        <v>2842</v>
      </c>
      <c r="J149" t="s">
        <v>2853</v>
      </c>
      <c r="K149" s="188" t="s">
        <v>2853</v>
      </c>
    </row>
    <row r="150" spans="1:11" x14ac:dyDescent="0.25">
      <c r="B150" s="40"/>
      <c r="D150" s="28"/>
      <c r="E150" s="29"/>
      <c r="G150" s="43"/>
      <c r="H150" s="31"/>
      <c r="I150" s="170" t="s">
        <v>2842</v>
      </c>
      <c r="J150" t="s">
        <v>2853</v>
      </c>
      <c r="K150" s="188" t="s">
        <v>2853</v>
      </c>
    </row>
    <row r="151" spans="1:11" x14ac:dyDescent="0.25">
      <c r="A151" t="s">
        <v>4865</v>
      </c>
      <c r="B151" s="40" t="s">
        <v>160</v>
      </c>
      <c r="D151" s="28" t="s">
        <v>2898</v>
      </c>
      <c r="E151" s="29" t="s">
        <v>19</v>
      </c>
      <c r="F151" s="30">
        <v>20</v>
      </c>
      <c r="G151" s="31">
        <v>3.51</v>
      </c>
      <c r="H151" s="31">
        <f t="shared" ref="H151:H152" si="40">+F151*G151</f>
        <v>70.199999999999989</v>
      </c>
      <c r="I151" s="170" t="s">
        <v>2842</v>
      </c>
      <c r="J151" t="s">
        <v>2853</v>
      </c>
      <c r="K151" s="188" t="s">
        <v>2853</v>
      </c>
    </row>
    <row r="152" spans="1:11" x14ac:dyDescent="0.25">
      <c r="A152" t="s">
        <v>4866</v>
      </c>
      <c r="B152" s="40" t="s">
        <v>161</v>
      </c>
      <c r="D152" s="28" t="s">
        <v>2898</v>
      </c>
      <c r="E152" s="29" t="s">
        <v>21</v>
      </c>
      <c r="F152" s="30">
        <v>20</v>
      </c>
      <c r="G152" s="31">
        <v>3.81</v>
      </c>
      <c r="H152" s="31">
        <f t="shared" si="40"/>
        <v>76.2</v>
      </c>
      <c r="I152" s="170" t="s">
        <v>2842</v>
      </c>
      <c r="J152" t="s">
        <v>2853</v>
      </c>
      <c r="K152" s="188" t="s">
        <v>2853</v>
      </c>
    </row>
    <row r="153" spans="1:11" x14ac:dyDescent="0.25">
      <c r="B153" s="40"/>
      <c r="D153" s="28"/>
      <c r="E153" s="29"/>
      <c r="G153" s="43"/>
      <c r="H153" s="31"/>
      <c r="I153" s="170" t="s">
        <v>2842</v>
      </c>
      <c r="J153" t="s">
        <v>2853</v>
      </c>
      <c r="K153" s="188" t="s">
        <v>2853</v>
      </c>
    </row>
    <row r="154" spans="1:11" x14ac:dyDescent="0.25">
      <c r="A154" t="s">
        <v>4867</v>
      </c>
      <c r="B154" s="40" t="s">
        <v>162</v>
      </c>
      <c r="D154" s="28" t="s">
        <v>2899</v>
      </c>
      <c r="E154" s="29" t="s">
        <v>19</v>
      </c>
      <c r="F154" s="30">
        <v>20</v>
      </c>
      <c r="G154" s="31">
        <v>3.21</v>
      </c>
      <c r="H154" s="31">
        <f t="shared" ref="H154:H155" si="41">+F154*G154</f>
        <v>64.2</v>
      </c>
      <c r="I154" s="170" t="s">
        <v>2842</v>
      </c>
      <c r="J154" t="s">
        <v>2853</v>
      </c>
      <c r="K154" s="188" t="s">
        <v>2853</v>
      </c>
    </row>
    <row r="155" spans="1:11" x14ac:dyDescent="0.25">
      <c r="A155" t="s">
        <v>4868</v>
      </c>
      <c r="B155" s="40" t="s">
        <v>163</v>
      </c>
      <c r="D155" s="28" t="s">
        <v>2899</v>
      </c>
      <c r="E155" s="29" t="s">
        <v>21</v>
      </c>
      <c r="F155" s="30">
        <v>20</v>
      </c>
      <c r="G155" s="31">
        <v>3.51</v>
      </c>
      <c r="H155" s="31">
        <f t="shared" si="41"/>
        <v>70.199999999999989</v>
      </c>
      <c r="I155" s="170" t="s">
        <v>2842</v>
      </c>
      <c r="J155" t="s">
        <v>2853</v>
      </c>
      <c r="K155" s="188" t="s">
        <v>2853</v>
      </c>
    </row>
    <row r="156" spans="1:11" x14ac:dyDescent="0.25">
      <c r="B156" s="40"/>
      <c r="D156" s="28"/>
      <c r="E156" s="29"/>
      <c r="G156" s="43"/>
      <c r="H156" s="31"/>
      <c r="I156" s="170" t="s">
        <v>2842</v>
      </c>
      <c r="J156" t="s">
        <v>2853</v>
      </c>
      <c r="K156" s="188" t="s">
        <v>2853</v>
      </c>
    </row>
    <row r="157" spans="1:11" x14ac:dyDescent="0.25">
      <c r="A157" t="s">
        <v>4869</v>
      </c>
      <c r="B157" s="40" t="s">
        <v>164</v>
      </c>
      <c r="D157" s="41" t="s">
        <v>165</v>
      </c>
      <c r="E157" s="29" t="s">
        <v>19</v>
      </c>
      <c r="F157" s="30">
        <v>25</v>
      </c>
      <c r="G157" s="31">
        <v>2.33</v>
      </c>
      <c r="H157" s="31">
        <f t="shared" ref="H157:H158" si="42">+F157*G157</f>
        <v>58.25</v>
      </c>
      <c r="I157" s="170" t="s">
        <v>2842</v>
      </c>
      <c r="J157" t="s">
        <v>2853</v>
      </c>
      <c r="K157" s="188" t="s">
        <v>2853</v>
      </c>
    </row>
    <row r="158" spans="1:11" x14ac:dyDescent="0.25">
      <c r="A158" t="s">
        <v>4870</v>
      </c>
      <c r="B158" s="40" t="s">
        <v>166</v>
      </c>
      <c r="D158" s="41" t="s">
        <v>165</v>
      </c>
      <c r="E158" s="29" t="s">
        <v>21</v>
      </c>
      <c r="F158" s="30">
        <v>25</v>
      </c>
      <c r="G158" s="31">
        <v>2.64</v>
      </c>
      <c r="H158" s="31">
        <f t="shared" si="42"/>
        <v>66</v>
      </c>
      <c r="I158" s="170" t="s">
        <v>2842</v>
      </c>
      <c r="J158" t="s">
        <v>2853</v>
      </c>
      <c r="K158" s="188" t="s">
        <v>2853</v>
      </c>
    </row>
    <row r="159" spans="1:11" x14ac:dyDescent="0.25">
      <c r="B159" s="40"/>
      <c r="D159" s="41"/>
      <c r="E159" s="29"/>
      <c r="F159" s="30"/>
      <c r="H159" s="31"/>
      <c r="I159" s="170" t="s">
        <v>2842</v>
      </c>
      <c r="J159" t="s">
        <v>2853</v>
      </c>
      <c r="K159" s="188" t="s">
        <v>2853</v>
      </c>
    </row>
    <row r="160" spans="1:11" x14ac:dyDescent="0.25">
      <c r="A160" t="s">
        <v>4871</v>
      </c>
      <c r="B160" s="40" t="s">
        <v>169</v>
      </c>
      <c r="D160" s="41" t="s">
        <v>170</v>
      </c>
      <c r="E160" s="29" t="s">
        <v>19</v>
      </c>
      <c r="F160" s="30">
        <v>25</v>
      </c>
      <c r="G160" s="31">
        <v>2.56</v>
      </c>
      <c r="H160" s="31">
        <f t="shared" ref="H160:H161" si="43">+F160*G160</f>
        <v>64</v>
      </c>
      <c r="I160" s="170" t="s">
        <v>2842</v>
      </c>
      <c r="J160" t="s">
        <v>2853</v>
      </c>
      <c r="K160" s="188" t="s">
        <v>2853</v>
      </c>
    </row>
    <row r="161" spans="1:11" x14ac:dyDescent="0.25">
      <c r="A161" t="s">
        <v>4872</v>
      </c>
      <c r="B161" s="40" t="s">
        <v>171</v>
      </c>
      <c r="D161" s="41" t="s">
        <v>170</v>
      </c>
      <c r="E161" s="29" t="s">
        <v>21</v>
      </c>
      <c r="F161" s="30">
        <v>25</v>
      </c>
      <c r="G161" s="31">
        <v>2.86</v>
      </c>
      <c r="H161" s="31">
        <f t="shared" si="43"/>
        <v>71.5</v>
      </c>
      <c r="I161" s="170" t="s">
        <v>2842</v>
      </c>
      <c r="J161" t="s">
        <v>2853</v>
      </c>
      <c r="K161" s="188" t="s">
        <v>2853</v>
      </c>
    </row>
    <row r="162" spans="1:11" x14ac:dyDescent="0.25">
      <c r="I162" s="170" t="s">
        <v>2842</v>
      </c>
      <c r="J162" t="s">
        <v>2853</v>
      </c>
      <c r="K162" s="188" t="s">
        <v>2853</v>
      </c>
    </row>
    <row r="163" spans="1:11" x14ac:dyDescent="0.25">
      <c r="A163" t="s">
        <v>4873</v>
      </c>
      <c r="B163" s="40" t="s">
        <v>173</v>
      </c>
      <c r="D163" s="41" t="s">
        <v>174</v>
      </c>
      <c r="E163" s="29" t="s">
        <v>19</v>
      </c>
      <c r="F163" s="30">
        <v>20</v>
      </c>
      <c r="G163" s="31">
        <v>3.64</v>
      </c>
      <c r="H163" s="31">
        <f t="shared" ref="H163:H164" si="44">+F163*G163</f>
        <v>72.8</v>
      </c>
      <c r="I163" s="170" t="s">
        <v>2842</v>
      </c>
      <c r="J163" t="s">
        <v>2853</v>
      </c>
      <c r="K163" s="188" t="s">
        <v>2853</v>
      </c>
    </row>
    <row r="164" spans="1:11" x14ac:dyDescent="0.25">
      <c r="A164" t="s">
        <v>4874</v>
      </c>
      <c r="B164" s="40" t="s">
        <v>175</v>
      </c>
      <c r="D164" s="41" t="s">
        <v>174</v>
      </c>
      <c r="E164" s="29" t="s">
        <v>21</v>
      </c>
      <c r="F164" s="30">
        <v>20</v>
      </c>
      <c r="G164" s="31">
        <v>4.0199999999999996</v>
      </c>
      <c r="H164" s="31">
        <f t="shared" si="44"/>
        <v>80.399999999999991</v>
      </c>
      <c r="I164" s="170" t="s">
        <v>2842</v>
      </c>
      <c r="J164" t="s">
        <v>2853</v>
      </c>
      <c r="K164" s="188" t="s">
        <v>2853</v>
      </c>
    </row>
    <row r="165" spans="1:11" x14ac:dyDescent="0.25">
      <c r="B165" s="40"/>
      <c r="D165" s="28"/>
      <c r="E165" s="29"/>
      <c r="F165" s="30"/>
      <c r="H165" s="31"/>
      <c r="I165" s="170" t="s">
        <v>2842</v>
      </c>
      <c r="J165" t="s">
        <v>2853</v>
      </c>
      <c r="K165" s="188" t="s">
        <v>2853</v>
      </c>
    </row>
    <row r="166" spans="1:11" x14ac:dyDescent="0.25">
      <c r="A166" t="s">
        <v>4875</v>
      </c>
      <c r="B166" s="40" t="s">
        <v>176</v>
      </c>
      <c r="D166" s="28" t="s">
        <v>7362</v>
      </c>
      <c r="E166" s="29" t="s">
        <v>19</v>
      </c>
      <c r="F166" s="30">
        <v>20</v>
      </c>
      <c r="G166" s="31">
        <v>4.1100000000000003</v>
      </c>
      <c r="H166" s="31">
        <f t="shared" ref="H166:H167" si="45">+F166*G166</f>
        <v>82.2</v>
      </c>
      <c r="I166" s="170" t="s">
        <v>2842</v>
      </c>
      <c r="J166" t="s">
        <v>2853</v>
      </c>
      <c r="K166" s="188" t="s">
        <v>2853</v>
      </c>
    </row>
    <row r="167" spans="1:11" x14ac:dyDescent="0.25">
      <c r="A167" t="s">
        <v>4876</v>
      </c>
      <c r="B167" s="40" t="s">
        <v>177</v>
      </c>
      <c r="D167" s="28" t="s">
        <v>7362</v>
      </c>
      <c r="E167" s="29" t="s">
        <v>21</v>
      </c>
      <c r="F167" s="30">
        <v>20</v>
      </c>
      <c r="G167" s="31">
        <v>4.5199999999999996</v>
      </c>
      <c r="H167" s="31">
        <f t="shared" si="45"/>
        <v>90.399999999999991</v>
      </c>
      <c r="I167" s="170" t="s">
        <v>2842</v>
      </c>
      <c r="J167" t="s">
        <v>2853</v>
      </c>
      <c r="K167" s="188" t="s">
        <v>2853</v>
      </c>
    </row>
    <row r="168" spans="1:11" x14ac:dyDescent="0.25">
      <c r="G168" s="39"/>
      <c r="I168" s="170" t="s">
        <v>2842</v>
      </c>
      <c r="J168" t="s">
        <v>2853</v>
      </c>
      <c r="K168" s="188" t="s">
        <v>2853</v>
      </c>
    </row>
    <row r="169" spans="1:11" x14ac:dyDescent="0.25">
      <c r="A169" t="s">
        <v>4877</v>
      </c>
      <c r="B169" s="40" t="s">
        <v>178</v>
      </c>
      <c r="D169" s="28" t="s">
        <v>2900</v>
      </c>
      <c r="E169" s="29" t="s">
        <v>19</v>
      </c>
      <c r="F169" s="30">
        <v>20</v>
      </c>
      <c r="G169" s="31">
        <v>4.57</v>
      </c>
      <c r="H169" s="31">
        <f t="shared" ref="H169:H170" si="46">+F169*G169</f>
        <v>91.4</v>
      </c>
      <c r="I169" s="170" t="s">
        <v>2842</v>
      </c>
      <c r="J169" t="s">
        <v>2853</v>
      </c>
      <c r="K169" s="188" t="s">
        <v>2853</v>
      </c>
    </row>
    <row r="170" spans="1:11" x14ac:dyDescent="0.25">
      <c r="A170" t="s">
        <v>4878</v>
      </c>
      <c r="B170" s="40" t="s">
        <v>179</v>
      </c>
      <c r="D170" s="28" t="s">
        <v>2900</v>
      </c>
      <c r="E170" s="29" t="s">
        <v>21</v>
      </c>
      <c r="F170" s="30">
        <v>20</v>
      </c>
      <c r="G170" s="31">
        <v>5.04</v>
      </c>
      <c r="H170" s="31">
        <f t="shared" si="46"/>
        <v>100.8</v>
      </c>
      <c r="I170" s="170" t="s">
        <v>2842</v>
      </c>
      <c r="J170" t="s">
        <v>2853</v>
      </c>
      <c r="K170" s="188" t="s">
        <v>2853</v>
      </c>
    </row>
    <row r="171" spans="1:11" x14ac:dyDescent="0.25">
      <c r="I171" s="170" t="s">
        <v>2842</v>
      </c>
      <c r="J171" t="s">
        <v>2853</v>
      </c>
      <c r="K171" s="188" t="s">
        <v>2853</v>
      </c>
    </row>
    <row r="172" spans="1:11" x14ac:dyDescent="0.25">
      <c r="A172" t="s">
        <v>4879</v>
      </c>
      <c r="B172" s="40" t="s">
        <v>180</v>
      </c>
      <c r="D172" s="28" t="s">
        <v>181</v>
      </c>
      <c r="E172" s="29" t="s">
        <v>19</v>
      </c>
      <c r="F172" s="30">
        <v>25</v>
      </c>
      <c r="G172" s="31">
        <v>3.45</v>
      </c>
      <c r="H172" s="31">
        <f t="shared" ref="H172:H173" si="47">+F172*G172</f>
        <v>86.25</v>
      </c>
      <c r="I172" s="170" t="s">
        <v>2842</v>
      </c>
      <c r="J172" t="s">
        <v>2853</v>
      </c>
      <c r="K172" s="188" t="s">
        <v>2853</v>
      </c>
    </row>
    <row r="173" spans="1:11" x14ac:dyDescent="0.25">
      <c r="A173" t="s">
        <v>4880</v>
      </c>
      <c r="B173" s="40" t="s">
        <v>182</v>
      </c>
      <c r="D173" s="41" t="s">
        <v>181</v>
      </c>
      <c r="E173" s="29" t="s">
        <v>21</v>
      </c>
      <c r="F173" s="30">
        <v>25</v>
      </c>
      <c r="G173" s="31">
        <v>2.41</v>
      </c>
      <c r="H173" s="31">
        <f t="shared" si="47"/>
        <v>60.25</v>
      </c>
      <c r="I173" s="170" t="s">
        <v>2842</v>
      </c>
      <c r="J173" t="s">
        <v>2853</v>
      </c>
      <c r="K173" s="188" t="s">
        <v>2853</v>
      </c>
    </row>
    <row r="174" spans="1:11" x14ac:dyDescent="0.25">
      <c r="B174" s="40"/>
      <c r="D174" s="28"/>
      <c r="E174" s="29"/>
      <c r="F174" s="30"/>
      <c r="H174" s="31"/>
      <c r="I174" s="170" t="s">
        <v>2842</v>
      </c>
      <c r="J174" t="s">
        <v>2853</v>
      </c>
      <c r="K174" s="188" t="s">
        <v>2853</v>
      </c>
    </row>
    <row r="175" spans="1:11" x14ac:dyDescent="0.25">
      <c r="A175" t="s">
        <v>4881</v>
      </c>
      <c r="B175" s="40" t="s">
        <v>183</v>
      </c>
      <c r="D175" s="28" t="s">
        <v>2901</v>
      </c>
      <c r="E175" s="29" t="s">
        <v>19</v>
      </c>
      <c r="F175" s="30">
        <v>16</v>
      </c>
      <c r="G175" s="31">
        <v>6.61</v>
      </c>
      <c r="H175" s="31">
        <f t="shared" ref="H175:H176" si="48">+F175*G175</f>
        <v>105.76</v>
      </c>
      <c r="I175" s="170" t="s">
        <v>2842</v>
      </c>
      <c r="J175" t="s">
        <v>2853</v>
      </c>
      <c r="K175" s="188" t="s">
        <v>2853</v>
      </c>
    </row>
    <row r="176" spans="1:11" x14ac:dyDescent="0.25">
      <c r="A176" t="s">
        <v>4882</v>
      </c>
      <c r="B176" s="40" t="s">
        <v>184</v>
      </c>
      <c r="D176" s="28" t="s">
        <v>2901</v>
      </c>
      <c r="E176" s="29" t="s">
        <v>21</v>
      </c>
      <c r="F176" s="30">
        <v>16</v>
      </c>
      <c r="G176" s="31">
        <v>4.74</v>
      </c>
      <c r="H176" s="31">
        <f t="shared" si="48"/>
        <v>75.84</v>
      </c>
      <c r="I176" s="170" t="s">
        <v>2842</v>
      </c>
      <c r="J176" t="s">
        <v>2853</v>
      </c>
      <c r="K176" s="188" t="s">
        <v>2853</v>
      </c>
    </row>
    <row r="177" spans="1:11" x14ac:dyDescent="0.25">
      <c r="B177" s="40"/>
      <c r="D177" s="28"/>
      <c r="E177" s="29"/>
      <c r="F177" s="30"/>
      <c r="H177" s="31"/>
      <c r="I177" s="170" t="s">
        <v>2842</v>
      </c>
      <c r="J177" t="s">
        <v>2853</v>
      </c>
      <c r="K177" s="188" t="s">
        <v>2853</v>
      </c>
    </row>
    <row r="178" spans="1:11" x14ac:dyDescent="0.25">
      <c r="A178" t="s">
        <v>4883</v>
      </c>
      <c r="B178" s="40" t="s">
        <v>185</v>
      </c>
      <c r="D178" s="28" t="s">
        <v>186</v>
      </c>
      <c r="E178" s="29" t="s">
        <v>19</v>
      </c>
      <c r="F178" s="30">
        <v>6</v>
      </c>
      <c r="G178" s="31">
        <v>9.66</v>
      </c>
      <c r="H178" s="31">
        <f t="shared" ref="H178:H179" si="49">+F178*G178</f>
        <v>57.96</v>
      </c>
      <c r="I178" s="170" t="s">
        <v>2842</v>
      </c>
      <c r="J178" t="s">
        <v>2853</v>
      </c>
      <c r="K178" s="188" t="s">
        <v>2853</v>
      </c>
    </row>
    <row r="179" spans="1:11" x14ac:dyDescent="0.25">
      <c r="A179" t="s">
        <v>4884</v>
      </c>
      <c r="B179" s="40" t="s">
        <v>187</v>
      </c>
      <c r="D179" s="41" t="s">
        <v>186</v>
      </c>
      <c r="E179" s="29" t="s">
        <v>21</v>
      </c>
      <c r="F179" s="30">
        <v>6</v>
      </c>
      <c r="G179" s="31">
        <v>7.1</v>
      </c>
      <c r="H179" s="31">
        <f t="shared" si="49"/>
        <v>42.599999999999994</v>
      </c>
      <c r="I179" s="170" t="s">
        <v>2842</v>
      </c>
      <c r="J179" t="s">
        <v>2853</v>
      </c>
      <c r="K179" s="188" t="s">
        <v>2853</v>
      </c>
    </row>
    <row r="180" spans="1:11" x14ac:dyDescent="0.25">
      <c r="B180" s="40"/>
      <c r="D180" s="28"/>
      <c r="E180" s="29"/>
      <c r="F180" s="30"/>
      <c r="H180" s="31"/>
      <c r="I180" s="170" t="s">
        <v>2842</v>
      </c>
      <c r="J180" t="s">
        <v>2853</v>
      </c>
      <c r="K180" s="188" t="s">
        <v>2853</v>
      </c>
    </row>
    <row r="181" spans="1:11" x14ac:dyDescent="0.25">
      <c r="A181" t="s">
        <v>4885</v>
      </c>
      <c r="B181" s="40" t="s">
        <v>188</v>
      </c>
      <c r="D181" s="28" t="s">
        <v>189</v>
      </c>
      <c r="E181" s="29" t="s">
        <v>19</v>
      </c>
      <c r="F181" s="30">
        <v>6</v>
      </c>
      <c r="G181" s="31">
        <v>12.42</v>
      </c>
      <c r="H181" s="31">
        <f t="shared" ref="H181:H182" si="50">+F181*G181</f>
        <v>74.52</v>
      </c>
      <c r="I181" s="170" t="s">
        <v>2842</v>
      </c>
      <c r="J181" t="s">
        <v>2853</v>
      </c>
      <c r="K181" s="188" t="s">
        <v>2853</v>
      </c>
    </row>
    <row r="182" spans="1:11" x14ac:dyDescent="0.25">
      <c r="A182" t="s">
        <v>4886</v>
      </c>
      <c r="B182" s="40" t="s">
        <v>190</v>
      </c>
      <c r="D182" s="41" t="s">
        <v>189</v>
      </c>
      <c r="E182" s="29" t="s">
        <v>21</v>
      </c>
      <c r="F182" s="30">
        <v>6</v>
      </c>
      <c r="G182" s="31">
        <v>9.2100000000000009</v>
      </c>
      <c r="H182" s="31">
        <f t="shared" si="50"/>
        <v>55.260000000000005</v>
      </c>
      <c r="I182" s="170" t="s">
        <v>2842</v>
      </c>
      <c r="J182" t="s">
        <v>2853</v>
      </c>
      <c r="K182" s="188" t="s">
        <v>2853</v>
      </c>
    </row>
    <row r="183" spans="1:11" x14ac:dyDescent="0.25">
      <c r="B183" s="40"/>
      <c r="D183" s="28"/>
      <c r="E183" s="29"/>
      <c r="F183" s="30"/>
      <c r="G183" s="30"/>
      <c r="H183" s="31"/>
      <c r="J183" t="s">
        <v>2853</v>
      </c>
      <c r="K183" s="188" t="s">
        <v>2853</v>
      </c>
    </row>
    <row r="184" spans="1:11" x14ac:dyDescent="0.25">
      <c r="A184" t="s">
        <v>4887</v>
      </c>
      <c r="B184" s="40" t="s">
        <v>191</v>
      </c>
      <c r="D184" s="28" t="s">
        <v>192</v>
      </c>
      <c r="E184" s="29" t="s">
        <v>19</v>
      </c>
      <c r="F184" s="30">
        <v>6</v>
      </c>
      <c r="G184" s="31">
        <v>14.27</v>
      </c>
      <c r="H184" s="31">
        <f t="shared" ref="H184:H185" si="51">+F184*G184</f>
        <v>85.62</v>
      </c>
      <c r="J184" t="s">
        <v>2853</v>
      </c>
      <c r="K184" s="188" t="s">
        <v>2853</v>
      </c>
    </row>
    <row r="185" spans="1:11" x14ac:dyDescent="0.25">
      <c r="A185" t="s">
        <v>4888</v>
      </c>
      <c r="B185" s="40" t="s">
        <v>193</v>
      </c>
      <c r="D185" s="41" t="s">
        <v>192</v>
      </c>
      <c r="E185" s="29" t="s">
        <v>21</v>
      </c>
      <c r="F185" s="30">
        <v>6</v>
      </c>
      <c r="G185" s="31">
        <v>10.68</v>
      </c>
      <c r="H185" s="31">
        <f t="shared" si="51"/>
        <v>64.08</v>
      </c>
      <c r="I185" s="170" t="s">
        <v>2842</v>
      </c>
      <c r="J185" t="s">
        <v>2853</v>
      </c>
      <c r="K185" s="188" t="s">
        <v>2853</v>
      </c>
    </row>
    <row r="186" spans="1:11" x14ac:dyDescent="0.25">
      <c r="B186" s="40"/>
      <c r="D186" s="41"/>
      <c r="E186" s="29"/>
      <c r="F186" s="30"/>
      <c r="G186" s="30"/>
      <c r="H186" s="31"/>
      <c r="J186" t="s">
        <v>2853</v>
      </c>
      <c r="K186" s="188" t="s">
        <v>2853</v>
      </c>
    </row>
    <row r="187" spans="1:11" x14ac:dyDescent="0.25">
      <c r="A187" t="s">
        <v>4889</v>
      </c>
      <c r="B187" s="40" t="s">
        <v>194</v>
      </c>
      <c r="D187" s="28" t="s">
        <v>195</v>
      </c>
      <c r="E187" s="29" t="s">
        <v>19</v>
      </c>
      <c r="F187" s="30">
        <v>6</v>
      </c>
      <c r="G187" s="31">
        <v>16.87</v>
      </c>
      <c r="H187" s="31">
        <f t="shared" ref="H187:H188" si="52">+F187*G187</f>
        <v>101.22</v>
      </c>
      <c r="I187" s="170" t="s">
        <v>2842</v>
      </c>
      <c r="J187" t="s">
        <v>2853</v>
      </c>
      <c r="K187" s="188" t="s">
        <v>2853</v>
      </c>
    </row>
    <row r="188" spans="1:11" x14ac:dyDescent="0.25">
      <c r="A188" t="s">
        <v>4890</v>
      </c>
      <c r="B188" s="40" t="s">
        <v>196</v>
      </c>
      <c r="D188" s="41" t="s">
        <v>195</v>
      </c>
      <c r="E188" s="29" t="s">
        <v>21</v>
      </c>
      <c r="F188" s="30">
        <v>6</v>
      </c>
      <c r="G188" s="31">
        <v>12.82</v>
      </c>
      <c r="H188" s="31">
        <f t="shared" si="52"/>
        <v>76.92</v>
      </c>
      <c r="I188" s="170" t="s">
        <v>2842</v>
      </c>
      <c r="J188" t="s">
        <v>2853</v>
      </c>
      <c r="K188" s="188" t="s">
        <v>2853</v>
      </c>
    </row>
    <row r="189" spans="1:11" x14ac:dyDescent="0.25">
      <c r="D189" s="28"/>
      <c r="E189" s="29"/>
      <c r="F189" s="30"/>
      <c r="G189" s="30"/>
      <c r="H189" s="31"/>
      <c r="J189" t="s">
        <v>2853</v>
      </c>
      <c r="K189" s="188" t="s">
        <v>2853</v>
      </c>
    </row>
    <row r="190" spans="1:11" ht="30" x14ac:dyDescent="0.4">
      <c r="B190" s="171" t="s">
        <v>197</v>
      </c>
      <c r="C190" s="25"/>
      <c r="D190" s="25"/>
      <c r="E190" s="25"/>
      <c r="F190" s="25"/>
      <c r="G190" s="25"/>
      <c r="H190" s="25"/>
      <c r="I190" s="170" t="s">
        <v>2842</v>
      </c>
      <c r="J190" t="s">
        <v>2853</v>
      </c>
      <c r="K190" s="188" t="s">
        <v>2853</v>
      </c>
    </row>
    <row r="191" spans="1:11" x14ac:dyDescent="0.25">
      <c r="D191" s="28"/>
      <c r="E191" s="29"/>
      <c r="F191" s="30"/>
      <c r="G191" s="30"/>
      <c r="H191" s="31"/>
      <c r="I191" s="170" t="s">
        <v>2842</v>
      </c>
      <c r="J191" t="s">
        <v>2853</v>
      </c>
      <c r="K191" s="188" t="s">
        <v>2853</v>
      </c>
    </row>
    <row r="192" spans="1:11" x14ac:dyDescent="0.25">
      <c r="A192" t="s">
        <v>4891</v>
      </c>
      <c r="B192" s="27" t="s">
        <v>72</v>
      </c>
      <c r="C192" s="27"/>
      <c r="D192" s="28" t="s">
        <v>198</v>
      </c>
      <c r="E192" s="29" t="s">
        <v>19</v>
      </c>
      <c r="F192" s="30">
        <v>50</v>
      </c>
      <c r="G192" s="31">
        <v>4.8600000000000003</v>
      </c>
      <c r="H192" s="31">
        <f t="shared" ref="H192" si="53">+F192*G192</f>
        <v>243.00000000000003</v>
      </c>
      <c r="I192" s="170" t="s">
        <v>2842</v>
      </c>
      <c r="J192" t="s">
        <v>2853</v>
      </c>
      <c r="K192" s="188" t="s">
        <v>2853</v>
      </c>
    </row>
    <row r="193" spans="1:11" x14ac:dyDescent="0.25">
      <c r="B193" s="27"/>
      <c r="C193" s="27"/>
      <c r="D193" s="28"/>
      <c r="E193" s="29"/>
      <c r="F193" s="30"/>
      <c r="G193" s="30"/>
      <c r="H193" s="31"/>
      <c r="I193" s="170" t="s">
        <v>2842</v>
      </c>
      <c r="J193" t="s">
        <v>2853</v>
      </c>
      <c r="K193" s="188" t="s">
        <v>2853</v>
      </c>
    </row>
    <row r="194" spans="1:11" x14ac:dyDescent="0.25">
      <c r="A194" t="s">
        <v>4892</v>
      </c>
      <c r="B194" s="27" t="s">
        <v>135</v>
      </c>
      <c r="C194" s="27"/>
      <c r="D194" s="28" t="s">
        <v>199</v>
      </c>
      <c r="E194" s="29" t="s">
        <v>19</v>
      </c>
      <c r="F194" s="30">
        <v>6</v>
      </c>
      <c r="G194" s="31">
        <v>14.92</v>
      </c>
      <c r="H194" s="31">
        <f t="shared" ref="H194:H195" si="54">+F194*G194</f>
        <v>89.52</v>
      </c>
      <c r="I194" s="170" t="s">
        <v>2842</v>
      </c>
      <c r="J194" t="s">
        <v>2853</v>
      </c>
      <c r="K194" s="188" t="s">
        <v>2853</v>
      </c>
    </row>
    <row r="195" spans="1:11" x14ac:dyDescent="0.25">
      <c r="A195" t="s">
        <v>4893</v>
      </c>
      <c r="B195" s="27" t="s">
        <v>136</v>
      </c>
      <c r="C195" s="27"/>
      <c r="D195" s="28" t="s">
        <v>199</v>
      </c>
      <c r="E195" s="29" t="s">
        <v>21</v>
      </c>
      <c r="F195" s="30">
        <v>6</v>
      </c>
      <c r="G195" s="31">
        <v>15.46</v>
      </c>
      <c r="H195" s="31">
        <f t="shared" si="54"/>
        <v>92.76</v>
      </c>
      <c r="I195" s="170" t="s">
        <v>2842</v>
      </c>
      <c r="J195" t="s">
        <v>2853</v>
      </c>
      <c r="K195" s="188" t="s">
        <v>2853</v>
      </c>
    </row>
    <row r="196" spans="1:11" x14ac:dyDescent="0.25">
      <c r="B196" s="27"/>
      <c r="C196" s="27"/>
      <c r="D196" s="28"/>
      <c r="E196" s="29"/>
      <c r="F196" s="30"/>
      <c r="G196" s="30"/>
      <c r="H196" s="31"/>
      <c r="I196" s="170" t="s">
        <v>2842</v>
      </c>
      <c r="J196" t="s">
        <v>2853</v>
      </c>
      <c r="K196" s="188" t="s">
        <v>2853</v>
      </c>
    </row>
    <row r="197" spans="1:11" x14ac:dyDescent="0.25">
      <c r="A197" t="s">
        <v>4894</v>
      </c>
      <c r="B197" s="27" t="s">
        <v>140</v>
      </c>
      <c r="C197" s="27"/>
      <c r="D197" s="28" t="s">
        <v>200</v>
      </c>
      <c r="E197" s="29" t="s">
        <v>19</v>
      </c>
      <c r="F197" s="30">
        <v>6</v>
      </c>
      <c r="G197" s="31">
        <v>13.51</v>
      </c>
      <c r="H197" s="31">
        <f t="shared" ref="H197:H198" si="55">+F197*G197</f>
        <v>81.06</v>
      </c>
      <c r="I197" s="170" t="s">
        <v>2842</v>
      </c>
      <c r="J197" t="s">
        <v>2853</v>
      </c>
      <c r="K197" s="188" t="s">
        <v>2853</v>
      </c>
    </row>
    <row r="198" spans="1:11" x14ac:dyDescent="0.25">
      <c r="A198" t="s">
        <v>4895</v>
      </c>
      <c r="B198" s="27" t="s">
        <v>145</v>
      </c>
      <c r="C198" s="27"/>
      <c r="D198" s="28" t="s">
        <v>200</v>
      </c>
      <c r="E198" s="29" t="s">
        <v>21</v>
      </c>
      <c r="F198" s="30">
        <v>6</v>
      </c>
      <c r="G198" s="31">
        <v>14.01</v>
      </c>
      <c r="H198" s="31">
        <f t="shared" si="55"/>
        <v>84.06</v>
      </c>
      <c r="I198" s="170" t="s">
        <v>2842</v>
      </c>
      <c r="J198" t="s">
        <v>2853</v>
      </c>
      <c r="K198" s="188" t="s">
        <v>2853</v>
      </c>
    </row>
    <row r="199" spans="1:11" x14ac:dyDescent="0.25">
      <c r="B199" s="27"/>
      <c r="C199" s="27"/>
      <c r="D199" s="28"/>
      <c r="E199" s="29"/>
      <c r="F199" s="30"/>
      <c r="G199" s="30"/>
      <c r="H199" s="31"/>
      <c r="I199" s="170" t="s">
        <v>2842</v>
      </c>
      <c r="J199" t="s">
        <v>2853</v>
      </c>
      <c r="K199" s="188" t="s">
        <v>2853</v>
      </c>
    </row>
    <row r="200" spans="1:11" x14ac:dyDescent="0.25">
      <c r="A200" t="s">
        <v>4896</v>
      </c>
      <c r="B200" s="27" t="s">
        <v>149</v>
      </c>
      <c r="C200" s="27"/>
      <c r="D200" s="28" t="s">
        <v>201</v>
      </c>
      <c r="E200" s="29" t="s">
        <v>19</v>
      </c>
      <c r="F200" s="30">
        <v>6</v>
      </c>
      <c r="G200" s="31">
        <v>10.16</v>
      </c>
      <c r="H200" s="31">
        <f t="shared" ref="H200:H201" si="56">+F200*G200</f>
        <v>60.96</v>
      </c>
      <c r="I200" s="170" t="s">
        <v>2842</v>
      </c>
      <c r="J200" t="s">
        <v>2853</v>
      </c>
      <c r="K200" s="188" t="s">
        <v>2853</v>
      </c>
    </row>
    <row r="201" spans="1:11" x14ac:dyDescent="0.25">
      <c r="A201" t="s">
        <v>4897</v>
      </c>
      <c r="B201" s="27" t="s">
        <v>150</v>
      </c>
      <c r="C201" s="27"/>
      <c r="D201" s="28" t="s">
        <v>201</v>
      </c>
      <c r="E201" s="29" t="s">
        <v>21</v>
      </c>
      <c r="F201" s="30">
        <v>6</v>
      </c>
      <c r="G201" s="31">
        <v>10.57</v>
      </c>
      <c r="H201" s="31">
        <f t="shared" si="56"/>
        <v>63.42</v>
      </c>
      <c r="I201" s="170" t="s">
        <v>2842</v>
      </c>
      <c r="J201" t="s">
        <v>2853</v>
      </c>
      <c r="K201" s="188" t="s">
        <v>2853</v>
      </c>
    </row>
    <row r="202" spans="1:11" x14ac:dyDescent="0.25">
      <c r="B202" s="27"/>
      <c r="C202" s="27"/>
      <c r="D202" s="28"/>
      <c r="E202" s="29"/>
      <c r="F202" s="30"/>
      <c r="G202" s="30"/>
      <c r="H202" s="31"/>
      <c r="I202" s="170" t="s">
        <v>2842</v>
      </c>
      <c r="J202" t="s">
        <v>2853</v>
      </c>
      <c r="K202" s="188" t="s">
        <v>2853</v>
      </c>
    </row>
    <row r="203" spans="1:11" x14ac:dyDescent="0.25">
      <c r="A203" t="s">
        <v>4898</v>
      </c>
      <c r="B203" s="27" t="s">
        <v>154</v>
      </c>
      <c r="C203" s="27"/>
      <c r="D203" s="28" t="s">
        <v>204</v>
      </c>
      <c r="E203" s="29" t="s">
        <v>19</v>
      </c>
      <c r="F203" s="30">
        <v>6</v>
      </c>
      <c r="G203" s="31">
        <v>16.739999999999998</v>
      </c>
      <c r="H203" s="31">
        <f t="shared" ref="H203:H204" si="57">+F203*G203</f>
        <v>100.44</v>
      </c>
      <c r="I203" s="170" t="s">
        <v>2842</v>
      </c>
      <c r="J203" t="s">
        <v>2853</v>
      </c>
      <c r="K203" s="188" t="s">
        <v>2853</v>
      </c>
    </row>
    <row r="204" spans="1:11" x14ac:dyDescent="0.25">
      <c r="A204" t="s">
        <v>4899</v>
      </c>
      <c r="B204" s="27" t="s">
        <v>155</v>
      </c>
      <c r="C204" s="27"/>
      <c r="D204" s="28" t="s">
        <v>204</v>
      </c>
      <c r="E204" s="29" t="s">
        <v>21</v>
      </c>
      <c r="F204" s="30">
        <v>6</v>
      </c>
      <c r="G204" s="31">
        <v>17.38</v>
      </c>
      <c r="H204" s="31">
        <f t="shared" si="57"/>
        <v>104.28</v>
      </c>
      <c r="I204" s="170" t="s">
        <v>2842</v>
      </c>
      <c r="J204" t="s">
        <v>2853</v>
      </c>
      <c r="K204" s="188" t="s">
        <v>2853</v>
      </c>
    </row>
    <row r="205" spans="1:11" x14ac:dyDescent="0.25">
      <c r="B205" s="27"/>
      <c r="C205" s="27"/>
      <c r="D205" s="28"/>
      <c r="E205" s="29"/>
      <c r="F205" s="30"/>
      <c r="G205" s="30"/>
      <c r="H205" s="31"/>
      <c r="I205" s="170" t="s">
        <v>2842</v>
      </c>
      <c r="J205" t="s">
        <v>2853</v>
      </c>
      <c r="K205" s="188" t="s">
        <v>2853</v>
      </c>
    </row>
    <row r="206" spans="1:11" x14ac:dyDescent="0.25">
      <c r="A206" t="s">
        <v>4900</v>
      </c>
      <c r="B206" s="27" t="s">
        <v>207</v>
      </c>
      <c r="C206" s="37"/>
      <c r="D206" s="28" t="s">
        <v>208</v>
      </c>
      <c r="E206" s="29" t="s">
        <v>19</v>
      </c>
      <c r="F206" s="30">
        <v>6</v>
      </c>
      <c r="G206" s="31">
        <v>14.62</v>
      </c>
      <c r="H206" s="31">
        <f t="shared" ref="H206:H207" si="58">+F206*G206</f>
        <v>87.72</v>
      </c>
      <c r="I206" s="170" t="s">
        <v>2842</v>
      </c>
      <c r="J206" t="s">
        <v>2853</v>
      </c>
      <c r="K206" s="188" t="s">
        <v>2853</v>
      </c>
    </row>
    <row r="207" spans="1:11" ht="23.65" customHeight="1" x14ac:dyDescent="0.25">
      <c r="A207" t="s">
        <v>4901</v>
      </c>
      <c r="B207" s="27" t="s">
        <v>210</v>
      </c>
      <c r="C207" s="37"/>
      <c r="D207" s="28" t="s">
        <v>208</v>
      </c>
      <c r="E207" s="29" t="s">
        <v>21</v>
      </c>
      <c r="F207" s="30">
        <v>6</v>
      </c>
      <c r="G207" s="31">
        <v>15.15</v>
      </c>
      <c r="H207" s="31">
        <f t="shared" si="58"/>
        <v>90.9</v>
      </c>
      <c r="I207" s="170" t="s">
        <v>2842</v>
      </c>
      <c r="J207" t="s">
        <v>2853</v>
      </c>
      <c r="K207" s="188" t="s">
        <v>2853</v>
      </c>
    </row>
    <row r="208" spans="1:11" x14ac:dyDescent="0.25">
      <c r="B208" s="27"/>
      <c r="C208" s="27"/>
      <c r="D208" s="28"/>
      <c r="E208" s="29"/>
      <c r="F208" s="30"/>
      <c r="G208" s="31"/>
      <c r="H208" s="31"/>
      <c r="I208" s="170" t="s">
        <v>7501</v>
      </c>
      <c r="J208" t="s">
        <v>2853</v>
      </c>
      <c r="K208" s="188" t="s">
        <v>2853</v>
      </c>
    </row>
    <row r="209" spans="1:11" x14ac:dyDescent="0.25">
      <c r="A209" t="s">
        <v>4902</v>
      </c>
      <c r="B209" s="27" t="s">
        <v>167</v>
      </c>
      <c r="C209" s="27"/>
      <c r="D209" s="28" t="s">
        <v>211</v>
      </c>
      <c r="E209" s="29" t="s">
        <v>19</v>
      </c>
      <c r="F209" s="30">
        <v>6</v>
      </c>
      <c r="G209" s="31">
        <v>13.46</v>
      </c>
      <c r="H209" s="31">
        <f t="shared" ref="H209:H210" si="59">+F209*G209</f>
        <v>80.760000000000005</v>
      </c>
      <c r="J209" t="s">
        <v>2853</v>
      </c>
      <c r="K209" s="188" t="s">
        <v>2853</v>
      </c>
    </row>
    <row r="210" spans="1:11" x14ac:dyDescent="0.25">
      <c r="A210" t="s">
        <v>4903</v>
      </c>
      <c r="B210" s="27" t="s">
        <v>168</v>
      </c>
      <c r="C210" s="27"/>
      <c r="D210" s="28" t="s">
        <v>211</v>
      </c>
      <c r="E210" s="29" t="s">
        <v>21</v>
      </c>
      <c r="F210" s="30">
        <v>6</v>
      </c>
      <c r="G210" s="31">
        <v>13.95</v>
      </c>
      <c r="H210" s="31">
        <f t="shared" si="59"/>
        <v>83.699999999999989</v>
      </c>
      <c r="I210" s="170" t="s">
        <v>2842</v>
      </c>
      <c r="J210" t="s">
        <v>2853</v>
      </c>
      <c r="K210" s="188" t="s">
        <v>2853</v>
      </c>
    </row>
    <row r="211" spans="1:11" ht="23.65" customHeight="1" x14ac:dyDescent="0.25">
      <c r="B211" s="27"/>
      <c r="C211" s="27"/>
      <c r="D211" s="28"/>
      <c r="E211" s="29"/>
      <c r="F211" s="30"/>
      <c r="G211" s="30"/>
      <c r="H211" s="31"/>
      <c r="I211" s="170" t="s">
        <v>2842</v>
      </c>
      <c r="J211" t="s">
        <v>2853</v>
      </c>
      <c r="K211" s="188" t="s">
        <v>2853</v>
      </c>
    </row>
    <row r="212" spans="1:11" x14ac:dyDescent="0.25">
      <c r="A212" t="s">
        <v>4904</v>
      </c>
      <c r="B212" s="27" t="s">
        <v>213</v>
      </c>
      <c r="C212" s="37"/>
      <c r="D212" s="28" t="s">
        <v>214</v>
      </c>
      <c r="E212" s="29" t="s">
        <v>19</v>
      </c>
      <c r="F212" s="30">
        <v>6</v>
      </c>
      <c r="G212" s="31">
        <v>14.62</v>
      </c>
      <c r="H212" s="31">
        <f t="shared" ref="H212:H213" si="60">+F212*G212</f>
        <v>87.72</v>
      </c>
      <c r="I212" s="170" t="s">
        <v>2842</v>
      </c>
      <c r="J212" t="s">
        <v>2853</v>
      </c>
      <c r="K212" s="188" t="s">
        <v>2853</v>
      </c>
    </row>
    <row r="213" spans="1:11" x14ac:dyDescent="0.25">
      <c r="A213" t="s">
        <v>4905</v>
      </c>
      <c r="B213" s="27" t="s">
        <v>215</v>
      </c>
      <c r="C213" s="37"/>
      <c r="D213" s="28" t="s">
        <v>214</v>
      </c>
      <c r="E213" s="29" t="s">
        <v>21</v>
      </c>
      <c r="F213" s="30">
        <v>6</v>
      </c>
      <c r="G213" s="31">
        <v>15.15</v>
      </c>
      <c r="H213" s="31">
        <f t="shared" si="60"/>
        <v>90.9</v>
      </c>
      <c r="I213" s="170" t="s">
        <v>2842</v>
      </c>
      <c r="J213" t="s">
        <v>2853</v>
      </c>
      <c r="K213" s="188" t="s">
        <v>2853</v>
      </c>
    </row>
    <row r="214" spans="1:11" x14ac:dyDescent="0.25">
      <c r="B214" s="27"/>
      <c r="C214" s="27"/>
      <c r="D214" s="28"/>
      <c r="E214" s="29"/>
      <c r="F214" s="30"/>
      <c r="G214" s="30"/>
      <c r="H214" s="31"/>
      <c r="I214" s="170" t="s">
        <v>2842</v>
      </c>
      <c r="J214" t="s">
        <v>2853</v>
      </c>
      <c r="K214" s="188" t="s">
        <v>2853</v>
      </c>
    </row>
    <row r="215" spans="1:11" x14ac:dyDescent="0.25">
      <c r="A215" t="s">
        <v>4906</v>
      </c>
      <c r="B215" s="27" t="s">
        <v>172</v>
      </c>
      <c r="D215" s="28" t="s">
        <v>216</v>
      </c>
      <c r="E215" s="29" t="s">
        <v>59</v>
      </c>
      <c r="F215" s="30">
        <v>100</v>
      </c>
      <c r="G215" s="31">
        <v>0.16</v>
      </c>
      <c r="H215" s="31">
        <f>+F215*G215</f>
        <v>16</v>
      </c>
      <c r="J215" t="s">
        <v>2853</v>
      </c>
      <c r="K215" s="188" t="s">
        <v>2853</v>
      </c>
    </row>
    <row r="216" spans="1:11" x14ac:dyDescent="0.25">
      <c r="B216" s="27"/>
      <c r="D216" s="28"/>
      <c r="E216" s="29"/>
      <c r="F216" s="30"/>
      <c r="G216" s="30"/>
      <c r="H216" s="31"/>
      <c r="J216" t="s">
        <v>2853</v>
      </c>
      <c r="K216" s="188" t="s">
        <v>2853</v>
      </c>
    </row>
    <row r="217" spans="1:11" x14ac:dyDescent="0.25">
      <c r="A217" t="s">
        <v>4907</v>
      </c>
      <c r="B217" s="27" t="s">
        <v>77</v>
      </c>
      <c r="D217" s="28" t="s">
        <v>218</v>
      </c>
      <c r="E217" s="29" t="s">
        <v>19</v>
      </c>
      <c r="F217" s="30">
        <v>25</v>
      </c>
      <c r="G217" s="31">
        <v>3.67</v>
      </c>
      <c r="H217" s="31">
        <f t="shared" ref="H217:H222" si="61">+F217*G217</f>
        <v>91.75</v>
      </c>
      <c r="J217" t="s">
        <v>2853</v>
      </c>
      <c r="K217" s="188" t="s">
        <v>2853</v>
      </c>
    </row>
    <row r="218" spans="1:11" x14ac:dyDescent="0.25">
      <c r="A218" t="s">
        <v>4908</v>
      </c>
      <c r="B218" s="27" t="s">
        <v>80</v>
      </c>
      <c r="D218" s="28" t="s">
        <v>218</v>
      </c>
      <c r="E218" s="29" t="s">
        <v>21</v>
      </c>
      <c r="F218" s="30">
        <v>25</v>
      </c>
      <c r="G218" s="31">
        <v>4.34</v>
      </c>
      <c r="H218" s="31">
        <f t="shared" si="61"/>
        <v>108.5</v>
      </c>
      <c r="I218" s="170" t="s">
        <v>2842</v>
      </c>
      <c r="J218" t="s">
        <v>2853</v>
      </c>
      <c r="K218" s="188" t="s">
        <v>2853</v>
      </c>
    </row>
    <row r="219" spans="1:11" x14ac:dyDescent="0.25">
      <c r="A219" t="s">
        <v>4909</v>
      </c>
      <c r="B219" s="27" t="s">
        <v>78</v>
      </c>
      <c r="D219" s="28" t="s">
        <v>221</v>
      </c>
      <c r="E219" s="29"/>
      <c r="F219" s="30">
        <v>1</v>
      </c>
      <c r="G219" s="31">
        <v>13.31</v>
      </c>
      <c r="H219" s="31">
        <f t="shared" si="61"/>
        <v>13.31</v>
      </c>
      <c r="I219" s="170" t="s">
        <v>2842</v>
      </c>
      <c r="J219" t="s">
        <v>2853</v>
      </c>
      <c r="K219" s="188" t="s">
        <v>2853</v>
      </c>
    </row>
    <row r="220" spans="1:11" x14ac:dyDescent="0.25">
      <c r="A220" t="s">
        <v>4910</v>
      </c>
      <c r="B220" s="27" t="s">
        <v>82</v>
      </c>
      <c r="D220" s="28" t="s">
        <v>223</v>
      </c>
      <c r="E220" s="29"/>
      <c r="F220" s="30">
        <v>1</v>
      </c>
      <c r="G220" s="31">
        <v>20.61</v>
      </c>
      <c r="H220" s="31">
        <f t="shared" si="61"/>
        <v>20.61</v>
      </c>
      <c r="I220" s="170" t="s">
        <v>2842</v>
      </c>
      <c r="J220" t="s">
        <v>2853</v>
      </c>
      <c r="K220" s="188" t="s">
        <v>2853</v>
      </c>
    </row>
    <row r="221" spans="1:11" x14ac:dyDescent="0.25">
      <c r="A221" t="s">
        <v>4911</v>
      </c>
      <c r="B221" s="27" t="s">
        <v>224</v>
      </c>
      <c r="D221" s="28" t="s">
        <v>225</v>
      </c>
      <c r="E221" s="29"/>
      <c r="F221" s="30">
        <v>1</v>
      </c>
      <c r="G221" s="31">
        <v>28.04</v>
      </c>
      <c r="H221" s="31">
        <f t="shared" si="61"/>
        <v>28.04</v>
      </c>
      <c r="I221" s="170" t="s">
        <v>2842</v>
      </c>
      <c r="J221" t="s">
        <v>2853</v>
      </c>
      <c r="K221" s="188" t="s">
        <v>2853</v>
      </c>
    </row>
    <row r="222" spans="1:11" x14ac:dyDescent="0.25">
      <c r="A222" t="s">
        <v>4912</v>
      </c>
      <c r="B222" s="27" t="s">
        <v>84</v>
      </c>
      <c r="D222" s="28" t="s">
        <v>226</v>
      </c>
      <c r="E222" s="29"/>
      <c r="F222" s="30">
        <v>1</v>
      </c>
      <c r="G222" s="31">
        <v>69.28</v>
      </c>
      <c r="H222" s="31">
        <f t="shared" si="61"/>
        <v>69.28</v>
      </c>
      <c r="I222" s="170" t="s">
        <v>2842</v>
      </c>
      <c r="J222" t="s">
        <v>2853</v>
      </c>
      <c r="K222" s="188" t="s">
        <v>2853</v>
      </c>
    </row>
    <row r="223" spans="1:11" x14ac:dyDescent="0.25">
      <c r="I223" s="170" t="s">
        <v>2842</v>
      </c>
      <c r="J223" t="s">
        <v>2853</v>
      </c>
      <c r="K223" s="188" t="s">
        <v>2853</v>
      </c>
    </row>
    <row r="224" spans="1:11" ht="30" x14ac:dyDescent="0.4">
      <c r="B224" s="171" t="s">
        <v>2911</v>
      </c>
      <c r="C224" s="25"/>
      <c r="D224" s="32"/>
      <c r="E224" s="26"/>
      <c r="F224" s="26"/>
      <c r="G224" s="26"/>
      <c r="H224" s="26"/>
      <c r="I224" s="170" t="s">
        <v>2842</v>
      </c>
      <c r="J224" t="s">
        <v>2853</v>
      </c>
      <c r="K224" s="188" t="s">
        <v>2853</v>
      </c>
    </row>
    <row r="225" spans="1:11" x14ac:dyDescent="0.25">
      <c r="I225" s="170" t="s">
        <v>2842</v>
      </c>
      <c r="J225" t="s">
        <v>2853</v>
      </c>
      <c r="K225" s="188" t="s">
        <v>2853</v>
      </c>
    </row>
    <row r="226" spans="1:11" x14ac:dyDescent="0.35">
      <c r="A226" t="s">
        <v>4913</v>
      </c>
      <c r="B226" s="27" t="s">
        <v>231</v>
      </c>
      <c r="C226" s="1"/>
      <c r="D226" s="27" t="s">
        <v>2912</v>
      </c>
      <c r="E226" s="29" t="s">
        <v>21</v>
      </c>
      <c r="F226" s="30">
        <v>6</v>
      </c>
      <c r="G226" s="31">
        <v>45.07</v>
      </c>
      <c r="H226" s="31">
        <f t="shared" ref="H226:H231" si="62">+F226*G226</f>
        <v>270.42</v>
      </c>
      <c r="I226" s="170" t="s">
        <v>2842</v>
      </c>
      <c r="J226" s="256" t="s">
        <v>8284</v>
      </c>
      <c r="K226" s="259">
        <v>45153</v>
      </c>
    </row>
    <row r="227" spans="1:11" x14ac:dyDescent="0.35">
      <c r="A227" t="s">
        <v>4914</v>
      </c>
      <c r="B227" s="27" t="s">
        <v>233</v>
      </c>
      <c r="C227" s="1"/>
      <c r="D227" s="27" t="s">
        <v>2913</v>
      </c>
      <c r="E227" s="29" t="s">
        <v>21</v>
      </c>
      <c r="F227" s="30">
        <v>24</v>
      </c>
      <c r="G227" s="31">
        <v>8.4600000000000009</v>
      </c>
      <c r="H227" s="31">
        <f t="shared" si="62"/>
        <v>203.04000000000002</v>
      </c>
      <c r="I227" s="170" t="s">
        <v>7501</v>
      </c>
      <c r="J227" s="256" t="s">
        <v>8332</v>
      </c>
      <c r="K227" s="259">
        <v>45237</v>
      </c>
    </row>
    <row r="228" spans="1:11" x14ac:dyDescent="0.35">
      <c r="A228" t="s">
        <v>4915</v>
      </c>
      <c r="B228" s="27" t="s">
        <v>235</v>
      </c>
      <c r="C228" s="1"/>
      <c r="D228" s="27" t="s">
        <v>2914</v>
      </c>
      <c r="E228" s="29" t="s">
        <v>21</v>
      </c>
      <c r="F228" s="30">
        <v>8</v>
      </c>
      <c r="G228" s="31">
        <v>22.02</v>
      </c>
      <c r="H228" s="31">
        <f t="shared" si="62"/>
        <v>176.16</v>
      </c>
      <c r="I228" s="170" t="s">
        <v>2842</v>
      </c>
      <c r="J228" s="256" t="s">
        <v>8316</v>
      </c>
      <c r="K228" s="259">
        <v>45211</v>
      </c>
    </row>
    <row r="229" spans="1:11" x14ac:dyDescent="0.35">
      <c r="A229" t="s">
        <v>4916</v>
      </c>
      <c r="B229" s="27" t="s">
        <v>237</v>
      </c>
      <c r="C229" s="1"/>
      <c r="D229" s="27" t="s">
        <v>2915</v>
      </c>
      <c r="E229" s="29" t="s">
        <v>21</v>
      </c>
      <c r="F229" s="30">
        <v>8</v>
      </c>
      <c r="G229" s="31">
        <v>13.29</v>
      </c>
      <c r="H229" s="31">
        <f t="shared" si="62"/>
        <v>106.32</v>
      </c>
      <c r="I229" s="170" t="s">
        <v>2842</v>
      </c>
      <c r="J229" s="256" t="s">
        <v>8288</v>
      </c>
      <c r="K229" s="259">
        <v>45153</v>
      </c>
    </row>
    <row r="230" spans="1:11" x14ac:dyDescent="0.35">
      <c r="A230" t="s">
        <v>4917</v>
      </c>
      <c r="B230" s="27" t="s">
        <v>239</v>
      </c>
      <c r="C230" s="1"/>
      <c r="D230" s="27" t="s">
        <v>2916</v>
      </c>
      <c r="E230" s="29" t="s">
        <v>21</v>
      </c>
      <c r="F230" s="30">
        <v>12</v>
      </c>
      <c r="G230" s="31">
        <v>16.93</v>
      </c>
      <c r="H230" s="31">
        <f t="shared" si="62"/>
        <v>203.16</v>
      </c>
      <c r="I230" s="170" t="s">
        <v>2842</v>
      </c>
      <c r="J230" s="256" t="s">
        <v>8346</v>
      </c>
      <c r="K230" s="259" t="s">
        <v>8339</v>
      </c>
    </row>
    <row r="231" spans="1:11" x14ac:dyDescent="0.35">
      <c r="A231" t="s">
        <v>4918</v>
      </c>
      <c r="B231" s="27" t="s">
        <v>242</v>
      </c>
      <c r="C231" s="1"/>
      <c r="D231" s="27" t="s">
        <v>2917</v>
      </c>
      <c r="E231" s="29" t="s">
        <v>21</v>
      </c>
      <c r="F231" s="30">
        <v>12</v>
      </c>
      <c r="G231" s="31">
        <v>10.63</v>
      </c>
      <c r="H231" s="31">
        <f t="shared" si="62"/>
        <v>127.56</v>
      </c>
      <c r="I231" s="170" t="s">
        <v>2842</v>
      </c>
      <c r="J231" s="256" t="s">
        <v>8347</v>
      </c>
      <c r="K231" s="259" t="s">
        <v>8339</v>
      </c>
    </row>
    <row r="232" spans="1:11" x14ac:dyDescent="0.25">
      <c r="B232" s="27"/>
      <c r="C232" s="1"/>
      <c r="D232" s="27"/>
      <c r="E232" s="29"/>
      <c r="F232" s="30"/>
      <c r="H232" s="31"/>
      <c r="I232" s="170" t="s">
        <v>2842</v>
      </c>
      <c r="J232" t="s">
        <v>2853</v>
      </c>
      <c r="K232" s="188" t="s">
        <v>2853</v>
      </c>
    </row>
    <row r="233" spans="1:11" x14ac:dyDescent="0.25">
      <c r="A233" t="s">
        <v>4919</v>
      </c>
      <c r="B233" s="27" t="s">
        <v>246</v>
      </c>
      <c r="C233" s="1"/>
      <c r="D233" s="27" t="s">
        <v>247</v>
      </c>
      <c r="E233" s="29" t="s">
        <v>59</v>
      </c>
      <c r="F233" s="30">
        <v>300</v>
      </c>
      <c r="G233" s="31">
        <v>0.16</v>
      </c>
      <c r="H233" s="31">
        <f t="shared" ref="H233:H243" si="63">+F233*G233</f>
        <v>48</v>
      </c>
      <c r="I233" s="170" t="s">
        <v>2842</v>
      </c>
      <c r="J233" t="s">
        <v>2853</v>
      </c>
      <c r="K233" s="188" t="s">
        <v>2853</v>
      </c>
    </row>
    <row r="234" spans="1:11" x14ac:dyDescent="0.25">
      <c r="A234" t="s">
        <v>4920</v>
      </c>
      <c r="B234" s="27" t="s">
        <v>249</v>
      </c>
      <c r="C234" s="1"/>
      <c r="D234" s="27" t="s">
        <v>247</v>
      </c>
      <c r="E234" s="29" t="s">
        <v>21</v>
      </c>
      <c r="F234" s="30">
        <v>300</v>
      </c>
      <c r="G234" s="31">
        <v>0.17</v>
      </c>
      <c r="H234" s="31">
        <f t="shared" si="63"/>
        <v>51.000000000000007</v>
      </c>
      <c r="I234" s="170" t="s">
        <v>2842</v>
      </c>
      <c r="J234" t="s">
        <v>2853</v>
      </c>
      <c r="K234" s="188" t="s">
        <v>2853</v>
      </c>
    </row>
    <row r="235" spans="1:11" x14ac:dyDescent="0.25">
      <c r="A235" t="s">
        <v>4921</v>
      </c>
      <c r="B235" s="27" t="s">
        <v>251</v>
      </c>
      <c r="C235" s="1"/>
      <c r="D235" s="27" t="s">
        <v>252</v>
      </c>
      <c r="E235" s="29" t="s">
        <v>21</v>
      </c>
      <c r="F235" s="30">
        <v>6</v>
      </c>
      <c r="G235" s="31">
        <v>10.210000000000001</v>
      </c>
      <c r="H235" s="31">
        <f t="shared" si="63"/>
        <v>61.260000000000005</v>
      </c>
      <c r="J235" t="s">
        <v>2853</v>
      </c>
      <c r="K235" s="188" t="s">
        <v>2853</v>
      </c>
    </row>
    <row r="236" spans="1:11" x14ac:dyDescent="0.25">
      <c r="A236" t="s">
        <v>4922</v>
      </c>
      <c r="B236" s="27" t="s">
        <v>254</v>
      </c>
      <c r="C236" s="1"/>
      <c r="D236" s="27" t="s">
        <v>255</v>
      </c>
      <c r="E236" s="29" t="s">
        <v>21</v>
      </c>
      <c r="F236" s="30">
        <v>6</v>
      </c>
      <c r="G236" s="31">
        <v>8.26</v>
      </c>
      <c r="H236" s="31">
        <f t="shared" si="63"/>
        <v>49.56</v>
      </c>
      <c r="I236" s="170" t="s">
        <v>7501</v>
      </c>
      <c r="J236" t="s">
        <v>2853</v>
      </c>
      <c r="K236" s="188" t="s">
        <v>2853</v>
      </c>
    </row>
    <row r="237" spans="1:11" x14ac:dyDescent="0.25">
      <c r="A237" t="s">
        <v>4923</v>
      </c>
      <c r="B237" s="27" t="s">
        <v>257</v>
      </c>
      <c r="C237" s="1"/>
      <c r="D237" s="27" t="s">
        <v>258</v>
      </c>
      <c r="E237" s="29" t="s">
        <v>21</v>
      </c>
      <c r="F237" s="30">
        <v>6</v>
      </c>
      <c r="G237" s="31">
        <v>14.13</v>
      </c>
      <c r="H237" s="31">
        <f t="shared" si="63"/>
        <v>84.78</v>
      </c>
      <c r="I237" s="170" t="s">
        <v>7501</v>
      </c>
      <c r="J237" t="s">
        <v>2853</v>
      </c>
      <c r="K237" s="188" t="s">
        <v>2853</v>
      </c>
    </row>
    <row r="238" spans="1:11" x14ac:dyDescent="0.25">
      <c r="A238" t="s">
        <v>4924</v>
      </c>
      <c r="B238" s="27" t="s">
        <v>260</v>
      </c>
      <c r="C238" s="1"/>
      <c r="D238" s="27" t="s">
        <v>261</v>
      </c>
      <c r="E238" s="29" t="s">
        <v>21</v>
      </c>
      <c r="F238" s="30">
        <v>6</v>
      </c>
      <c r="G238" s="31">
        <v>9.43</v>
      </c>
      <c r="H238" s="31">
        <f t="shared" si="63"/>
        <v>56.58</v>
      </c>
      <c r="I238" s="170" t="s">
        <v>7501</v>
      </c>
      <c r="J238" t="s">
        <v>2853</v>
      </c>
      <c r="K238" s="188" t="s">
        <v>2853</v>
      </c>
    </row>
    <row r="239" spans="1:11" x14ac:dyDescent="0.25">
      <c r="A239" t="s">
        <v>4925</v>
      </c>
      <c r="B239" s="27" t="s">
        <v>263</v>
      </c>
      <c r="C239" s="1"/>
      <c r="D239" s="27" t="s">
        <v>264</v>
      </c>
      <c r="E239" s="29" t="s">
        <v>21</v>
      </c>
      <c r="F239" s="30">
        <v>6</v>
      </c>
      <c r="G239" s="31">
        <v>17.22</v>
      </c>
      <c r="H239" s="31">
        <f t="shared" si="63"/>
        <v>103.32</v>
      </c>
      <c r="I239" s="170" t="s">
        <v>2842</v>
      </c>
      <c r="J239" t="s">
        <v>2853</v>
      </c>
      <c r="K239" s="188" t="s">
        <v>2853</v>
      </c>
    </row>
    <row r="240" spans="1:11" x14ac:dyDescent="0.25">
      <c r="A240" t="s">
        <v>4926</v>
      </c>
      <c r="B240" s="27" t="s">
        <v>266</v>
      </c>
      <c r="C240" s="1"/>
      <c r="D240" s="27" t="s">
        <v>267</v>
      </c>
      <c r="E240" s="29" t="s">
        <v>21</v>
      </c>
      <c r="F240" s="30">
        <v>6</v>
      </c>
      <c r="G240" s="31">
        <v>34.47</v>
      </c>
      <c r="H240" s="31">
        <f t="shared" si="63"/>
        <v>206.82</v>
      </c>
      <c r="I240" s="170" t="s">
        <v>2842</v>
      </c>
      <c r="J240" t="s">
        <v>2853</v>
      </c>
      <c r="K240" s="188" t="s">
        <v>2853</v>
      </c>
    </row>
    <row r="241" spans="1:11" x14ac:dyDescent="0.25">
      <c r="A241" t="s">
        <v>4927</v>
      </c>
      <c r="B241" s="27" t="s">
        <v>269</v>
      </c>
      <c r="C241" s="1"/>
      <c r="D241" s="27" t="s">
        <v>270</v>
      </c>
      <c r="E241" s="29" t="s">
        <v>21</v>
      </c>
      <c r="F241" s="30">
        <v>6</v>
      </c>
      <c r="G241" s="31">
        <v>12.95</v>
      </c>
      <c r="H241" s="31">
        <f t="shared" si="63"/>
        <v>77.699999999999989</v>
      </c>
      <c r="I241" s="170" t="s">
        <v>2842</v>
      </c>
      <c r="J241" t="s">
        <v>2853</v>
      </c>
      <c r="K241" s="188" t="s">
        <v>2853</v>
      </c>
    </row>
    <row r="242" spans="1:11" x14ac:dyDescent="0.25">
      <c r="A242" t="s">
        <v>4928</v>
      </c>
      <c r="B242" s="27" t="s">
        <v>272</v>
      </c>
      <c r="C242" s="1"/>
      <c r="D242" s="27" t="s">
        <v>273</v>
      </c>
      <c r="E242" s="29" t="s">
        <v>21</v>
      </c>
      <c r="F242" s="30">
        <v>12</v>
      </c>
      <c r="G242" s="31">
        <v>3.23</v>
      </c>
      <c r="H242" s="31">
        <f t="shared" si="63"/>
        <v>38.76</v>
      </c>
      <c r="I242" s="170" t="s">
        <v>2842</v>
      </c>
      <c r="J242" t="s">
        <v>2853</v>
      </c>
      <c r="K242" s="188" t="s">
        <v>2853</v>
      </c>
    </row>
    <row r="243" spans="1:11" x14ac:dyDescent="0.25">
      <c r="A243" t="s">
        <v>4929</v>
      </c>
      <c r="B243" s="27" t="s">
        <v>275</v>
      </c>
      <c r="D243" s="27" t="s">
        <v>7505</v>
      </c>
      <c r="E243" s="29" t="s">
        <v>21</v>
      </c>
      <c r="F243" s="30">
        <v>6</v>
      </c>
      <c r="G243" s="31">
        <v>15.12</v>
      </c>
      <c r="H243" s="31">
        <f t="shared" si="63"/>
        <v>90.72</v>
      </c>
      <c r="I243" s="170" t="s">
        <v>2842</v>
      </c>
      <c r="J243" t="s">
        <v>2853</v>
      </c>
      <c r="K243" s="188" t="s">
        <v>2853</v>
      </c>
    </row>
    <row r="244" spans="1:11" x14ac:dyDescent="0.25">
      <c r="B244" s="27"/>
      <c r="C244" s="1"/>
      <c r="D244" s="27"/>
      <c r="E244" s="29"/>
      <c r="F244" s="30"/>
      <c r="H244" s="31"/>
      <c r="I244" s="170" t="s">
        <v>2842</v>
      </c>
      <c r="J244" t="s">
        <v>2853</v>
      </c>
      <c r="K244" s="188" t="s">
        <v>2853</v>
      </c>
    </row>
    <row r="245" spans="1:11" x14ac:dyDescent="0.25">
      <c r="A245" t="s">
        <v>4930</v>
      </c>
      <c r="B245" s="27" t="s">
        <v>278</v>
      </c>
      <c r="C245" s="1"/>
      <c r="D245" s="27" t="s">
        <v>279</v>
      </c>
      <c r="E245" s="29" t="s">
        <v>59</v>
      </c>
      <c r="F245" s="30">
        <v>300</v>
      </c>
      <c r="G245" s="31">
        <v>0.23</v>
      </c>
      <c r="H245" s="31">
        <f t="shared" ref="H245:H253" si="64">+F245*G245</f>
        <v>69</v>
      </c>
      <c r="I245" s="170" t="s">
        <v>2842</v>
      </c>
      <c r="J245" t="s">
        <v>2853</v>
      </c>
      <c r="K245" s="188" t="s">
        <v>2853</v>
      </c>
    </row>
    <row r="246" spans="1:11" x14ac:dyDescent="0.25">
      <c r="A246" t="s">
        <v>4931</v>
      </c>
      <c r="B246" s="27" t="s">
        <v>281</v>
      </c>
      <c r="C246" s="1"/>
      <c r="D246" s="27" t="s">
        <v>279</v>
      </c>
      <c r="E246" s="29" t="s">
        <v>21</v>
      </c>
      <c r="F246" s="30">
        <v>300</v>
      </c>
      <c r="G246" s="31">
        <v>0.23</v>
      </c>
      <c r="H246" s="31">
        <f t="shared" si="64"/>
        <v>69</v>
      </c>
      <c r="J246" t="s">
        <v>2853</v>
      </c>
      <c r="K246" s="188" t="s">
        <v>2853</v>
      </c>
    </row>
    <row r="247" spans="1:11" x14ac:dyDescent="0.25">
      <c r="A247" t="s">
        <v>4932</v>
      </c>
      <c r="B247" s="27" t="s">
        <v>284</v>
      </c>
      <c r="C247" s="1"/>
      <c r="D247" s="27" t="s">
        <v>285</v>
      </c>
      <c r="E247" s="29" t="s">
        <v>21</v>
      </c>
      <c r="F247" s="30">
        <v>24</v>
      </c>
      <c r="G247" s="31">
        <v>2.64</v>
      </c>
      <c r="H247" s="31">
        <f t="shared" si="64"/>
        <v>63.36</v>
      </c>
      <c r="I247" s="170" t="s">
        <v>7501</v>
      </c>
      <c r="J247" t="s">
        <v>2853</v>
      </c>
      <c r="K247" s="188" t="s">
        <v>2853</v>
      </c>
    </row>
    <row r="248" spans="1:11" x14ac:dyDescent="0.25">
      <c r="A248" t="s">
        <v>4933</v>
      </c>
      <c r="B248" s="27" t="s">
        <v>287</v>
      </c>
      <c r="C248" s="1"/>
      <c r="D248" s="27" t="s">
        <v>288</v>
      </c>
      <c r="E248" s="29" t="s">
        <v>21</v>
      </c>
      <c r="F248" s="30">
        <v>24</v>
      </c>
      <c r="G248" s="31">
        <v>2.64</v>
      </c>
      <c r="H248" s="31">
        <f t="shared" si="64"/>
        <v>63.36</v>
      </c>
      <c r="I248" s="170" t="s">
        <v>7501</v>
      </c>
      <c r="J248" t="s">
        <v>2853</v>
      </c>
      <c r="K248" s="188" t="s">
        <v>2853</v>
      </c>
    </row>
    <row r="249" spans="1:11" x14ac:dyDescent="0.25">
      <c r="A249" t="s">
        <v>4934</v>
      </c>
      <c r="B249" s="27" t="s">
        <v>290</v>
      </c>
      <c r="C249" s="1"/>
      <c r="D249" s="27" t="s">
        <v>291</v>
      </c>
      <c r="E249" s="29" t="s">
        <v>21</v>
      </c>
      <c r="F249" s="30">
        <v>24</v>
      </c>
      <c r="G249" s="31">
        <v>3.84</v>
      </c>
      <c r="H249" s="31">
        <f t="shared" si="64"/>
        <v>92.16</v>
      </c>
      <c r="I249" s="170" t="s">
        <v>2842</v>
      </c>
      <c r="J249" t="s">
        <v>2853</v>
      </c>
      <c r="K249" s="188" t="s">
        <v>2853</v>
      </c>
    </row>
    <row r="250" spans="1:11" x14ac:dyDescent="0.25">
      <c r="A250" t="s">
        <v>4935</v>
      </c>
      <c r="B250" s="27" t="s">
        <v>293</v>
      </c>
      <c r="C250" s="1"/>
      <c r="D250" s="27" t="s">
        <v>294</v>
      </c>
      <c r="E250" s="29" t="s">
        <v>21</v>
      </c>
      <c r="F250" s="30">
        <v>24</v>
      </c>
      <c r="G250" s="31">
        <v>2.64</v>
      </c>
      <c r="H250" s="31">
        <f t="shared" si="64"/>
        <v>63.36</v>
      </c>
      <c r="I250" s="170" t="s">
        <v>2842</v>
      </c>
      <c r="J250" t="s">
        <v>2853</v>
      </c>
      <c r="K250" s="188" t="s">
        <v>2853</v>
      </c>
    </row>
    <row r="251" spans="1:11" x14ac:dyDescent="0.25">
      <c r="A251" t="s">
        <v>4936</v>
      </c>
      <c r="B251" s="27" t="s">
        <v>296</v>
      </c>
      <c r="C251" s="1"/>
      <c r="D251" s="27" t="s">
        <v>297</v>
      </c>
      <c r="E251" s="29" t="s">
        <v>21</v>
      </c>
      <c r="F251" s="30">
        <v>12</v>
      </c>
      <c r="G251" s="31">
        <v>2.64</v>
      </c>
      <c r="H251" s="31">
        <f t="shared" si="64"/>
        <v>31.68</v>
      </c>
      <c r="I251" s="170" t="s">
        <v>2842</v>
      </c>
      <c r="J251" t="s">
        <v>2853</v>
      </c>
      <c r="K251" s="188" t="s">
        <v>2853</v>
      </c>
    </row>
    <row r="252" spans="1:11" x14ac:dyDescent="0.25">
      <c r="A252" t="s">
        <v>4937</v>
      </c>
      <c r="B252" s="27" t="s">
        <v>299</v>
      </c>
      <c r="C252" s="1"/>
      <c r="D252" s="27" t="s">
        <v>300</v>
      </c>
      <c r="E252" s="29" t="s">
        <v>21</v>
      </c>
      <c r="F252" s="30">
        <v>6</v>
      </c>
      <c r="G252" s="31">
        <v>7.11</v>
      </c>
      <c r="H252" s="31">
        <f t="shared" si="64"/>
        <v>42.660000000000004</v>
      </c>
      <c r="I252" s="170" t="s">
        <v>2842</v>
      </c>
      <c r="J252" t="s">
        <v>2853</v>
      </c>
      <c r="K252" s="188" t="s">
        <v>2853</v>
      </c>
    </row>
    <row r="253" spans="1:11" x14ac:dyDescent="0.25">
      <c r="A253" t="s">
        <v>4938</v>
      </c>
      <c r="B253" s="27" t="s">
        <v>302</v>
      </c>
      <c r="C253" s="1"/>
      <c r="D253" s="27" t="s">
        <v>303</v>
      </c>
      <c r="E253" s="29" t="s">
        <v>21</v>
      </c>
      <c r="F253" s="30">
        <v>12</v>
      </c>
      <c r="G253" s="31">
        <v>5.33</v>
      </c>
      <c r="H253" s="31">
        <f t="shared" si="64"/>
        <v>63.96</v>
      </c>
      <c r="I253" s="170" t="s">
        <v>2842</v>
      </c>
      <c r="J253" t="s">
        <v>2853</v>
      </c>
      <c r="K253" s="188" t="s">
        <v>2853</v>
      </c>
    </row>
    <row r="254" spans="1:11" x14ac:dyDescent="0.25">
      <c r="B254" s="27"/>
      <c r="C254" s="1"/>
      <c r="D254" s="27"/>
      <c r="E254" s="29"/>
      <c r="F254" s="30"/>
      <c r="H254" s="31"/>
      <c r="I254" s="170" t="s">
        <v>2842</v>
      </c>
      <c r="J254" t="s">
        <v>2853</v>
      </c>
      <c r="K254" s="188" t="s">
        <v>2853</v>
      </c>
    </row>
    <row r="255" spans="1:11" x14ac:dyDescent="0.25">
      <c r="A255" t="s">
        <v>4939</v>
      </c>
      <c r="B255" s="27" t="s">
        <v>306</v>
      </c>
      <c r="C255" s="1"/>
      <c r="D255" s="27" t="s">
        <v>307</v>
      </c>
      <c r="E255" s="29" t="s">
        <v>308</v>
      </c>
      <c r="F255" s="30">
        <v>24</v>
      </c>
      <c r="G255" s="31">
        <v>3.3</v>
      </c>
      <c r="H255" s="31">
        <f t="shared" ref="H255:H274" si="65">+F255*G255</f>
        <v>79.199999999999989</v>
      </c>
      <c r="I255" s="170" t="s">
        <v>2842</v>
      </c>
      <c r="J255" t="s">
        <v>2853</v>
      </c>
      <c r="K255" s="188" t="s">
        <v>2853</v>
      </c>
    </row>
    <row r="256" spans="1:11" x14ac:dyDescent="0.25">
      <c r="A256" t="s">
        <v>4940</v>
      </c>
      <c r="B256" s="27" t="s">
        <v>309</v>
      </c>
      <c r="C256" s="1"/>
      <c r="D256" s="27" t="s">
        <v>310</v>
      </c>
      <c r="E256" s="29" t="s">
        <v>308</v>
      </c>
      <c r="F256" s="30">
        <v>24</v>
      </c>
      <c r="G256" s="31">
        <v>3.86</v>
      </c>
      <c r="H256" s="31">
        <f t="shared" si="65"/>
        <v>92.64</v>
      </c>
      <c r="I256" s="170" t="s">
        <v>2842</v>
      </c>
      <c r="J256" t="s">
        <v>2853</v>
      </c>
      <c r="K256" s="188" t="s">
        <v>2853</v>
      </c>
    </row>
    <row r="257" spans="1:11" x14ac:dyDescent="0.25">
      <c r="A257" t="s">
        <v>4941</v>
      </c>
      <c r="B257" s="27" t="s">
        <v>311</v>
      </c>
      <c r="C257" s="1"/>
      <c r="D257" s="27" t="s">
        <v>312</v>
      </c>
      <c r="E257" s="29" t="s">
        <v>308</v>
      </c>
      <c r="F257" s="30">
        <v>12</v>
      </c>
      <c r="G257" s="31">
        <v>11.06</v>
      </c>
      <c r="H257" s="31">
        <f t="shared" si="65"/>
        <v>132.72</v>
      </c>
      <c r="I257" s="170" t="s">
        <v>2842</v>
      </c>
      <c r="J257" t="s">
        <v>2853</v>
      </c>
      <c r="K257" s="188" t="s">
        <v>2853</v>
      </c>
    </row>
    <row r="258" spans="1:11" x14ac:dyDescent="0.25">
      <c r="A258" t="s">
        <v>4942</v>
      </c>
      <c r="B258" s="27" t="s">
        <v>313</v>
      </c>
      <c r="C258" s="1"/>
      <c r="D258" s="27" t="s">
        <v>314</v>
      </c>
      <c r="E258" s="29" t="s">
        <v>21</v>
      </c>
      <c r="F258" s="30">
        <v>24</v>
      </c>
      <c r="G258" s="31">
        <v>6.25</v>
      </c>
      <c r="H258" s="31">
        <f t="shared" si="65"/>
        <v>150</v>
      </c>
      <c r="I258" s="170" t="s">
        <v>2842</v>
      </c>
      <c r="J258" t="s">
        <v>2853</v>
      </c>
      <c r="K258" s="188" t="s">
        <v>2853</v>
      </c>
    </row>
    <row r="259" spans="1:11" x14ac:dyDescent="0.25">
      <c r="A259" t="s">
        <v>4943</v>
      </c>
      <c r="B259" s="27" t="s">
        <v>316</v>
      </c>
      <c r="C259" s="1"/>
      <c r="D259" s="27" t="s">
        <v>317</v>
      </c>
      <c r="E259" s="29" t="s">
        <v>21</v>
      </c>
      <c r="F259" s="30">
        <v>24</v>
      </c>
      <c r="G259" s="31">
        <v>7.14</v>
      </c>
      <c r="H259" s="31">
        <f t="shared" si="65"/>
        <v>171.35999999999999</v>
      </c>
      <c r="I259" s="170" t="s">
        <v>2842</v>
      </c>
      <c r="J259" t="s">
        <v>2853</v>
      </c>
      <c r="K259" s="188" t="s">
        <v>2853</v>
      </c>
    </row>
    <row r="260" spans="1:11" x14ac:dyDescent="0.25">
      <c r="A260" t="s">
        <v>4944</v>
      </c>
      <c r="B260" s="27" t="s">
        <v>319</v>
      </c>
      <c r="C260" s="1"/>
      <c r="D260" s="27" t="s">
        <v>320</v>
      </c>
      <c r="E260" s="29" t="s">
        <v>59</v>
      </c>
      <c r="F260" s="30">
        <v>12</v>
      </c>
      <c r="G260" s="31">
        <v>3.47</v>
      </c>
      <c r="H260" s="31">
        <f t="shared" si="65"/>
        <v>41.64</v>
      </c>
      <c r="I260" s="170" t="s">
        <v>7501</v>
      </c>
      <c r="J260" t="s">
        <v>2853</v>
      </c>
      <c r="K260" s="188" t="s">
        <v>2853</v>
      </c>
    </row>
    <row r="261" spans="1:11" x14ac:dyDescent="0.25">
      <c r="A261" t="s">
        <v>4945</v>
      </c>
      <c r="B261" s="27" t="s">
        <v>322</v>
      </c>
      <c r="C261" s="1"/>
      <c r="D261" s="27" t="s">
        <v>320</v>
      </c>
      <c r="E261" s="29" t="s">
        <v>21</v>
      </c>
      <c r="F261" s="30">
        <v>12</v>
      </c>
      <c r="G261" s="31">
        <v>3.49</v>
      </c>
      <c r="H261" s="31">
        <f t="shared" si="65"/>
        <v>41.88</v>
      </c>
      <c r="I261" s="170" t="s">
        <v>7501</v>
      </c>
      <c r="J261" t="s">
        <v>2853</v>
      </c>
      <c r="K261" s="188" t="s">
        <v>2853</v>
      </c>
    </row>
    <row r="262" spans="1:11" x14ac:dyDescent="0.25">
      <c r="A262" t="s">
        <v>4946</v>
      </c>
      <c r="B262" s="27" t="s">
        <v>323</v>
      </c>
      <c r="C262" s="1"/>
      <c r="D262" s="27" t="s">
        <v>324</v>
      </c>
      <c r="E262" s="29" t="s">
        <v>21</v>
      </c>
      <c r="F262" s="30">
        <v>12</v>
      </c>
      <c r="G262" s="31">
        <v>3.5</v>
      </c>
      <c r="H262" s="31">
        <f t="shared" si="65"/>
        <v>42</v>
      </c>
      <c r="I262" s="170" t="s">
        <v>7501</v>
      </c>
      <c r="J262" t="s">
        <v>2853</v>
      </c>
      <c r="K262" s="188" t="s">
        <v>2853</v>
      </c>
    </row>
    <row r="263" spans="1:11" x14ac:dyDescent="0.25">
      <c r="A263" t="s">
        <v>4947</v>
      </c>
      <c r="B263" s="27" t="s">
        <v>326</v>
      </c>
      <c r="C263" s="1"/>
      <c r="D263" s="27" t="s">
        <v>327</v>
      </c>
      <c r="E263" s="29" t="s">
        <v>59</v>
      </c>
      <c r="F263" s="30">
        <v>12</v>
      </c>
      <c r="G263" s="31">
        <v>4.22</v>
      </c>
      <c r="H263" s="31">
        <f t="shared" si="65"/>
        <v>50.64</v>
      </c>
      <c r="I263" s="170" t="s">
        <v>7501</v>
      </c>
      <c r="J263" t="s">
        <v>2853</v>
      </c>
      <c r="K263" s="188" t="s">
        <v>2853</v>
      </c>
    </row>
    <row r="264" spans="1:11" x14ac:dyDescent="0.25">
      <c r="A264" t="s">
        <v>4948</v>
      </c>
      <c r="B264" s="27" t="s">
        <v>329</v>
      </c>
      <c r="C264" s="1"/>
      <c r="D264" s="27" t="s">
        <v>327</v>
      </c>
      <c r="E264" s="29" t="s">
        <v>21</v>
      </c>
      <c r="F264" s="30">
        <v>12</v>
      </c>
      <c r="G264" s="31">
        <v>4.24</v>
      </c>
      <c r="H264" s="31">
        <f t="shared" si="65"/>
        <v>50.88</v>
      </c>
      <c r="I264" s="170" t="s">
        <v>7501</v>
      </c>
      <c r="J264" t="s">
        <v>2853</v>
      </c>
      <c r="K264" s="188" t="s">
        <v>2853</v>
      </c>
    </row>
    <row r="265" spans="1:11" x14ac:dyDescent="0.25">
      <c r="A265" t="s">
        <v>4949</v>
      </c>
      <c r="B265" s="27" t="s">
        <v>331</v>
      </c>
      <c r="C265" s="1"/>
      <c r="D265" s="27" t="s">
        <v>332</v>
      </c>
      <c r="E265" s="29" t="s">
        <v>59</v>
      </c>
      <c r="F265" s="30">
        <v>10</v>
      </c>
      <c r="G265" s="31">
        <v>4.8</v>
      </c>
      <c r="H265" s="31">
        <f t="shared" si="65"/>
        <v>48</v>
      </c>
      <c r="I265" s="170" t="s">
        <v>7501</v>
      </c>
      <c r="J265" t="s">
        <v>2853</v>
      </c>
      <c r="K265" s="188" t="s">
        <v>2853</v>
      </c>
    </row>
    <row r="266" spans="1:11" x14ac:dyDescent="0.25">
      <c r="A266" t="s">
        <v>4950</v>
      </c>
      <c r="B266" s="27" t="s">
        <v>334</v>
      </c>
      <c r="C266" s="1"/>
      <c r="D266" s="27" t="s">
        <v>332</v>
      </c>
      <c r="E266" s="29" t="s">
        <v>21</v>
      </c>
      <c r="F266" s="30">
        <v>10</v>
      </c>
      <c r="G266" s="31">
        <v>4.8</v>
      </c>
      <c r="H266" s="31">
        <f t="shared" si="65"/>
        <v>48</v>
      </c>
      <c r="I266" s="170" t="s">
        <v>7501</v>
      </c>
      <c r="J266" t="s">
        <v>2853</v>
      </c>
      <c r="K266" s="188" t="s">
        <v>2853</v>
      </c>
    </row>
    <row r="267" spans="1:11" x14ac:dyDescent="0.25">
      <c r="A267" t="s">
        <v>4951</v>
      </c>
      <c r="B267" s="27" t="s">
        <v>336</v>
      </c>
      <c r="D267" s="27" t="s">
        <v>337</v>
      </c>
      <c r="E267" s="29" t="s">
        <v>21</v>
      </c>
      <c r="F267" s="30">
        <v>10</v>
      </c>
      <c r="G267" s="31">
        <v>5.54</v>
      </c>
      <c r="H267" s="31">
        <f t="shared" si="65"/>
        <v>55.4</v>
      </c>
      <c r="I267" s="170" t="s">
        <v>7501</v>
      </c>
      <c r="J267" t="s">
        <v>2853</v>
      </c>
      <c r="K267" s="188" t="s">
        <v>2853</v>
      </c>
    </row>
    <row r="268" spans="1:11" x14ac:dyDescent="0.25">
      <c r="A268" t="s">
        <v>4952</v>
      </c>
      <c r="B268" s="27" t="s">
        <v>339</v>
      </c>
      <c r="C268" s="1"/>
      <c r="D268" s="27" t="s">
        <v>340</v>
      </c>
      <c r="E268" s="29" t="s">
        <v>21</v>
      </c>
      <c r="F268" s="30">
        <v>1000</v>
      </c>
      <c r="G268" s="31">
        <v>0.1</v>
      </c>
      <c r="H268" s="31">
        <f t="shared" si="65"/>
        <v>100</v>
      </c>
      <c r="I268" s="170" t="s">
        <v>7501</v>
      </c>
      <c r="J268" t="s">
        <v>2853</v>
      </c>
      <c r="K268" s="188" t="s">
        <v>2853</v>
      </c>
    </row>
    <row r="269" spans="1:11" x14ac:dyDescent="0.25">
      <c r="A269" t="s">
        <v>4953</v>
      </c>
      <c r="B269" s="27" t="s">
        <v>342</v>
      </c>
      <c r="C269" s="1"/>
      <c r="D269" s="27" t="s">
        <v>343</v>
      </c>
      <c r="E269" s="29" t="s">
        <v>59</v>
      </c>
      <c r="F269" s="30">
        <v>2</v>
      </c>
      <c r="G269" s="31">
        <v>38.89</v>
      </c>
      <c r="H269" s="31">
        <f t="shared" si="65"/>
        <v>77.78</v>
      </c>
      <c r="J269" t="s">
        <v>2853</v>
      </c>
      <c r="K269" s="188" t="s">
        <v>2853</v>
      </c>
    </row>
    <row r="270" spans="1:11" x14ac:dyDescent="0.25">
      <c r="A270" t="s">
        <v>4954</v>
      </c>
      <c r="B270" s="27" t="s">
        <v>345</v>
      </c>
      <c r="C270" s="1"/>
      <c r="D270" s="27" t="s">
        <v>346</v>
      </c>
      <c r="E270" s="29" t="s">
        <v>59</v>
      </c>
      <c r="F270" s="30">
        <v>100</v>
      </c>
      <c r="G270" s="31">
        <v>0.71</v>
      </c>
      <c r="H270" s="31">
        <f t="shared" si="65"/>
        <v>71</v>
      </c>
      <c r="I270" s="170" t="s">
        <v>2842</v>
      </c>
      <c r="J270" t="s">
        <v>2853</v>
      </c>
      <c r="K270" s="188" t="s">
        <v>2853</v>
      </c>
    </row>
    <row r="271" spans="1:11" x14ac:dyDescent="0.25">
      <c r="A271" t="s">
        <v>4955</v>
      </c>
      <c r="B271" s="27" t="s">
        <v>348</v>
      </c>
      <c r="C271" s="1"/>
      <c r="D271" s="27" t="s">
        <v>349</v>
      </c>
      <c r="E271" s="29" t="s">
        <v>59</v>
      </c>
      <c r="F271" s="30">
        <v>300</v>
      </c>
      <c r="G271" s="31">
        <v>0.17</v>
      </c>
      <c r="H271" s="31">
        <f t="shared" si="65"/>
        <v>51.000000000000007</v>
      </c>
      <c r="I271" s="170" t="s">
        <v>2842</v>
      </c>
      <c r="J271" t="s">
        <v>2853</v>
      </c>
      <c r="K271" s="188" t="s">
        <v>2853</v>
      </c>
    </row>
    <row r="272" spans="1:11" x14ac:dyDescent="0.25">
      <c r="A272" t="s">
        <v>4956</v>
      </c>
      <c r="B272" s="27" t="s">
        <v>351</v>
      </c>
      <c r="D272" s="27" t="s">
        <v>352</v>
      </c>
      <c r="E272" s="29" t="s">
        <v>21</v>
      </c>
      <c r="F272" s="30">
        <v>100</v>
      </c>
      <c r="G272" s="31">
        <v>0.14000000000000001</v>
      </c>
      <c r="H272" s="31">
        <f t="shared" si="65"/>
        <v>14.000000000000002</v>
      </c>
      <c r="I272" s="170" t="s">
        <v>2842</v>
      </c>
      <c r="J272" t="s">
        <v>2853</v>
      </c>
      <c r="K272" s="188" t="s">
        <v>2853</v>
      </c>
    </row>
    <row r="273" spans="1:11" x14ac:dyDescent="0.25">
      <c r="A273" t="s">
        <v>4957</v>
      </c>
      <c r="B273" s="27" t="s">
        <v>243</v>
      </c>
      <c r="D273" s="27" t="s">
        <v>355</v>
      </c>
      <c r="E273" s="29"/>
      <c r="F273" s="30">
        <v>100</v>
      </c>
      <c r="G273" s="31">
        <v>0.6</v>
      </c>
      <c r="H273" s="31">
        <f t="shared" si="65"/>
        <v>60</v>
      </c>
      <c r="I273" s="170" t="s">
        <v>2842</v>
      </c>
      <c r="J273" t="s">
        <v>2853</v>
      </c>
      <c r="K273" s="188" t="s">
        <v>2853</v>
      </c>
    </row>
    <row r="274" spans="1:11" x14ac:dyDescent="0.25">
      <c r="A274" t="s">
        <v>4958</v>
      </c>
      <c r="B274" s="27" t="s">
        <v>357</v>
      </c>
      <c r="C274" s="1"/>
      <c r="D274" s="27" t="s">
        <v>358</v>
      </c>
      <c r="E274" s="29" t="s">
        <v>59</v>
      </c>
      <c r="F274" s="30">
        <v>25</v>
      </c>
      <c r="G274" s="31">
        <v>2.21</v>
      </c>
      <c r="H274" s="31">
        <f t="shared" si="65"/>
        <v>55.25</v>
      </c>
      <c r="I274" s="170" t="s">
        <v>2842</v>
      </c>
      <c r="J274" t="s">
        <v>2853</v>
      </c>
      <c r="K274" s="188" t="s">
        <v>2853</v>
      </c>
    </row>
    <row r="275" spans="1:11" ht="26.25" x14ac:dyDescent="0.25">
      <c r="B275" s="174" t="s">
        <v>2918</v>
      </c>
      <c r="C275" s="1"/>
      <c r="D275" s="27"/>
      <c r="E275" s="29"/>
      <c r="F275" s="30"/>
      <c r="H275" s="31"/>
      <c r="I275" s="170" t="s">
        <v>2842</v>
      </c>
      <c r="J275" t="s">
        <v>2853</v>
      </c>
      <c r="K275" s="188" t="s">
        <v>2853</v>
      </c>
    </row>
    <row r="276" spans="1:11" x14ac:dyDescent="0.25">
      <c r="A276" t="s">
        <v>4959</v>
      </c>
      <c r="B276" s="27" t="s">
        <v>362</v>
      </c>
      <c r="D276" s="27" t="s">
        <v>2920</v>
      </c>
      <c r="E276" s="29" t="s">
        <v>21</v>
      </c>
      <c r="F276" s="30">
        <v>1</v>
      </c>
      <c r="G276" s="31">
        <v>85.83</v>
      </c>
      <c r="H276" s="31">
        <f t="shared" ref="H276:H281" si="66">+F276*G276</f>
        <v>85.83</v>
      </c>
      <c r="I276" s="170" t="s">
        <v>2842</v>
      </c>
      <c r="J276" t="s">
        <v>2853</v>
      </c>
      <c r="K276" s="188" t="s">
        <v>2853</v>
      </c>
    </row>
    <row r="277" spans="1:11" x14ac:dyDescent="0.25">
      <c r="A277" t="s">
        <v>4960</v>
      </c>
      <c r="B277" s="27" t="s">
        <v>365</v>
      </c>
      <c r="D277" s="27" t="s">
        <v>2921</v>
      </c>
      <c r="E277" s="29" t="s">
        <v>21</v>
      </c>
      <c r="F277" s="30">
        <v>10</v>
      </c>
      <c r="G277" s="31">
        <v>12.37</v>
      </c>
      <c r="H277" s="31">
        <f t="shared" si="66"/>
        <v>123.69999999999999</v>
      </c>
      <c r="J277" t="s">
        <v>2853</v>
      </c>
      <c r="K277" s="188" t="s">
        <v>2853</v>
      </c>
    </row>
    <row r="278" spans="1:11" x14ac:dyDescent="0.25">
      <c r="A278" t="s">
        <v>4961</v>
      </c>
      <c r="B278" s="27" t="s">
        <v>368</v>
      </c>
      <c r="D278" s="27" t="s">
        <v>2922</v>
      </c>
      <c r="E278" s="29" t="s">
        <v>21</v>
      </c>
      <c r="F278" s="30">
        <v>10</v>
      </c>
      <c r="G278" s="31">
        <v>5.7</v>
      </c>
      <c r="H278" s="31">
        <f t="shared" si="66"/>
        <v>57</v>
      </c>
      <c r="I278" s="170" t="s">
        <v>2842</v>
      </c>
      <c r="J278" t="s">
        <v>2853</v>
      </c>
      <c r="K278" s="188" t="s">
        <v>2853</v>
      </c>
    </row>
    <row r="279" spans="1:11" x14ac:dyDescent="0.25">
      <c r="A279" t="s">
        <v>4962</v>
      </c>
      <c r="B279" s="27" t="s">
        <v>371</v>
      </c>
      <c r="D279" s="27" t="s">
        <v>2923</v>
      </c>
      <c r="E279" s="29" t="s">
        <v>21</v>
      </c>
      <c r="F279" s="30">
        <v>12</v>
      </c>
      <c r="G279" s="31">
        <v>3.43</v>
      </c>
      <c r="H279" s="31">
        <f t="shared" si="66"/>
        <v>41.160000000000004</v>
      </c>
      <c r="I279" s="170" t="s">
        <v>2842</v>
      </c>
      <c r="J279" t="s">
        <v>2853</v>
      </c>
      <c r="K279" s="188" t="s">
        <v>2853</v>
      </c>
    </row>
    <row r="280" spans="1:11" x14ac:dyDescent="0.25">
      <c r="A280" t="s">
        <v>4963</v>
      </c>
      <c r="B280" s="27" t="s">
        <v>374</v>
      </c>
      <c r="D280" s="27" t="s">
        <v>2924</v>
      </c>
      <c r="E280" s="29" t="s">
        <v>21</v>
      </c>
      <c r="F280" s="30">
        <v>5</v>
      </c>
      <c r="G280" s="31">
        <v>6.73</v>
      </c>
      <c r="H280" s="31">
        <f t="shared" si="66"/>
        <v>33.650000000000006</v>
      </c>
      <c r="I280" s="170" t="s">
        <v>2842</v>
      </c>
      <c r="J280" t="s">
        <v>2853</v>
      </c>
      <c r="K280" s="188" t="s">
        <v>2853</v>
      </c>
    </row>
    <row r="281" spans="1:11" x14ac:dyDescent="0.25">
      <c r="A281" t="s">
        <v>4964</v>
      </c>
      <c r="B281" s="27" t="s">
        <v>377</v>
      </c>
      <c r="D281" s="27" t="s">
        <v>2925</v>
      </c>
      <c r="E281" s="29" t="s">
        <v>21</v>
      </c>
      <c r="F281" s="30">
        <v>4</v>
      </c>
      <c r="G281" s="31">
        <v>11.35</v>
      </c>
      <c r="H281" s="31">
        <f t="shared" si="66"/>
        <v>45.4</v>
      </c>
      <c r="I281" s="170" t="s">
        <v>7501</v>
      </c>
      <c r="J281" t="s">
        <v>2853</v>
      </c>
      <c r="K281" s="188" t="s">
        <v>2853</v>
      </c>
    </row>
    <row r="282" spans="1:11" ht="26.25" x14ac:dyDescent="0.25">
      <c r="B282" s="174" t="s">
        <v>2919</v>
      </c>
      <c r="D282" s="28"/>
      <c r="E282" s="29"/>
      <c r="F282" s="30"/>
      <c r="H282" s="31"/>
      <c r="J282" t="s">
        <v>2853</v>
      </c>
      <c r="K282" s="188" t="s">
        <v>2853</v>
      </c>
    </row>
    <row r="283" spans="1:11" x14ac:dyDescent="0.25">
      <c r="A283" t="s">
        <v>4965</v>
      </c>
      <c r="B283" s="27" t="s">
        <v>381</v>
      </c>
      <c r="D283" s="27" t="s">
        <v>2926</v>
      </c>
      <c r="E283" s="29" t="s">
        <v>21</v>
      </c>
      <c r="F283" s="30">
        <v>12</v>
      </c>
      <c r="G283" s="31">
        <v>5.95</v>
      </c>
      <c r="H283" s="31">
        <f t="shared" ref="H283:H288" si="67">+F283*G283</f>
        <v>71.400000000000006</v>
      </c>
      <c r="J283" t="s">
        <v>2853</v>
      </c>
      <c r="K283" s="188" t="s">
        <v>2853</v>
      </c>
    </row>
    <row r="284" spans="1:11" x14ac:dyDescent="0.25">
      <c r="A284" t="s">
        <v>4966</v>
      </c>
      <c r="B284" s="27" t="s">
        <v>383</v>
      </c>
      <c r="D284" s="27" t="s">
        <v>2927</v>
      </c>
      <c r="E284" s="29" t="s">
        <v>21</v>
      </c>
      <c r="F284" s="30">
        <v>12</v>
      </c>
      <c r="G284" s="31">
        <v>5.95</v>
      </c>
      <c r="H284" s="31">
        <f t="shared" si="67"/>
        <v>71.400000000000006</v>
      </c>
      <c r="J284" t="s">
        <v>2853</v>
      </c>
      <c r="K284" s="188" t="s">
        <v>2853</v>
      </c>
    </row>
    <row r="285" spans="1:11" x14ac:dyDescent="0.25">
      <c r="A285" t="s">
        <v>4967</v>
      </c>
      <c r="B285" s="27" t="s">
        <v>385</v>
      </c>
      <c r="D285" s="27" t="s">
        <v>2928</v>
      </c>
      <c r="E285" s="29" t="s">
        <v>21</v>
      </c>
      <c r="F285" s="30">
        <v>12</v>
      </c>
      <c r="G285" s="31">
        <v>3.99</v>
      </c>
      <c r="H285" s="31">
        <f t="shared" si="67"/>
        <v>47.88</v>
      </c>
      <c r="J285" t="s">
        <v>2853</v>
      </c>
      <c r="K285" s="188" t="s">
        <v>2853</v>
      </c>
    </row>
    <row r="286" spans="1:11" x14ac:dyDescent="0.25">
      <c r="A286" t="s">
        <v>4968</v>
      </c>
      <c r="B286" s="27" t="s">
        <v>387</v>
      </c>
      <c r="D286" s="27" t="s">
        <v>2929</v>
      </c>
      <c r="E286" s="29" t="s">
        <v>21</v>
      </c>
      <c r="F286" s="30">
        <v>12</v>
      </c>
      <c r="G286" s="31">
        <v>5.95</v>
      </c>
      <c r="H286" s="31">
        <f t="shared" si="67"/>
        <v>71.400000000000006</v>
      </c>
      <c r="J286" t="s">
        <v>2853</v>
      </c>
      <c r="K286" s="188" t="s">
        <v>2853</v>
      </c>
    </row>
    <row r="287" spans="1:11" x14ac:dyDescent="0.25">
      <c r="A287" t="s">
        <v>4969</v>
      </c>
      <c r="B287" s="27" t="s">
        <v>389</v>
      </c>
      <c r="D287" s="27" t="s">
        <v>2930</v>
      </c>
      <c r="E287" s="29" t="s">
        <v>21</v>
      </c>
      <c r="F287" s="30">
        <v>4</v>
      </c>
      <c r="G287" s="31">
        <v>5.95</v>
      </c>
      <c r="H287" s="31">
        <f t="shared" si="67"/>
        <v>23.8</v>
      </c>
      <c r="I287" s="170" t="s">
        <v>2842</v>
      </c>
      <c r="J287" t="s">
        <v>2853</v>
      </c>
      <c r="K287" s="188" t="s">
        <v>2853</v>
      </c>
    </row>
    <row r="288" spans="1:11" x14ac:dyDescent="0.25">
      <c r="A288" t="s">
        <v>4970</v>
      </c>
      <c r="B288" s="27" t="s">
        <v>390</v>
      </c>
      <c r="D288" s="27" t="s">
        <v>2931</v>
      </c>
      <c r="E288" s="29" t="s">
        <v>21</v>
      </c>
      <c r="F288" s="30">
        <v>12</v>
      </c>
      <c r="G288" s="31">
        <v>5.95</v>
      </c>
      <c r="H288" s="31">
        <f t="shared" si="67"/>
        <v>71.400000000000006</v>
      </c>
      <c r="I288" s="170" t="s">
        <v>2842</v>
      </c>
      <c r="J288" t="s">
        <v>2853</v>
      </c>
      <c r="K288" s="188" t="s">
        <v>2853</v>
      </c>
    </row>
    <row r="289" spans="1:11" x14ac:dyDescent="0.25">
      <c r="B289" s="27"/>
      <c r="C289" s="1"/>
      <c r="D289" s="27"/>
      <c r="E289" s="29"/>
      <c r="F289" s="30"/>
      <c r="H289" s="31"/>
      <c r="J289" t="s">
        <v>2853</v>
      </c>
      <c r="K289" s="188" t="s">
        <v>2853</v>
      </c>
    </row>
    <row r="290" spans="1:11" x14ac:dyDescent="0.25">
      <c r="A290" t="s">
        <v>4971</v>
      </c>
      <c r="B290" s="27" t="s">
        <v>392</v>
      </c>
      <c r="C290" s="1"/>
      <c r="D290" s="27" t="s">
        <v>2932</v>
      </c>
      <c r="E290" s="29" t="s">
        <v>21</v>
      </c>
      <c r="F290" s="30">
        <v>1</v>
      </c>
      <c r="G290" s="31">
        <v>12.15</v>
      </c>
      <c r="H290" s="31">
        <f>+F290*G290</f>
        <v>12.15</v>
      </c>
      <c r="I290" s="170" t="s">
        <v>2842</v>
      </c>
      <c r="J290" t="s">
        <v>2853</v>
      </c>
      <c r="K290" s="188" t="s">
        <v>2853</v>
      </c>
    </row>
    <row r="291" spans="1:11" x14ac:dyDescent="0.25">
      <c r="B291" s="27"/>
      <c r="D291" s="28"/>
      <c r="E291" s="29"/>
      <c r="F291" s="30"/>
      <c r="G291" s="30"/>
      <c r="H291" s="31"/>
      <c r="I291" s="170" t="s">
        <v>2842</v>
      </c>
      <c r="J291" t="s">
        <v>2853</v>
      </c>
      <c r="K291" s="188" t="s">
        <v>2853</v>
      </c>
    </row>
    <row r="292" spans="1:11" ht="30" x14ac:dyDescent="0.4">
      <c r="B292" s="173" t="s">
        <v>395</v>
      </c>
      <c r="C292" s="32"/>
      <c r="D292" s="32"/>
      <c r="E292" s="32"/>
      <c r="F292" s="32"/>
      <c r="G292" s="32"/>
      <c r="H292" s="32"/>
      <c r="J292" t="s">
        <v>2853</v>
      </c>
      <c r="K292" s="188" t="s">
        <v>2853</v>
      </c>
    </row>
    <row r="293" spans="1:11" x14ac:dyDescent="0.25">
      <c r="B293" s="27"/>
      <c r="C293" s="27"/>
      <c r="D293" s="28"/>
      <c r="E293" s="29"/>
      <c r="F293" s="30"/>
      <c r="G293" s="30"/>
      <c r="H293" s="31"/>
      <c r="I293" s="170" t="s">
        <v>2842</v>
      </c>
      <c r="J293" t="s">
        <v>2853</v>
      </c>
      <c r="K293" s="188" t="s">
        <v>2853</v>
      </c>
    </row>
    <row r="294" spans="1:11" x14ac:dyDescent="0.25">
      <c r="B294" s="27"/>
      <c r="C294" s="27"/>
      <c r="D294" s="34"/>
      <c r="E294" s="29"/>
      <c r="F294" s="30"/>
      <c r="G294" s="31"/>
      <c r="H294" s="31"/>
      <c r="I294" s="170" t="s">
        <v>2842</v>
      </c>
      <c r="J294" t="s">
        <v>2853</v>
      </c>
      <c r="K294" s="188" t="s">
        <v>2853</v>
      </c>
    </row>
    <row r="295" spans="1:11" x14ac:dyDescent="0.25">
      <c r="B295" s="27"/>
      <c r="D295" s="28"/>
      <c r="E295" s="29"/>
      <c r="F295" s="30"/>
      <c r="G295" s="43"/>
      <c r="H295" s="31"/>
      <c r="J295" t="s">
        <v>2853</v>
      </c>
      <c r="K295" s="188" t="s">
        <v>2853</v>
      </c>
    </row>
    <row r="296" spans="1:11" x14ac:dyDescent="0.25">
      <c r="A296" t="s">
        <v>4972</v>
      </c>
      <c r="B296" s="27" t="s">
        <v>400</v>
      </c>
      <c r="D296" s="34" t="s">
        <v>401</v>
      </c>
      <c r="E296" s="29" t="s">
        <v>21</v>
      </c>
      <c r="F296" s="30">
        <v>1</v>
      </c>
      <c r="G296" s="31">
        <v>155.27000000000001</v>
      </c>
      <c r="H296" s="31">
        <f t="shared" ref="H296" si="68">+F296*G296</f>
        <v>155.27000000000001</v>
      </c>
      <c r="I296" s="170" t="s">
        <v>2842</v>
      </c>
      <c r="J296" t="s">
        <v>2853</v>
      </c>
      <c r="K296" s="188" t="s">
        <v>2853</v>
      </c>
    </row>
    <row r="297" spans="1:11" x14ac:dyDescent="0.25">
      <c r="B297" s="27"/>
      <c r="C297" s="27"/>
      <c r="D297" s="34"/>
      <c r="E297" s="29"/>
      <c r="F297" s="30"/>
      <c r="G297" s="43"/>
      <c r="H297" s="31"/>
      <c r="J297" t="s">
        <v>2853</v>
      </c>
      <c r="K297" s="188" t="s">
        <v>2853</v>
      </c>
    </row>
    <row r="298" spans="1:11" x14ac:dyDescent="0.25">
      <c r="A298" t="s">
        <v>4973</v>
      </c>
      <c r="B298" s="27" t="s">
        <v>402</v>
      </c>
      <c r="D298" s="34" t="s">
        <v>7578</v>
      </c>
      <c r="E298" s="29" t="s">
        <v>21</v>
      </c>
      <c r="F298" s="30">
        <v>1</v>
      </c>
      <c r="G298" s="31">
        <v>148.12</v>
      </c>
      <c r="H298" s="31">
        <f t="shared" ref="H298" si="69">+F298*G298</f>
        <v>148.12</v>
      </c>
      <c r="J298" t="s">
        <v>2853</v>
      </c>
      <c r="K298" s="188" t="s">
        <v>2853</v>
      </c>
    </row>
    <row r="299" spans="1:11" x14ac:dyDescent="0.25">
      <c r="B299" s="27"/>
      <c r="D299" s="28"/>
      <c r="E299" s="29"/>
      <c r="F299" s="30"/>
      <c r="G299" s="43"/>
      <c r="H299" s="31"/>
      <c r="I299" s="170" t="s">
        <v>2842</v>
      </c>
      <c r="J299" t="s">
        <v>2853</v>
      </c>
      <c r="K299" s="188" t="s">
        <v>2853</v>
      </c>
    </row>
    <row r="300" spans="1:11" x14ac:dyDescent="0.25">
      <c r="A300" t="s">
        <v>7736</v>
      </c>
      <c r="B300" s="27" t="s">
        <v>4974</v>
      </c>
      <c r="C300" s="27"/>
      <c r="D300" s="34" t="s">
        <v>7737</v>
      </c>
      <c r="E300" s="29" t="s">
        <v>21</v>
      </c>
      <c r="F300" s="30">
        <v>1</v>
      </c>
      <c r="G300" s="31">
        <v>64.36</v>
      </c>
      <c r="H300" s="31">
        <f t="shared" ref="H300" si="70">+F300*G300</f>
        <v>64.36</v>
      </c>
      <c r="I300" s="170" t="s">
        <v>2842</v>
      </c>
      <c r="J300" t="s">
        <v>2853</v>
      </c>
      <c r="K300" s="188" t="s">
        <v>2853</v>
      </c>
    </row>
    <row r="301" spans="1:11" x14ac:dyDescent="0.25">
      <c r="B301" s="27"/>
      <c r="D301" s="28"/>
      <c r="E301" s="29"/>
      <c r="F301" s="30"/>
      <c r="G301" s="163"/>
      <c r="H301" s="31"/>
      <c r="J301" t="s">
        <v>2853</v>
      </c>
      <c r="K301" s="188" t="s">
        <v>2853</v>
      </c>
    </row>
    <row r="302" spans="1:11" x14ac:dyDescent="0.25">
      <c r="A302" t="s">
        <v>7738</v>
      </c>
      <c r="B302" s="27" t="s">
        <v>4975</v>
      </c>
      <c r="C302" s="27"/>
      <c r="D302" s="34" t="s">
        <v>7739</v>
      </c>
      <c r="E302" s="29" t="s">
        <v>21</v>
      </c>
      <c r="F302" s="30">
        <v>1</v>
      </c>
      <c r="G302" s="31">
        <v>57.8</v>
      </c>
      <c r="H302" s="31">
        <f t="shared" ref="H302" si="71">+F302*G302</f>
        <v>57.8</v>
      </c>
      <c r="I302" s="170" t="s">
        <v>2842</v>
      </c>
      <c r="J302" t="s">
        <v>2853</v>
      </c>
      <c r="K302" s="188" t="s">
        <v>2853</v>
      </c>
    </row>
    <row r="303" spans="1:11" x14ac:dyDescent="0.25">
      <c r="B303" s="27"/>
      <c r="C303" s="27"/>
      <c r="D303" s="34"/>
      <c r="E303" s="29"/>
      <c r="F303" s="30"/>
      <c r="G303" s="44"/>
      <c r="H303" s="31"/>
      <c r="I303" s="170" t="s">
        <v>2842</v>
      </c>
      <c r="J303" t="s">
        <v>2853</v>
      </c>
      <c r="K303" s="188" t="s">
        <v>2853</v>
      </c>
    </row>
    <row r="304" spans="1:11" ht="30" x14ac:dyDescent="0.4">
      <c r="B304" s="171" t="s">
        <v>403</v>
      </c>
      <c r="C304" s="25"/>
      <c r="D304" s="32"/>
      <c r="E304" s="32"/>
      <c r="F304" s="32"/>
      <c r="G304" s="32"/>
      <c r="H304" s="32"/>
      <c r="I304" s="170" t="s">
        <v>2842</v>
      </c>
      <c r="J304" t="s">
        <v>2853</v>
      </c>
      <c r="K304" s="188" t="s">
        <v>2853</v>
      </c>
    </row>
    <row r="305" spans="1:11" x14ac:dyDescent="0.25">
      <c r="B305" s="27"/>
      <c r="C305" s="28"/>
      <c r="D305" s="34"/>
      <c r="E305" s="34"/>
      <c r="F305" s="34"/>
      <c r="G305" s="45"/>
      <c r="H305" s="45"/>
      <c r="I305" s="170" t="s">
        <v>2842</v>
      </c>
      <c r="J305" t="s">
        <v>2853</v>
      </c>
      <c r="K305" s="188" t="s">
        <v>2853</v>
      </c>
    </row>
    <row r="306" spans="1:11" x14ac:dyDescent="0.35">
      <c r="A306" t="s">
        <v>4976</v>
      </c>
      <c r="B306" s="27" t="s">
        <v>202</v>
      </c>
      <c r="D306" s="40" t="s">
        <v>404</v>
      </c>
      <c r="E306" s="29" t="s">
        <v>405</v>
      </c>
      <c r="F306" s="30">
        <v>4</v>
      </c>
      <c r="G306" s="31">
        <v>57.83</v>
      </c>
      <c r="H306" s="31">
        <f t="shared" ref="H306:H308" si="72">+F306*G306</f>
        <v>231.32</v>
      </c>
      <c r="I306" s="170" t="s">
        <v>2842</v>
      </c>
      <c r="J306" s="256" t="s">
        <v>8339</v>
      </c>
      <c r="K306" s="259" t="s">
        <v>8339</v>
      </c>
    </row>
    <row r="307" spans="1:11" x14ac:dyDescent="0.35">
      <c r="A307" t="s">
        <v>4977</v>
      </c>
      <c r="B307" s="27" t="s">
        <v>203</v>
      </c>
      <c r="D307" s="40" t="s">
        <v>406</v>
      </c>
      <c r="E307" s="29" t="s">
        <v>405</v>
      </c>
      <c r="F307" s="30">
        <v>6</v>
      </c>
      <c r="G307" s="31">
        <v>22.64</v>
      </c>
      <c r="H307" s="31">
        <f t="shared" si="72"/>
        <v>135.84</v>
      </c>
      <c r="I307" s="170" t="s">
        <v>2842</v>
      </c>
      <c r="J307" s="256" t="s">
        <v>8339</v>
      </c>
      <c r="K307" s="259" t="s">
        <v>8339</v>
      </c>
    </row>
    <row r="308" spans="1:11" x14ac:dyDescent="0.25">
      <c r="A308" t="s">
        <v>4978</v>
      </c>
      <c r="B308" s="27" t="s">
        <v>407</v>
      </c>
      <c r="D308" s="40" t="s">
        <v>408</v>
      </c>
      <c r="E308" s="29" t="s">
        <v>405</v>
      </c>
      <c r="F308" s="30">
        <v>100</v>
      </c>
      <c r="G308" s="31">
        <v>2.02</v>
      </c>
      <c r="H308" s="31">
        <f t="shared" si="72"/>
        <v>202</v>
      </c>
      <c r="I308" s="170" t="s">
        <v>2842</v>
      </c>
      <c r="J308" t="s">
        <v>2853</v>
      </c>
      <c r="K308" s="188" t="s">
        <v>2853</v>
      </c>
    </row>
    <row r="309" spans="1:11" x14ac:dyDescent="0.25">
      <c r="B309" s="27"/>
      <c r="D309" s="27"/>
      <c r="E309" s="46"/>
      <c r="F309" s="46"/>
      <c r="G309" s="34"/>
      <c r="H309" s="46"/>
      <c r="I309" s="170" t="s">
        <v>2842</v>
      </c>
      <c r="J309" t="s">
        <v>2853</v>
      </c>
      <c r="K309" s="188" t="s">
        <v>2853</v>
      </c>
    </row>
    <row r="310" spans="1:11" x14ac:dyDescent="0.25">
      <c r="A310" t="s">
        <v>4979</v>
      </c>
      <c r="B310" s="27" t="s">
        <v>205</v>
      </c>
      <c r="D310" s="27" t="s">
        <v>409</v>
      </c>
      <c r="E310" s="29" t="s">
        <v>21</v>
      </c>
      <c r="F310" s="30">
        <v>10</v>
      </c>
      <c r="G310" s="31">
        <v>9.64</v>
      </c>
      <c r="H310" s="31">
        <f t="shared" ref="H310:H314" si="73">+F310*G310</f>
        <v>96.4</v>
      </c>
      <c r="I310" s="170" t="s">
        <v>2842</v>
      </c>
      <c r="J310" t="s">
        <v>2853</v>
      </c>
      <c r="K310" s="188" t="s">
        <v>2853</v>
      </c>
    </row>
    <row r="311" spans="1:11" x14ac:dyDescent="0.25">
      <c r="A311" t="s">
        <v>4980</v>
      </c>
      <c r="B311" s="27" t="s">
        <v>206</v>
      </c>
      <c r="D311" s="27" t="s">
        <v>410</v>
      </c>
      <c r="E311" s="29" t="s">
        <v>21</v>
      </c>
      <c r="F311" s="30">
        <v>10</v>
      </c>
      <c r="G311" s="31">
        <v>11.33</v>
      </c>
      <c r="H311" s="31">
        <f t="shared" si="73"/>
        <v>113.3</v>
      </c>
      <c r="J311" t="s">
        <v>2853</v>
      </c>
      <c r="K311" s="188" t="s">
        <v>2853</v>
      </c>
    </row>
    <row r="312" spans="1:11" x14ac:dyDescent="0.25">
      <c r="A312" t="s">
        <v>4981</v>
      </c>
      <c r="B312" s="27" t="s">
        <v>209</v>
      </c>
      <c r="D312" s="27" t="s">
        <v>411</v>
      </c>
      <c r="E312" s="29" t="s">
        <v>21</v>
      </c>
      <c r="F312" s="30">
        <v>10</v>
      </c>
      <c r="G312" s="31">
        <v>11.73</v>
      </c>
      <c r="H312" s="31">
        <f t="shared" si="73"/>
        <v>117.30000000000001</v>
      </c>
      <c r="I312" s="170" t="s">
        <v>2842</v>
      </c>
      <c r="J312" t="s">
        <v>2853</v>
      </c>
      <c r="K312" s="188" t="s">
        <v>2853</v>
      </c>
    </row>
    <row r="313" spans="1:11" x14ac:dyDescent="0.25">
      <c r="A313" t="s">
        <v>4982</v>
      </c>
      <c r="B313" s="27" t="s">
        <v>212</v>
      </c>
      <c r="D313" s="27" t="s">
        <v>412</v>
      </c>
      <c r="E313" s="29" t="s">
        <v>21</v>
      </c>
      <c r="F313" s="30">
        <v>4</v>
      </c>
      <c r="G313" s="31">
        <v>28.02</v>
      </c>
      <c r="H313" s="31">
        <f t="shared" si="73"/>
        <v>112.08</v>
      </c>
      <c r="I313" s="170" t="s">
        <v>2842</v>
      </c>
      <c r="J313" t="s">
        <v>2853</v>
      </c>
      <c r="K313" s="188" t="s">
        <v>2853</v>
      </c>
    </row>
    <row r="314" spans="1:11" x14ac:dyDescent="0.25">
      <c r="A314" t="s">
        <v>4983</v>
      </c>
      <c r="B314" s="27" t="s">
        <v>217</v>
      </c>
      <c r="D314" s="27" t="s">
        <v>413</v>
      </c>
      <c r="E314" s="29" t="s">
        <v>21</v>
      </c>
      <c r="F314" s="30">
        <v>4</v>
      </c>
      <c r="G314" s="31">
        <v>30.04</v>
      </c>
      <c r="H314" s="31">
        <f t="shared" si="73"/>
        <v>120.16</v>
      </c>
      <c r="J314" t="s">
        <v>2853</v>
      </c>
      <c r="K314" s="188" t="s">
        <v>2853</v>
      </c>
    </row>
    <row r="315" spans="1:11" ht="15" x14ac:dyDescent="0.25">
      <c r="J315" t="s">
        <v>2853</v>
      </c>
      <c r="K315" s="188" t="s">
        <v>2853</v>
      </c>
    </row>
    <row r="316" spans="1:11" x14ac:dyDescent="0.25">
      <c r="B316" s="27"/>
      <c r="D316" s="27"/>
      <c r="E316" s="46"/>
      <c r="F316" s="46"/>
      <c r="G316" s="46"/>
      <c r="H316" s="46"/>
      <c r="I316" s="170" t="s">
        <v>7501</v>
      </c>
      <c r="J316" t="s">
        <v>2853</v>
      </c>
      <c r="K316" s="188" t="s">
        <v>2853</v>
      </c>
    </row>
    <row r="317" spans="1:11" x14ac:dyDescent="0.25">
      <c r="A317" t="s">
        <v>4984</v>
      </c>
      <c r="B317" s="27" t="s">
        <v>414</v>
      </c>
      <c r="D317" s="47" t="s">
        <v>415</v>
      </c>
      <c r="E317" s="29" t="s">
        <v>405</v>
      </c>
      <c r="F317" s="30">
        <v>24</v>
      </c>
      <c r="G317" s="31">
        <v>2.39</v>
      </c>
      <c r="H317" s="31">
        <f t="shared" ref="H317:H320" si="74">+F317*G317</f>
        <v>57.36</v>
      </c>
      <c r="I317" s="170" t="s">
        <v>7501</v>
      </c>
      <c r="J317" t="s">
        <v>2853</v>
      </c>
      <c r="K317" s="188" t="s">
        <v>2853</v>
      </c>
    </row>
    <row r="318" spans="1:11" x14ac:dyDescent="0.25">
      <c r="A318" t="s">
        <v>4985</v>
      </c>
      <c r="B318" s="27" t="s">
        <v>219</v>
      </c>
      <c r="D318" s="47" t="s">
        <v>416</v>
      </c>
      <c r="E318" s="29" t="s">
        <v>405</v>
      </c>
      <c r="F318" s="30">
        <v>50</v>
      </c>
      <c r="G318" s="31">
        <v>1.08</v>
      </c>
      <c r="H318" s="31">
        <f t="shared" si="74"/>
        <v>54</v>
      </c>
      <c r="J318" t="s">
        <v>2853</v>
      </c>
      <c r="K318" s="188" t="s">
        <v>2853</v>
      </c>
    </row>
    <row r="319" spans="1:11" x14ac:dyDescent="0.25">
      <c r="A319" t="s">
        <v>4986</v>
      </c>
      <c r="B319" s="27" t="s">
        <v>222</v>
      </c>
      <c r="D319" s="47" t="s">
        <v>417</v>
      </c>
      <c r="E319" s="29" t="s">
        <v>19</v>
      </c>
      <c r="F319" s="30">
        <v>100</v>
      </c>
      <c r="G319" s="31">
        <v>1.21</v>
      </c>
      <c r="H319" s="31">
        <f t="shared" si="74"/>
        <v>121</v>
      </c>
      <c r="I319" s="170" t="s">
        <v>7501</v>
      </c>
      <c r="J319" t="s">
        <v>2853</v>
      </c>
      <c r="K319" s="188" t="s">
        <v>2853</v>
      </c>
    </row>
    <row r="320" spans="1:11" x14ac:dyDescent="0.25">
      <c r="A320" t="s">
        <v>4987</v>
      </c>
      <c r="B320" s="27" t="s">
        <v>220</v>
      </c>
      <c r="D320" s="47" t="s">
        <v>419</v>
      </c>
      <c r="E320" s="29" t="s">
        <v>59</v>
      </c>
      <c r="F320" s="30">
        <v>100</v>
      </c>
      <c r="G320" s="31">
        <v>0.93</v>
      </c>
      <c r="H320" s="31">
        <f t="shared" si="74"/>
        <v>93</v>
      </c>
      <c r="I320" s="170" t="s">
        <v>7501</v>
      </c>
      <c r="J320" t="s">
        <v>2853</v>
      </c>
      <c r="K320" s="188" t="s">
        <v>2853</v>
      </c>
    </row>
    <row r="321" spans="1:11" x14ac:dyDescent="0.25">
      <c r="B321" s="27"/>
      <c r="D321" s="28"/>
      <c r="E321" s="29"/>
      <c r="F321" s="30"/>
      <c r="G321" s="30"/>
      <c r="H321" s="31"/>
      <c r="I321" s="170" t="s">
        <v>7501</v>
      </c>
      <c r="J321" t="s">
        <v>2853</v>
      </c>
      <c r="K321" s="188" t="s">
        <v>2853</v>
      </c>
    </row>
    <row r="322" spans="1:11" ht="30" x14ac:dyDescent="0.4">
      <c r="B322" s="171" t="s">
        <v>420</v>
      </c>
      <c r="C322" s="25"/>
      <c r="D322" s="25"/>
      <c r="E322" s="25"/>
      <c r="F322" s="25"/>
      <c r="G322" s="25"/>
      <c r="H322" s="25"/>
      <c r="I322" s="170" t="s">
        <v>7501</v>
      </c>
      <c r="J322" t="s">
        <v>2853</v>
      </c>
      <c r="K322" s="188" t="s">
        <v>2853</v>
      </c>
    </row>
    <row r="323" spans="1:11" x14ac:dyDescent="0.25">
      <c r="B323" s="27"/>
      <c r="D323" s="28"/>
      <c r="E323" s="29"/>
      <c r="F323" s="30"/>
      <c r="G323" s="31"/>
      <c r="H323" s="31"/>
      <c r="I323" s="170" t="s">
        <v>7501</v>
      </c>
      <c r="J323" t="s">
        <v>2853</v>
      </c>
      <c r="K323" s="188" t="s">
        <v>2853</v>
      </c>
    </row>
    <row r="324" spans="1:11" x14ac:dyDescent="0.35">
      <c r="A324" t="s">
        <v>4988</v>
      </c>
      <c r="B324" s="27" t="s">
        <v>227</v>
      </c>
      <c r="D324" s="27" t="s">
        <v>421</v>
      </c>
      <c r="E324" s="29" t="s">
        <v>405</v>
      </c>
      <c r="F324" s="30">
        <v>25</v>
      </c>
      <c r="G324" s="31">
        <v>4.63</v>
      </c>
      <c r="H324" s="31">
        <f t="shared" ref="H324:H325" si="75">+F324*G324</f>
        <v>115.75</v>
      </c>
      <c r="I324" s="170" t="s">
        <v>7501</v>
      </c>
      <c r="J324" s="256" t="s">
        <v>8308</v>
      </c>
      <c r="K324" s="259">
        <v>45181</v>
      </c>
    </row>
    <row r="325" spans="1:11" x14ac:dyDescent="0.35">
      <c r="A325" t="s">
        <v>4988</v>
      </c>
      <c r="B325" s="27" t="s">
        <v>228</v>
      </c>
      <c r="D325" s="27" t="s">
        <v>422</v>
      </c>
      <c r="E325" s="29" t="s">
        <v>405</v>
      </c>
      <c r="F325" s="30">
        <v>400</v>
      </c>
      <c r="G325" s="31">
        <v>4.5999999999999996</v>
      </c>
      <c r="H325" s="31">
        <f t="shared" si="75"/>
        <v>1839.9999999999998</v>
      </c>
      <c r="J325" s="256" t="s">
        <v>8304</v>
      </c>
      <c r="K325" s="259">
        <v>45181</v>
      </c>
    </row>
    <row r="326" spans="1:11" x14ac:dyDescent="0.25">
      <c r="B326" s="27"/>
      <c r="D326" s="27"/>
      <c r="E326" s="29"/>
      <c r="F326" s="30"/>
      <c r="G326" s="30"/>
      <c r="H326" s="31"/>
      <c r="I326" s="170" t="s">
        <v>7501</v>
      </c>
      <c r="J326" t="s">
        <v>2853</v>
      </c>
      <c r="K326" s="188" t="s">
        <v>2853</v>
      </c>
    </row>
    <row r="327" spans="1:11" x14ac:dyDescent="0.35">
      <c r="A327" t="s">
        <v>4989</v>
      </c>
      <c r="B327" s="27" t="s">
        <v>229</v>
      </c>
      <c r="D327" s="27" t="s">
        <v>423</v>
      </c>
      <c r="E327" s="29" t="s">
        <v>424</v>
      </c>
      <c r="F327" s="30">
        <v>25</v>
      </c>
      <c r="G327" s="31">
        <v>2.11</v>
      </c>
      <c r="H327" s="31">
        <f t="shared" ref="H327:H333" si="76">+F327*G327</f>
        <v>52.75</v>
      </c>
      <c r="I327" s="170" t="s">
        <v>2842</v>
      </c>
      <c r="J327" s="256" t="s">
        <v>8334</v>
      </c>
      <c r="K327" s="259">
        <v>45260</v>
      </c>
    </row>
    <row r="328" spans="1:11" x14ac:dyDescent="0.35">
      <c r="A328" t="s">
        <v>4990</v>
      </c>
      <c r="B328" s="27" t="s">
        <v>230</v>
      </c>
      <c r="D328" s="27" t="s">
        <v>423</v>
      </c>
      <c r="E328" s="29" t="s">
        <v>59</v>
      </c>
      <c r="F328" s="30">
        <v>25</v>
      </c>
      <c r="G328" s="31">
        <v>2.2200000000000002</v>
      </c>
      <c r="H328" s="31">
        <f t="shared" si="76"/>
        <v>55.500000000000007</v>
      </c>
      <c r="I328" s="170" t="s">
        <v>7501</v>
      </c>
      <c r="J328" s="256" t="s">
        <v>8345</v>
      </c>
      <c r="K328" s="259" t="s">
        <v>8339</v>
      </c>
    </row>
    <row r="329" spans="1:11" x14ac:dyDescent="0.35">
      <c r="A329" t="s">
        <v>4991</v>
      </c>
      <c r="B329" s="27" t="s">
        <v>232</v>
      </c>
      <c r="D329" s="27" t="s">
        <v>423</v>
      </c>
      <c r="E329" s="29" t="s">
        <v>425</v>
      </c>
      <c r="F329" s="30">
        <v>25</v>
      </c>
      <c r="G329" s="31">
        <v>2.2200000000000002</v>
      </c>
      <c r="H329" s="31">
        <f t="shared" si="76"/>
        <v>55.500000000000007</v>
      </c>
      <c r="J329" s="256" t="s">
        <v>8341</v>
      </c>
      <c r="K329" s="259" t="s">
        <v>8339</v>
      </c>
    </row>
    <row r="330" spans="1:11" x14ac:dyDescent="0.35">
      <c r="A330" t="s">
        <v>4992</v>
      </c>
      <c r="B330" s="27" t="s">
        <v>234</v>
      </c>
      <c r="D330" s="27" t="s">
        <v>426</v>
      </c>
      <c r="E330" s="29" t="s">
        <v>427</v>
      </c>
      <c r="F330" s="30">
        <v>25</v>
      </c>
      <c r="G330" s="31">
        <v>2.25</v>
      </c>
      <c r="H330" s="31">
        <f t="shared" si="76"/>
        <v>56.25</v>
      </c>
      <c r="I330" s="170" t="s">
        <v>2842</v>
      </c>
      <c r="J330" s="256" t="s">
        <v>8314</v>
      </c>
      <c r="K330" s="259">
        <v>45211</v>
      </c>
    </row>
    <row r="331" spans="1:11" x14ac:dyDescent="0.35">
      <c r="A331" t="s">
        <v>4993</v>
      </c>
      <c r="B331" s="27" t="s">
        <v>236</v>
      </c>
      <c r="D331" s="27" t="s">
        <v>423</v>
      </c>
      <c r="E331" s="29" t="s">
        <v>428</v>
      </c>
      <c r="F331" s="30">
        <v>25</v>
      </c>
      <c r="G331" s="31">
        <v>2.25</v>
      </c>
      <c r="H331" s="31">
        <f t="shared" si="76"/>
        <v>56.25</v>
      </c>
      <c r="I331" s="170" t="s">
        <v>2842</v>
      </c>
      <c r="J331" s="256" t="s">
        <v>8338</v>
      </c>
      <c r="K331" s="259" t="s">
        <v>8339</v>
      </c>
    </row>
    <row r="332" spans="1:11" x14ac:dyDescent="0.35">
      <c r="A332" t="s">
        <v>4994</v>
      </c>
      <c r="B332" s="27" t="s">
        <v>238</v>
      </c>
      <c r="D332" s="27" t="s">
        <v>423</v>
      </c>
      <c r="E332" s="29" t="s">
        <v>429</v>
      </c>
      <c r="F332" s="30">
        <v>25</v>
      </c>
      <c r="G332" s="31">
        <v>2.2200000000000002</v>
      </c>
      <c r="H332" s="31">
        <f t="shared" si="76"/>
        <v>55.500000000000007</v>
      </c>
      <c r="I332" s="170" t="s">
        <v>2842</v>
      </c>
      <c r="J332" s="256" t="s">
        <v>8328</v>
      </c>
      <c r="K332" s="259">
        <v>45237</v>
      </c>
    </row>
    <row r="333" spans="1:11" x14ac:dyDescent="0.35">
      <c r="A333" t="s">
        <v>4995</v>
      </c>
      <c r="B333" s="27" t="s">
        <v>240</v>
      </c>
      <c r="D333" s="27" t="s">
        <v>423</v>
      </c>
      <c r="E333" s="29" t="s">
        <v>60</v>
      </c>
      <c r="F333" s="30">
        <v>25</v>
      </c>
      <c r="G333" s="31">
        <v>2.11</v>
      </c>
      <c r="H333" s="31">
        <f t="shared" si="76"/>
        <v>52.75</v>
      </c>
      <c r="I333" s="170" t="s">
        <v>2842</v>
      </c>
      <c r="J333" s="256" t="s">
        <v>8300</v>
      </c>
      <c r="K333" s="259">
        <v>45181</v>
      </c>
    </row>
    <row r="334" spans="1:11" x14ac:dyDescent="0.25">
      <c r="I334" s="170" t="s">
        <v>2842</v>
      </c>
      <c r="J334" t="s">
        <v>2853</v>
      </c>
      <c r="K334" s="188" t="s">
        <v>2853</v>
      </c>
    </row>
    <row r="335" spans="1:11" x14ac:dyDescent="0.25">
      <c r="A335" t="s">
        <v>4996</v>
      </c>
      <c r="B335" s="27" t="s">
        <v>241</v>
      </c>
      <c r="D335" s="27" t="s">
        <v>7740</v>
      </c>
      <c r="E335" s="29" t="s">
        <v>405</v>
      </c>
      <c r="F335" s="30">
        <v>100</v>
      </c>
      <c r="G335" s="31">
        <v>0.54</v>
      </c>
      <c r="H335" s="31">
        <f t="shared" ref="H335:H337" si="77">+F335*G335</f>
        <v>54</v>
      </c>
      <c r="J335" t="s">
        <v>2853</v>
      </c>
      <c r="K335" s="188" t="s">
        <v>2853</v>
      </c>
    </row>
    <row r="336" spans="1:11" x14ac:dyDescent="0.25">
      <c r="A336" t="s">
        <v>4997</v>
      </c>
      <c r="B336" s="27" t="s">
        <v>244</v>
      </c>
      <c r="D336" s="27" t="s">
        <v>430</v>
      </c>
      <c r="E336" s="29" t="s">
        <v>405</v>
      </c>
      <c r="F336" s="30">
        <v>500</v>
      </c>
      <c r="G336" s="31">
        <v>0.14000000000000001</v>
      </c>
      <c r="H336" s="31">
        <f t="shared" si="77"/>
        <v>70</v>
      </c>
      <c r="I336" s="170" t="s">
        <v>7501</v>
      </c>
      <c r="J336" t="s">
        <v>2853</v>
      </c>
      <c r="K336" s="188" t="s">
        <v>2853</v>
      </c>
    </row>
    <row r="337" spans="1:11" x14ac:dyDescent="0.25">
      <c r="A337" t="s">
        <v>4998</v>
      </c>
      <c r="B337" s="27" t="s">
        <v>245</v>
      </c>
      <c r="D337" s="27" t="s">
        <v>431</v>
      </c>
      <c r="E337" s="29" t="s">
        <v>405</v>
      </c>
      <c r="F337" s="30">
        <v>100</v>
      </c>
      <c r="G337" s="31">
        <v>0.23</v>
      </c>
      <c r="H337" s="31">
        <f t="shared" si="77"/>
        <v>23</v>
      </c>
      <c r="I337" s="170" t="s">
        <v>7501</v>
      </c>
      <c r="J337" t="s">
        <v>2853</v>
      </c>
      <c r="K337" s="188" t="s">
        <v>2853</v>
      </c>
    </row>
    <row r="338" spans="1:11" x14ac:dyDescent="0.25">
      <c r="B338" s="27"/>
      <c r="I338" s="170" t="s">
        <v>7501</v>
      </c>
      <c r="J338" t="s">
        <v>2853</v>
      </c>
      <c r="K338" s="188" t="s">
        <v>2853</v>
      </c>
    </row>
    <row r="339" spans="1:11" x14ac:dyDescent="0.25">
      <c r="A339" t="s">
        <v>4999</v>
      </c>
      <c r="B339" s="27" t="s">
        <v>248</v>
      </c>
      <c r="D339" s="27" t="s">
        <v>432</v>
      </c>
      <c r="F339" s="30">
        <v>100</v>
      </c>
      <c r="G339" s="31">
        <v>1.05</v>
      </c>
      <c r="H339" s="31">
        <f t="shared" ref="H339:H343" si="78">+F339*G339</f>
        <v>105</v>
      </c>
      <c r="I339" s="170" t="s">
        <v>7501</v>
      </c>
      <c r="J339" t="s">
        <v>2853</v>
      </c>
      <c r="K339" s="188" t="s">
        <v>2853</v>
      </c>
    </row>
    <row r="340" spans="1:11" x14ac:dyDescent="0.25">
      <c r="A340" t="s">
        <v>5000</v>
      </c>
      <c r="B340" s="27" t="s">
        <v>250</v>
      </c>
      <c r="D340" s="27" t="s">
        <v>433</v>
      </c>
      <c r="F340" s="30">
        <v>100</v>
      </c>
      <c r="G340" s="31">
        <v>1.05</v>
      </c>
      <c r="H340" s="31">
        <f t="shared" si="78"/>
        <v>105</v>
      </c>
      <c r="I340" s="170" t="s">
        <v>7501</v>
      </c>
      <c r="J340" t="s">
        <v>2853</v>
      </c>
      <c r="K340" s="188" t="s">
        <v>2853</v>
      </c>
    </row>
    <row r="341" spans="1:11" x14ac:dyDescent="0.25">
      <c r="A341" t="s">
        <v>5001</v>
      </c>
      <c r="B341" s="27" t="s">
        <v>301</v>
      </c>
      <c r="D341" s="27" t="s">
        <v>434</v>
      </c>
      <c r="F341" s="30">
        <v>5000</v>
      </c>
      <c r="G341" s="31">
        <v>0.04</v>
      </c>
      <c r="H341" s="31">
        <f t="shared" si="78"/>
        <v>200</v>
      </c>
      <c r="I341" s="170" t="s">
        <v>7501</v>
      </c>
      <c r="J341" t="s">
        <v>2853</v>
      </c>
      <c r="K341" s="188" t="s">
        <v>2853</v>
      </c>
    </row>
    <row r="342" spans="1:11" x14ac:dyDescent="0.25">
      <c r="A342" t="s">
        <v>5002</v>
      </c>
      <c r="B342" s="27" t="s">
        <v>304</v>
      </c>
      <c r="D342" s="27" t="s">
        <v>435</v>
      </c>
      <c r="F342" s="30">
        <v>1000</v>
      </c>
      <c r="G342" s="31">
        <v>0.01</v>
      </c>
      <c r="H342" s="31">
        <f t="shared" si="78"/>
        <v>10</v>
      </c>
      <c r="I342" s="170" t="s">
        <v>7501</v>
      </c>
      <c r="J342" t="s">
        <v>2853</v>
      </c>
      <c r="K342" s="188" t="s">
        <v>2853</v>
      </c>
    </row>
    <row r="343" spans="1:11" x14ac:dyDescent="0.25">
      <c r="A343" t="s">
        <v>5003</v>
      </c>
      <c r="B343" s="27" t="s">
        <v>305</v>
      </c>
      <c r="D343" s="27" t="s">
        <v>436</v>
      </c>
      <c r="F343" s="30">
        <v>5000</v>
      </c>
      <c r="G343" s="31">
        <v>0.03</v>
      </c>
      <c r="H343" s="31">
        <f t="shared" si="78"/>
        <v>150</v>
      </c>
      <c r="I343" s="170" t="s">
        <v>7501</v>
      </c>
      <c r="J343" t="s">
        <v>2853</v>
      </c>
      <c r="K343" s="188" t="s">
        <v>2853</v>
      </c>
    </row>
    <row r="344" spans="1:11" x14ac:dyDescent="0.25">
      <c r="B344" s="27"/>
      <c r="D344" s="27"/>
      <c r="F344" s="30"/>
      <c r="H344" s="31"/>
      <c r="I344" s="170" t="s">
        <v>7501</v>
      </c>
      <c r="J344" t="s">
        <v>2853</v>
      </c>
      <c r="K344" s="188" t="s">
        <v>2853</v>
      </c>
    </row>
    <row r="345" spans="1:11" x14ac:dyDescent="0.25">
      <c r="A345" t="s">
        <v>5004</v>
      </c>
      <c r="B345" s="27" t="s">
        <v>253</v>
      </c>
      <c r="D345" s="27" t="s">
        <v>437</v>
      </c>
      <c r="E345" s="29" t="s">
        <v>424</v>
      </c>
      <c r="F345" s="30">
        <v>200</v>
      </c>
      <c r="G345" s="31">
        <v>0.19</v>
      </c>
      <c r="H345" s="31">
        <f t="shared" ref="H345:H362" si="79">+F345*G345</f>
        <v>38</v>
      </c>
      <c r="I345" s="170" t="s">
        <v>7501</v>
      </c>
      <c r="J345" t="s">
        <v>2853</v>
      </c>
      <c r="K345" s="188" t="s">
        <v>2853</v>
      </c>
    </row>
    <row r="346" spans="1:11" x14ac:dyDescent="0.25">
      <c r="A346" t="s">
        <v>5005</v>
      </c>
      <c r="B346" s="27" t="s">
        <v>256</v>
      </c>
      <c r="D346" s="27" t="s">
        <v>437</v>
      </c>
      <c r="E346" s="29" t="s">
        <v>59</v>
      </c>
      <c r="F346" s="30">
        <v>200</v>
      </c>
      <c r="G346" s="31">
        <v>0.19</v>
      </c>
      <c r="H346" s="31">
        <f t="shared" si="79"/>
        <v>38</v>
      </c>
      <c r="I346" s="170" t="s">
        <v>7501</v>
      </c>
      <c r="J346" t="s">
        <v>2853</v>
      </c>
      <c r="K346" s="188" t="s">
        <v>2853</v>
      </c>
    </row>
    <row r="347" spans="1:11" x14ac:dyDescent="0.25">
      <c r="A347" t="s">
        <v>5006</v>
      </c>
      <c r="B347" s="27" t="s">
        <v>259</v>
      </c>
      <c r="D347" s="27" t="s">
        <v>437</v>
      </c>
      <c r="E347" s="29" t="s">
        <v>425</v>
      </c>
      <c r="F347" s="30">
        <v>200</v>
      </c>
      <c r="G347" s="31">
        <v>0.19</v>
      </c>
      <c r="H347" s="31">
        <f t="shared" si="79"/>
        <v>38</v>
      </c>
      <c r="I347" s="170" t="s">
        <v>7501</v>
      </c>
      <c r="J347" t="s">
        <v>2853</v>
      </c>
      <c r="K347" s="188" t="s">
        <v>2853</v>
      </c>
    </row>
    <row r="348" spans="1:11" x14ac:dyDescent="0.25">
      <c r="A348" t="s">
        <v>5007</v>
      </c>
      <c r="B348" s="27" t="s">
        <v>262</v>
      </c>
      <c r="D348" s="27" t="s">
        <v>437</v>
      </c>
      <c r="E348" s="29" t="s">
        <v>438</v>
      </c>
      <c r="F348" s="30">
        <v>200</v>
      </c>
      <c r="G348" s="31">
        <v>0.19</v>
      </c>
      <c r="H348" s="31">
        <f t="shared" si="79"/>
        <v>38</v>
      </c>
      <c r="I348" s="170" t="s">
        <v>7501</v>
      </c>
      <c r="J348" t="s">
        <v>2853</v>
      </c>
      <c r="K348" s="188" t="s">
        <v>2853</v>
      </c>
    </row>
    <row r="349" spans="1:11" x14ac:dyDescent="0.25">
      <c r="A349" t="s">
        <v>5008</v>
      </c>
      <c r="B349" s="27" t="s">
        <v>265</v>
      </c>
      <c r="D349" s="27" t="s">
        <v>437</v>
      </c>
      <c r="E349" s="29" t="s">
        <v>427</v>
      </c>
      <c r="F349" s="30">
        <v>200</v>
      </c>
      <c r="G349" s="31">
        <v>0.19</v>
      </c>
      <c r="H349" s="31">
        <f t="shared" si="79"/>
        <v>38</v>
      </c>
      <c r="I349" s="170" t="s">
        <v>7501</v>
      </c>
      <c r="J349" t="s">
        <v>2853</v>
      </c>
      <c r="K349" s="188" t="s">
        <v>2853</v>
      </c>
    </row>
    <row r="350" spans="1:11" x14ac:dyDescent="0.25">
      <c r="A350" t="s">
        <v>5009</v>
      </c>
      <c r="B350" s="27" t="s">
        <v>268</v>
      </c>
      <c r="D350" s="27" t="s">
        <v>437</v>
      </c>
      <c r="E350" s="29" t="s">
        <v>428</v>
      </c>
      <c r="F350" s="30">
        <v>200</v>
      </c>
      <c r="G350" s="31">
        <v>0.19</v>
      </c>
      <c r="H350" s="31">
        <f t="shared" si="79"/>
        <v>38</v>
      </c>
      <c r="I350" s="170" t="s">
        <v>7501</v>
      </c>
      <c r="J350" t="s">
        <v>2853</v>
      </c>
      <c r="K350" s="188" t="s">
        <v>2853</v>
      </c>
    </row>
    <row r="351" spans="1:11" x14ac:dyDescent="0.25">
      <c r="A351" t="s">
        <v>5010</v>
      </c>
      <c r="B351" s="27" t="s">
        <v>271</v>
      </c>
      <c r="D351" s="27" t="s">
        <v>437</v>
      </c>
      <c r="E351" s="29" t="s">
        <v>439</v>
      </c>
      <c r="F351" s="30">
        <v>200</v>
      </c>
      <c r="G351" s="31">
        <v>0.19</v>
      </c>
      <c r="H351" s="31">
        <f t="shared" si="79"/>
        <v>38</v>
      </c>
      <c r="I351" s="170" t="s">
        <v>7501</v>
      </c>
      <c r="J351" t="s">
        <v>2853</v>
      </c>
      <c r="K351" s="188" t="s">
        <v>2853</v>
      </c>
    </row>
    <row r="352" spans="1:11" x14ac:dyDescent="0.25">
      <c r="A352" t="s">
        <v>5011</v>
      </c>
      <c r="B352" s="27" t="s">
        <v>274</v>
      </c>
      <c r="D352" s="27" t="s">
        <v>437</v>
      </c>
      <c r="E352" s="29" t="s">
        <v>429</v>
      </c>
      <c r="F352" s="30">
        <v>200</v>
      </c>
      <c r="G352" s="31">
        <v>0.19</v>
      </c>
      <c r="H352" s="31">
        <f t="shared" si="79"/>
        <v>38</v>
      </c>
      <c r="I352" s="170" t="s">
        <v>7501</v>
      </c>
      <c r="J352" t="s">
        <v>2853</v>
      </c>
      <c r="K352" s="188" t="s">
        <v>2853</v>
      </c>
    </row>
    <row r="353" spans="1:11" x14ac:dyDescent="0.25">
      <c r="A353" t="s">
        <v>5012</v>
      </c>
      <c r="B353" s="27" t="s">
        <v>276</v>
      </c>
      <c r="D353" s="27" t="s">
        <v>437</v>
      </c>
      <c r="E353" s="29" t="s">
        <v>60</v>
      </c>
      <c r="F353" s="30">
        <v>200</v>
      </c>
      <c r="G353" s="31">
        <v>0.19</v>
      </c>
      <c r="H353" s="31">
        <f t="shared" si="79"/>
        <v>38</v>
      </c>
      <c r="I353" s="170" t="s">
        <v>7501</v>
      </c>
      <c r="J353" t="s">
        <v>2853</v>
      </c>
      <c r="K353" s="188" t="s">
        <v>2853</v>
      </c>
    </row>
    <row r="354" spans="1:11" x14ac:dyDescent="0.25">
      <c r="A354" t="s">
        <v>5013</v>
      </c>
      <c r="B354" s="27" t="s">
        <v>277</v>
      </c>
      <c r="D354" s="27" t="s">
        <v>440</v>
      </c>
      <c r="E354" s="29" t="s">
        <v>424</v>
      </c>
      <c r="F354" s="30">
        <v>200</v>
      </c>
      <c r="G354" s="31">
        <v>0.19</v>
      </c>
      <c r="H354" s="31">
        <f t="shared" si="79"/>
        <v>38</v>
      </c>
      <c r="J354" t="s">
        <v>2853</v>
      </c>
      <c r="K354" s="188" t="s">
        <v>2853</v>
      </c>
    </row>
    <row r="355" spans="1:11" x14ac:dyDescent="0.25">
      <c r="A355" t="s">
        <v>5014</v>
      </c>
      <c r="B355" s="27" t="s">
        <v>280</v>
      </c>
      <c r="D355" s="27" t="s">
        <v>440</v>
      </c>
      <c r="E355" s="29" t="s">
        <v>59</v>
      </c>
      <c r="F355" s="30">
        <v>200</v>
      </c>
      <c r="G355" s="31">
        <v>0.19</v>
      </c>
      <c r="H355" s="31">
        <f t="shared" si="79"/>
        <v>38</v>
      </c>
      <c r="I355" s="170" t="s">
        <v>7501</v>
      </c>
      <c r="J355" t="s">
        <v>2853</v>
      </c>
      <c r="K355" s="188" t="s">
        <v>2853</v>
      </c>
    </row>
    <row r="356" spans="1:11" x14ac:dyDescent="0.25">
      <c r="A356" t="s">
        <v>5015</v>
      </c>
      <c r="B356" s="27" t="s">
        <v>282</v>
      </c>
      <c r="D356" s="27" t="s">
        <v>440</v>
      </c>
      <c r="E356" s="29" t="s">
        <v>425</v>
      </c>
      <c r="F356" s="30">
        <v>200</v>
      </c>
      <c r="G356" s="31">
        <v>0.19</v>
      </c>
      <c r="H356" s="31">
        <f t="shared" si="79"/>
        <v>38</v>
      </c>
      <c r="I356" s="170" t="s">
        <v>7501</v>
      </c>
      <c r="J356" t="s">
        <v>2853</v>
      </c>
      <c r="K356" s="188" t="s">
        <v>2853</v>
      </c>
    </row>
    <row r="357" spans="1:11" x14ac:dyDescent="0.25">
      <c r="A357" t="s">
        <v>5016</v>
      </c>
      <c r="B357" s="27" t="s">
        <v>283</v>
      </c>
      <c r="D357" s="27" t="s">
        <v>440</v>
      </c>
      <c r="E357" s="29" t="s">
        <v>438</v>
      </c>
      <c r="F357" s="30">
        <v>200</v>
      </c>
      <c r="G357" s="31">
        <v>0.19</v>
      </c>
      <c r="H357" s="31">
        <f t="shared" si="79"/>
        <v>38</v>
      </c>
      <c r="I357" s="170" t="s">
        <v>7501</v>
      </c>
      <c r="J357" t="s">
        <v>2853</v>
      </c>
      <c r="K357" s="188" t="s">
        <v>2853</v>
      </c>
    </row>
    <row r="358" spans="1:11" x14ac:dyDescent="0.25">
      <c r="A358" t="s">
        <v>5017</v>
      </c>
      <c r="B358" s="27" t="s">
        <v>286</v>
      </c>
      <c r="D358" s="27" t="s">
        <v>440</v>
      </c>
      <c r="E358" s="29" t="s">
        <v>427</v>
      </c>
      <c r="F358" s="30">
        <v>200</v>
      </c>
      <c r="G358" s="31">
        <v>0.19</v>
      </c>
      <c r="H358" s="31">
        <f t="shared" si="79"/>
        <v>38</v>
      </c>
      <c r="I358" s="170" t="s">
        <v>7501</v>
      </c>
      <c r="J358" t="s">
        <v>2853</v>
      </c>
      <c r="K358" s="188" t="s">
        <v>2853</v>
      </c>
    </row>
    <row r="359" spans="1:11" x14ac:dyDescent="0.25">
      <c r="A359" t="s">
        <v>5018</v>
      </c>
      <c r="B359" s="27" t="s">
        <v>289</v>
      </c>
      <c r="D359" s="27" t="s">
        <v>440</v>
      </c>
      <c r="E359" s="29" t="s">
        <v>428</v>
      </c>
      <c r="F359" s="30">
        <v>200</v>
      </c>
      <c r="G359" s="31">
        <v>0.19</v>
      </c>
      <c r="H359" s="31">
        <f t="shared" si="79"/>
        <v>38</v>
      </c>
      <c r="I359" s="170" t="s">
        <v>7501</v>
      </c>
      <c r="J359" t="s">
        <v>2853</v>
      </c>
      <c r="K359" s="188" t="s">
        <v>2853</v>
      </c>
    </row>
    <row r="360" spans="1:11" x14ac:dyDescent="0.25">
      <c r="A360" t="s">
        <v>5019</v>
      </c>
      <c r="B360" s="27" t="s">
        <v>292</v>
      </c>
      <c r="D360" s="27" t="s">
        <v>440</v>
      </c>
      <c r="E360" s="29" t="s">
        <v>439</v>
      </c>
      <c r="F360" s="30">
        <v>200</v>
      </c>
      <c r="G360" s="31">
        <v>0.19</v>
      </c>
      <c r="H360" s="31">
        <f t="shared" si="79"/>
        <v>38</v>
      </c>
      <c r="I360" s="170" t="s">
        <v>7501</v>
      </c>
      <c r="J360" t="s">
        <v>2853</v>
      </c>
      <c r="K360" s="188" t="s">
        <v>2853</v>
      </c>
    </row>
    <row r="361" spans="1:11" x14ac:dyDescent="0.25">
      <c r="A361" t="s">
        <v>5020</v>
      </c>
      <c r="B361" s="27" t="s">
        <v>295</v>
      </c>
      <c r="D361" s="27" t="s">
        <v>440</v>
      </c>
      <c r="E361" s="29" t="s">
        <v>429</v>
      </c>
      <c r="F361" s="30">
        <v>200</v>
      </c>
      <c r="G361" s="31">
        <v>0.19</v>
      </c>
      <c r="H361" s="31">
        <f t="shared" si="79"/>
        <v>38</v>
      </c>
      <c r="I361" s="170" t="s">
        <v>7501</v>
      </c>
      <c r="J361" t="s">
        <v>2853</v>
      </c>
      <c r="K361" s="188" t="s">
        <v>2853</v>
      </c>
    </row>
    <row r="362" spans="1:11" x14ac:dyDescent="0.25">
      <c r="A362" t="s">
        <v>5021</v>
      </c>
      <c r="B362" s="27" t="s">
        <v>298</v>
      </c>
      <c r="D362" s="27" t="s">
        <v>440</v>
      </c>
      <c r="E362" s="29" t="s">
        <v>60</v>
      </c>
      <c r="F362" s="30">
        <v>200</v>
      </c>
      <c r="G362" s="31">
        <v>0.19</v>
      </c>
      <c r="H362" s="31">
        <f t="shared" si="79"/>
        <v>38</v>
      </c>
      <c r="I362" s="170" t="s">
        <v>7501</v>
      </c>
      <c r="J362" t="s">
        <v>2853</v>
      </c>
      <c r="K362" s="188" t="s">
        <v>2853</v>
      </c>
    </row>
    <row r="363" spans="1:11" x14ac:dyDescent="0.25">
      <c r="E363" s="29"/>
      <c r="I363" s="170" t="s">
        <v>7501</v>
      </c>
      <c r="J363" t="s">
        <v>2853</v>
      </c>
      <c r="K363" s="188" t="s">
        <v>2853</v>
      </c>
    </row>
    <row r="364" spans="1:11" x14ac:dyDescent="0.25">
      <c r="A364" t="s">
        <v>5022</v>
      </c>
      <c r="B364" s="27" t="s">
        <v>315</v>
      </c>
      <c r="C364" s="27"/>
      <c r="D364" s="28" t="s">
        <v>441</v>
      </c>
      <c r="E364" s="29" t="s">
        <v>424</v>
      </c>
      <c r="F364" s="30">
        <v>50</v>
      </c>
      <c r="G364" s="31">
        <v>1.4</v>
      </c>
      <c r="H364" s="31">
        <f t="shared" ref="H364:H372" si="80">+F364*G364</f>
        <v>70</v>
      </c>
      <c r="J364" t="s">
        <v>2853</v>
      </c>
      <c r="K364" s="188" t="s">
        <v>2853</v>
      </c>
    </row>
    <row r="365" spans="1:11" x14ac:dyDescent="0.25">
      <c r="A365" t="s">
        <v>5023</v>
      </c>
      <c r="B365" s="27" t="s">
        <v>318</v>
      </c>
      <c r="C365" s="27"/>
      <c r="D365" s="28" t="s">
        <v>441</v>
      </c>
      <c r="E365" s="29" t="s">
        <v>59</v>
      </c>
      <c r="F365" s="30">
        <v>50</v>
      </c>
      <c r="G365" s="31">
        <v>1.4</v>
      </c>
      <c r="H365" s="31">
        <f t="shared" si="80"/>
        <v>70</v>
      </c>
      <c r="I365" s="170" t="s">
        <v>7501</v>
      </c>
      <c r="J365" t="s">
        <v>2853</v>
      </c>
      <c r="K365" s="188" t="s">
        <v>2853</v>
      </c>
    </row>
    <row r="366" spans="1:11" x14ac:dyDescent="0.25">
      <c r="A366" t="s">
        <v>5024</v>
      </c>
      <c r="B366" s="27" t="s">
        <v>321</v>
      </c>
      <c r="C366" s="27"/>
      <c r="D366" s="28" t="s">
        <v>441</v>
      </c>
      <c r="E366" s="29" t="s">
        <v>425</v>
      </c>
      <c r="F366" s="30">
        <v>50</v>
      </c>
      <c r="G366" s="31">
        <v>1.48</v>
      </c>
      <c r="H366" s="31">
        <f t="shared" si="80"/>
        <v>74</v>
      </c>
      <c r="I366" s="170" t="s">
        <v>7501</v>
      </c>
      <c r="J366" t="s">
        <v>2853</v>
      </c>
      <c r="K366" s="188" t="s">
        <v>2853</v>
      </c>
    </row>
    <row r="367" spans="1:11" x14ac:dyDescent="0.25">
      <c r="A367" t="s">
        <v>5025</v>
      </c>
      <c r="B367" s="27" t="s">
        <v>325</v>
      </c>
      <c r="C367" s="27"/>
      <c r="D367" s="28" t="s">
        <v>441</v>
      </c>
      <c r="E367" s="29" t="s">
        <v>438</v>
      </c>
      <c r="F367" s="30">
        <v>50</v>
      </c>
      <c r="G367" s="31">
        <v>1.4</v>
      </c>
      <c r="H367" s="31">
        <f t="shared" si="80"/>
        <v>70</v>
      </c>
      <c r="I367" s="170" t="s">
        <v>7501</v>
      </c>
      <c r="J367" t="s">
        <v>2853</v>
      </c>
      <c r="K367" s="188" t="s">
        <v>2853</v>
      </c>
    </row>
    <row r="368" spans="1:11" x14ac:dyDescent="0.25">
      <c r="A368" t="s">
        <v>5026</v>
      </c>
      <c r="B368" s="27" t="s">
        <v>328</v>
      </c>
      <c r="C368" s="27"/>
      <c r="D368" s="28" t="s">
        <v>441</v>
      </c>
      <c r="E368" s="29" t="s">
        <v>427</v>
      </c>
      <c r="F368" s="30">
        <v>50</v>
      </c>
      <c r="G368" s="31">
        <v>1.4</v>
      </c>
      <c r="H368" s="31">
        <f t="shared" si="80"/>
        <v>70</v>
      </c>
      <c r="I368" s="170" t="s">
        <v>7501</v>
      </c>
      <c r="J368" t="s">
        <v>2853</v>
      </c>
      <c r="K368" s="188" t="s">
        <v>2853</v>
      </c>
    </row>
    <row r="369" spans="1:11" x14ac:dyDescent="0.25">
      <c r="A369" t="s">
        <v>5027</v>
      </c>
      <c r="B369" s="27" t="s">
        <v>330</v>
      </c>
      <c r="C369" s="27"/>
      <c r="D369" s="28" t="s">
        <v>441</v>
      </c>
      <c r="E369" s="29" t="s">
        <v>428</v>
      </c>
      <c r="F369" s="30">
        <v>50</v>
      </c>
      <c r="G369" s="31">
        <v>1.48</v>
      </c>
      <c r="H369" s="31">
        <f t="shared" si="80"/>
        <v>74</v>
      </c>
      <c r="I369" s="170" t="s">
        <v>7501</v>
      </c>
      <c r="J369" t="s">
        <v>2853</v>
      </c>
      <c r="K369" s="188" t="s">
        <v>2853</v>
      </c>
    </row>
    <row r="370" spans="1:11" x14ac:dyDescent="0.25">
      <c r="A370" t="s">
        <v>5028</v>
      </c>
      <c r="B370" s="27" t="s">
        <v>333</v>
      </c>
      <c r="C370" s="27"/>
      <c r="D370" s="28" t="s">
        <v>441</v>
      </c>
      <c r="E370" s="29" t="s">
        <v>439</v>
      </c>
      <c r="F370" s="30">
        <v>50</v>
      </c>
      <c r="G370" s="31">
        <v>1.48</v>
      </c>
      <c r="H370" s="31">
        <f t="shared" si="80"/>
        <v>74</v>
      </c>
      <c r="I370" s="170" t="s">
        <v>7501</v>
      </c>
      <c r="J370" t="s">
        <v>2853</v>
      </c>
      <c r="K370" s="188" t="s">
        <v>2853</v>
      </c>
    </row>
    <row r="371" spans="1:11" x14ac:dyDescent="0.25">
      <c r="A371" t="s">
        <v>5029</v>
      </c>
      <c r="B371" s="27" t="s">
        <v>335</v>
      </c>
      <c r="C371" s="27"/>
      <c r="D371" s="28" t="s">
        <v>441</v>
      </c>
      <c r="E371" s="29" t="s">
        <v>429</v>
      </c>
      <c r="F371" s="30">
        <v>50</v>
      </c>
      <c r="G371" s="31">
        <v>1.48</v>
      </c>
      <c r="H371" s="31">
        <f t="shared" si="80"/>
        <v>74</v>
      </c>
      <c r="I371" s="170" t="s">
        <v>7501</v>
      </c>
      <c r="J371" t="s">
        <v>2853</v>
      </c>
      <c r="K371" s="188" t="s">
        <v>2853</v>
      </c>
    </row>
    <row r="372" spans="1:11" x14ac:dyDescent="0.25">
      <c r="A372" t="s">
        <v>5030</v>
      </c>
      <c r="B372" s="27" t="s">
        <v>338</v>
      </c>
      <c r="C372" s="27"/>
      <c r="D372" s="28" t="s">
        <v>441</v>
      </c>
      <c r="E372" s="29" t="s">
        <v>60</v>
      </c>
      <c r="F372" s="30">
        <v>50</v>
      </c>
      <c r="G372" s="31">
        <v>1.4</v>
      </c>
      <c r="H372" s="31">
        <f t="shared" si="80"/>
        <v>70</v>
      </c>
      <c r="I372" s="170" t="s">
        <v>7501</v>
      </c>
      <c r="J372" t="s">
        <v>2853</v>
      </c>
      <c r="K372" s="188" t="s">
        <v>2853</v>
      </c>
    </row>
    <row r="373" spans="1:11" x14ac:dyDescent="0.25">
      <c r="B373" s="27"/>
      <c r="C373" s="27"/>
      <c r="D373" s="28"/>
      <c r="E373" s="29"/>
      <c r="F373" s="48"/>
      <c r="H373" s="49"/>
      <c r="I373" s="170" t="s">
        <v>7501</v>
      </c>
      <c r="J373" t="s">
        <v>2853</v>
      </c>
      <c r="K373" s="188" t="s">
        <v>2853</v>
      </c>
    </row>
    <row r="374" spans="1:11" x14ac:dyDescent="0.25">
      <c r="A374" t="s">
        <v>5031</v>
      </c>
      <c r="B374" s="27" t="s">
        <v>341</v>
      </c>
      <c r="C374" s="27"/>
      <c r="D374" s="28" t="s">
        <v>442</v>
      </c>
      <c r="E374" s="29" t="s">
        <v>424</v>
      </c>
      <c r="F374" s="30">
        <v>25</v>
      </c>
      <c r="G374" s="31">
        <v>2</v>
      </c>
      <c r="H374" s="31">
        <f t="shared" ref="H374:H384" si="81">+F374*G374</f>
        <v>50</v>
      </c>
      <c r="I374" s="170"/>
      <c r="J374" t="s">
        <v>2853</v>
      </c>
      <c r="K374" s="188" t="s">
        <v>2853</v>
      </c>
    </row>
    <row r="375" spans="1:11" x14ac:dyDescent="0.25">
      <c r="A375" t="s">
        <v>5032</v>
      </c>
      <c r="B375" s="27" t="s">
        <v>344</v>
      </c>
      <c r="C375" s="27"/>
      <c r="D375" s="28" t="s">
        <v>442</v>
      </c>
      <c r="E375" s="29" t="s">
        <v>59</v>
      </c>
      <c r="F375" s="30">
        <v>25</v>
      </c>
      <c r="G375" s="31">
        <v>2</v>
      </c>
      <c r="H375" s="31">
        <f t="shared" si="81"/>
        <v>50</v>
      </c>
      <c r="I375" s="170" t="s">
        <v>7501</v>
      </c>
      <c r="J375" t="s">
        <v>2853</v>
      </c>
      <c r="K375" s="188" t="s">
        <v>2853</v>
      </c>
    </row>
    <row r="376" spans="1:11" x14ac:dyDescent="0.25">
      <c r="A376" t="s">
        <v>5033</v>
      </c>
      <c r="B376" s="27" t="s">
        <v>347</v>
      </c>
      <c r="C376" s="27"/>
      <c r="D376" s="28" t="s">
        <v>442</v>
      </c>
      <c r="E376" s="29" t="s">
        <v>425</v>
      </c>
      <c r="F376" s="30">
        <v>25</v>
      </c>
      <c r="G376" s="31">
        <v>2.12</v>
      </c>
      <c r="H376" s="31">
        <f t="shared" si="81"/>
        <v>53</v>
      </c>
      <c r="I376" s="170" t="s">
        <v>7501</v>
      </c>
      <c r="J376" t="s">
        <v>2853</v>
      </c>
      <c r="K376" s="188" t="s">
        <v>2853</v>
      </c>
    </row>
    <row r="377" spans="1:11" x14ac:dyDescent="0.25">
      <c r="A377" t="s">
        <v>5034</v>
      </c>
      <c r="B377" s="27" t="s">
        <v>350</v>
      </c>
      <c r="C377" s="27"/>
      <c r="D377" s="28" t="s">
        <v>442</v>
      </c>
      <c r="E377" s="29" t="s">
        <v>438</v>
      </c>
      <c r="F377" s="30">
        <v>25</v>
      </c>
      <c r="G377" s="31">
        <v>2</v>
      </c>
      <c r="H377" s="31">
        <f t="shared" si="81"/>
        <v>50</v>
      </c>
      <c r="J377" t="s">
        <v>2853</v>
      </c>
      <c r="K377" s="188" t="s">
        <v>2853</v>
      </c>
    </row>
    <row r="378" spans="1:11" x14ac:dyDescent="0.25">
      <c r="A378" t="s">
        <v>5035</v>
      </c>
      <c r="B378" s="27" t="s">
        <v>353</v>
      </c>
      <c r="C378" s="27"/>
      <c r="D378" s="28" t="s">
        <v>442</v>
      </c>
      <c r="E378" s="29" t="s">
        <v>427</v>
      </c>
      <c r="F378" s="30">
        <v>25</v>
      </c>
      <c r="G378" s="31">
        <v>2</v>
      </c>
      <c r="H378" s="31">
        <f t="shared" si="81"/>
        <v>50</v>
      </c>
      <c r="I378" s="170" t="s">
        <v>7501</v>
      </c>
      <c r="J378" t="s">
        <v>2853</v>
      </c>
      <c r="K378" s="188" t="s">
        <v>2853</v>
      </c>
    </row>
    <row r="379" spans="1:11" x14ac:dyDescent="0.25">
      <c r="A379" t="s">
        <v>5036</v>
      </c>
      <c r="B379" s="27" t="s">
        <v>354</v>
      </c>
      <c r="C379" s="27"/>
      <c r="D379" s="28" t="s">
        <v>442</v>
      </c>
      <c r="E379" s="29" t="s">
        <v>428</v>
      </c>
      <c r="F379" s="30">
        <v>25</v>
      </c>
      <c r="G379" s="31">
        <v>2.12</v>
      </c>
      <c r="H379" s="31">
        <f t="shared" si="81"/>
        <v>53</v>
      </c>
      <c r="I379" s="170" t="s">
        <v>7501</v>
      </c>
      <c r="J379" t="s">
        <v>2853</v>
      </c>
      <c r="K379" s="188" t="s">
        <v>2853</v>
      </c>
    </row>
    <row r="380" spans="1:11" x14ac:dyDescent="0.25">
      <c r="A380" t="s">
        <v>5037</v>
      </c>
      <c r="B380" s="27" t="s">
        <v>356</v>
      </c>
      <c r="C380" s="27"/>
      <c r="D380" s="28" t="s">
        <v>442</v>
      </c>
      <c r="E380" s="29" t="s">
        <v>439</v>
      </c>
      <c r="F380" s="30">
        <v>25</v>
      </c>
      <c r="G380" s="31">
        <v>2.12</v>
      </c>
      <c r="H380" s="31">
        <f t="shared" si="81"/>
        <v>53</v>
      </c>
      <c r="I380" s="170" t="s">
        <v>7501</v>
      </c>
      <c r="J380" t="s">
        <v>2853</v>
      </c>
      <c r="K380" s="188" t="s">
        <v>2853</v>
      </c>
    </row>
    <row r="381" spans="1:11" x14ac:dyDescent="0.25">
      <c r="A381" t="s">
        <v>5038</v>
      </c>
      <c r="B381" s="27" t="s">
        <v>359</v>
      </c>
      <c r="C381" s="27"/>
      <c r="D381" s="28" t="s">
        <v>442</v>
      </c>
      <c r="E381" s="29" t="s">
        <v>429</v>
      </c>
      <c r="F381" s="30">
        <v>25</v>
      </c>
      <c r="G381" s="31">
        <v>2.12</v>
      </c>
      <c r="H381" s="31">
        <f t="shared" si="81"/>
        <v>53</v>
      </c>
      <c r="I381" s="170" t="s">
        <v>7501</v>
      </c>
      <c r="J381" t="s">
        <v>2853</v>
      </c>
      <c r="K381" s="188" t="s">
        <v>2853</v>
      </c>
    </row>
    <row r="382" spans="1:11" x14ac:dyDescent="0.25">
      <c r="A382" t="s">
        <v>5039</v>
      </c>
      <c r="B382" s="27" t="s">
        <v>360</v>
      </c>
      <c r="C382" s="27"/>
      <c r="D382" s="28" t="s">
        <v>442</v>
      </c>
      <c r="E382" s="29" t="s">
        <v>60</v>
      </c>
      <c r="F382" s="30">
        <v>25</v>
      </c>
      <c r="G382" s="31">
        <v>2</v>
      </c>
      <c r="H382" s="31">
        <f t="shared" si="81"/>
        <v>50</v>
      </c>
      <c r="I382" s="170" t="s">
        <v>7501</v>
      </c>
      <c r="J382" t="s">
        <v>2853</v>
      </c>
      <c r="K382" s="188" t="s">
        <v>2853</v>
      </c>
    </row>
    <row r="383" spans="1:11" x14ac:dyDescent="0.25">
      <c r="B383" s="27"/>
      <c r="C383" s="27"/>
      <c r="D383" s="28"/>
      <c r="E383" s="29"/>
      <c r="F383" s="30"/>
      <c r="G383" s="31"/>
      <c r="H383" s="31"/>
      <c r="I383" s="170" t="s">
        <v>7501</v>
      </c>
      <c r="J383" t="s">
        <v>2853</v>
      </c>
      <c r="K383" s="188" t="s">
        <v>2853</v>
      </c>
    </row>
    <row r="384" spans="1:11" x14ac:dyDescent="0.25">
      <c r="A384" t="s">
        <v>4958</v>
      </c>
      <c r="B384" s="27" t="s">
        <v>357</v>
      </c>
      <c r="C384" s="1"/>
      <c r="D384" s="27" t="s">
        <v>358</v>
      </c>
      <c r="E384" s="29" t="s">
        <v>59</v>
      </c>
      <c r="F384" s="30">
        <v>25</v>
      </c>
      <c r="G384" s="31">
        <v>2.21</v>
      </c>
      <c r="H384" s="31">
        <f t="shared" si="81"/>
        <v>55.25</v>
      </c>
      <c r="I384" s="170" t="s">
        <v>7501</v>
      </c>
      <c r="J384" t="s">
        <v>2853</v>
      </c>
      <c r="K384" s="188" t="s">
        <v>2853</v>
      </c>
    </row>
    <row r="385" spans="1:11" x14ac:dyDescent="0.25">
      <c r="B385" s="27"/>
      <c r="C385" s="27"/>
      <c r="D385" s="28"/>
      <c r="E385" s="29"/>
      <c r="F385" s="30"/>
      <c r="G385" s="30"/>
      <c r="H385" s="31"/>
      <c r="I385" s="170" t="s">
        <v>7501</v>
      </c>
      <c r="J385" t="s">
        <v>2853</v>
      </c>
      <c r="K385" s="188" t="s">
        <v>2853</v>
      </c>
    </row>
    <row r="386" spans="1:11" x14ac:dyDescent="0.25">
      <c r="A386" t="s">
        <v>5040</v>
      </c>
      <c r="B386" s="27" t="s">
        <v>361</v>
      </c>
      <c r="C386" s="27"/>
      <c r="D386" s="28" t="s">
        <v>443</v>
      </c>
      <c r="E386" s="29" t="s">
        <v>424</v>
      </c>
      <c r="F386" s="30">
        <v>18</v>
      </c>
      <c r="G386" s="31">
        <v>2.42</v>
      </c>
      <c r="H386" s="31">
        <f t="shared" ref="H386:H394" si="82">+F386*G386</f>
        <v>43.56</v>
      </c>
      <c r="J386" t="s">
        <v>2853</v>
      </c>
      <c r="K386" s="188" t="s">
        <v>2853</v>
      </c>
    </row>
    <row r="387" spans="1:11" x14ac:dyDescent="0.25">
      <c r="A387" t="s">
        <v>5041</v>
      </c>
      <c r="B387" s="27" t="s">
        <v>363</v>
      </c>
      <c r="C387" s="27"/>
      <c r="D387" s="28" t="s">
        <v>443</v>
      </c>
      <c r="E387" s="29" t="s">
        <v>59</v>
      </c>
      <c r="F387" s="30">
        <v>18</v>
      </c>
      <c r="G387" s="31">
        <v>2.42</v>
      </c>
      <c r="H387" s="31">
        <f t="shared" si="82"/>
        <v>43.56</v>
      </c>
      <c r="I387" s="170" t="s">
        <v>7501</v>
      </c>
      <c r="J387" t="s">
        <v>2853</v>
      </c>
      <c r="K387" s="188" t="s">
        <v>2853</v>
      </c>
    </row>
    <row r="388" spans="1:11" x14ac:dyDescent="0.25">
      <c r="A388" t="s">
        <v>5042</v>
      </c>
      <c r="B388" s="27" t="s">
        <v>364</v>
      </c>
      <c r="C388" s="27"/>
      <c r="D388" s="28" t="s">
        <v>443</v>
      </c>
      <c r="E388" s="29" t="s">
        <v>425</v>
      </c>
      <c r="F388" s="30">
        <v>18</v>
      </c>
      <c r="G388" s="31">
        <v>2.5499999999999998</v>
      </c>
      <c r="H388" s="31">
        <f t="shared" si="82"/>
        <v>45.9</v>
      </c>
      <c r="I388" s="170" t="s">
        <v>7501</v>
      </c>
      <c r="J388" t="s">
        <v>2853</v>
      </c>
      <c r="K388" s="188" t="s">
        <v>2853</v>
      </c>
    </row>
    <row r="389" spans="1:11" x14ac:dyDescent="0.25">
      <c r="A389" t="s">
        <v>5043</v>
      </c>
      <c r="B389" s="27" t="s">
        <v>366</v>
      </c>
      <c r="C389" s="27"/>
      <c r="D389" s="28" t="s">
        <v>443</v>
      </c>
      <c r="E389" s="29" t="s">
        <v>438</v>
      </c>
      <c r="F389" s="30">
        <v>18</v>
      </c>
      <c r="G389" s="31">
        <v>2.42</v>
      </c>
      <c r="H389" s="31">
        <f t="shared" si="82"/>
        <v>43.56</v>
      </c>
      <c r="I389" s="170" t="s">
        <v>7501</v>
      </c>
      <c r="J389" t="s">
        <v>2853</v>
      </c>
      <c r="K389" s="188" t="s">
        <v>2853</v>
      </c>
    </row>
    <row r="390" spans="1:11" x14ac:dyDescent="0.25">
      <c r="A390" t="s">
        <v>5044</v>
      </c>
      <c r="B390" s="27" t="s">
        <v>367</v>
      </c>
      <c r="C390" s="27"/>
      <c r="D390" s="28" t="s">
        <v>443</v>
      </c>
      <c r="E390" s="29" t="s">
        <v>427</v>
      </c>
      <c r="F390" s="30">
        <v>18</v>
      </c>
      <c r="G390" s="31">
        <v>2.42</v>
      </c>
      <c r="H390" s="31">
        <f t="shared" si="82"/>
        <v>43.56</v>
      </c>
      <c r="I390" s="170" t="s">
        <v>7501</v>
      </c>
      <c r="J390" t="s">
        <v>2853</v>
      </c>
      <c r="K390" s="188" t="s">
        <v>2853</v>
      </c>
    </row>
    <row r="391" spans="1:11" x14ac:dyDescent="0.25">
      <c r="A391" t="s">
        <v>5045</v>
      </c>
      <c r="B391" s="27" t="s">
        <v>369</v>
      </c>
      <c r="C391" s="27"/>
      <c r="D391" s="28" t="s">
        <v>443</v>
      </c>
      <c r="E391" s="29" t="s">
        <v>428</v>
      </c>
      <c r="F391" s="30">
        <v>18</v>
      </c>
      <c r="G391" s="31">
        <v>2.5499999999999998</v>
      </c>
      <c r="H391" s="31">
        <f t="shared" si="82"/>
        <v>45.9</v>
      </c>
      <c r="I391" s="170" t="s">
        <v>7501</v>
      </c>
      <c r="J391" t="s">
        <v>2853</v>
      </c>
      <c r="K391" s="188" t="s">
        <v>2853</v>
      </c>
    </row>
    <row r="392" spans="1:11" x14ac:dyDescent="0.25">
      <c r="A392" t="s">
        <v>5046</v>
      </c>
      <c r="B392" s="27" t="s">
        <v>370</v>
      </c>
      <c r="C392" s="27"/>
      <c r="D392" s="28" t="s">
        <v>443</v>
      </c>
      <c r="E392" s="29" t="s">
        <v>439</v>
      </c>
      <c r="F392" s="30">
        <v>18</v>
      </c>
      <c r="G392" s="31">
        <v>2.5499999999999998</v>
      </c>
      <c r="H392" s="31">
        <f t="shared" si="82"/>
        <v>45.9</v>
      </c>
      <c r="I392" s="170" t="s">
        <v>7501</v>
      </c>
      <c r="J392" t="s">
        <v>2853</v>
      </c>
      <c r="K392" s="188" t="s">
        <v>2853</v>
      </c>
    </row>
    <row r="393" spans="1:11" x14ac:dyDescent="0.25">
      <c r="A393" t="s">
        <v>5047</v>
      </c>
      <c r="B393" s="27" t="s">
        <v>372</v>
      </c>
      <c r="C393" s="27"/>
      <c r="D393" s="28" t="s">
        <v>443</v>
      </c>
      <c r="E393" s="29" t="s">
        <v>429</v>
      </c>
      <c r="F393" s="30">
        <v>18</v>
      </c>
      <c r="G393" s="31">
        <v>2.5499999999999998</v>
      </c>
      <c r="H393" s="31">
        <f t="shared" si="82"/>
        <v>45.9</v>
      </c>
      <c r="I393" s="170" t="s">
        <v>7501</v>
      </c>
      <c r="J393" t="s">
        <v>2853</v>
      </c>
      <c r="K393" s="188" t="s">
        <v>2853</v>
      </c>
    </row>
    <row r="394" spans="1:11" x14ac:dyDescent="0.25">
      <c r="A394" t="s">
        <v>5048</v>
      </c>
      <c r="B394" s="27" t="s">
        <v>373</v>
      </c>
      <c r="C394" s="27"/>
      <c r="D394" s="28" t="s">
        <v>443</v>
      </c>
      <c r="E394" s="29" t="s">
        <v>60</v>
      </c>
      <c r="F394" s="30">
        <v>18</v>
      </c>
      <c r="G394" s="31">
        <v>2.42</v>
      </c>
      <c r="H394" s="31">
        <f t="shared" si="82"/>
        <v>43.56</v>
      </c>
      <c r="I394" s="170" t="s">
        <v>7501</v>
      </c>
      <c r="J394" t="s">
        <v>2853</v>
      </c>
      <c r="K394" s="188" t="s">
        <v>2853</v>
      </c>
    </row>
    <row r="395" spans="1:11" x14ac:dyDescent="0.25">
      <c r="E395" s="29"/>
      <c r="I395" s="170" t="s">
        <v>7501</v>
      </c>
      <c r="J395" t="s">
        <v>2853</v>
      </c>
      <c r="K395" s="188" t="s">
        <v>2853</v>
      </c>
    </row>
    <row r="396" spans="1:11" x14ac:dyDescent="0.25">
      <c r="A396" t="s">
        <v>5049</v>
      </c>
      <c r="B396" s="27" t="s">
        <v>375</v>
      </c>
      <c r="C396" s="27"/>
      <c r="D396" s="28" t="s">
        <v>444</v>
      </c>
      <c r="E396" s="29" t="s">
        <v>424</v>
      </c>
      <c r="F396" s="30">
        <v>25</v>
      </c>
      <c r="G396" s="31">
        <v>1.07</v>
      </c>
      <c r="H396" s="31">
        <f t="shared" ref="H396:H404" si="83">+F396*G396</f>
        <v>26.75</v>
      </c>
      <c r="J396" t="s">
        <v>2853</v>
      </c>
      <c r="K396" s="188" t="s">
        <v>2853</v>
      </c>
    </row>
    <row r="397" spans="1:11" x14ac:dyDescent="0.25">
      <c r="A397" t="s">
        <v>5050</v>
      </c>
      <c r="B397" s="27" t="s">
        <v>376</v>
      </c>
      <c r="C397" s="27"/>
      <c r="D397" s="28" t="s">
        <v>444</v>
      </c>
      <c r="E397" s="29" t="s">
        <v>59</v>
      </c>
      <c r="F397" s="30">
        <v>25</v>
      </c>
      <c r="G397" s="31">
        <v>1.07</v>
      </c>
      <c r="H397" s="31">
        <f t="shared" si="83"/>
        <v>26.75</v>
      </c>
      <c r="I397" s="170" t="s">
        <v>7501</v>
      </c>
      <c r="J397" t="s">
        <v>2853</v>
      </c>
      <c r="K397" s="188" t="s">
        <v>2853</v>
      </c>
    </row>
    <row r="398" spans="1:11" x14ac:dyDescent="0.25">
      <c r="A398" t="s">
        <v>5051</v>
      </c>
      <c r="B398" s="27" t="s">
        <v>378</v>
      </c>
      <c r="C398" s="27"/>
      <c r="D398" s="28" t="s">
        <v>444</v>
      </c>
      <c r="E398" s="29" t="s">
        <v>425</v>
      </c>
      <c r="F398" s="30">
        <v>25</v>
      </c>
      <c r="G398" s="31">
        <v>1.1200000000000001</v>
      </c>
      <c r="H398" s="31">
        <f t="shared" si="83"/>
        <v>28.000000000000004</v>
      </c>
      <c r="I398" s="170" t="s">
        <v>7501</v>
      </c>
      <c r="J398" t="s">
        <v>2853</v>
      </c>
      <c r="K398" s="188" t="s">
        <v>2853</v>
      </c>
    </row>
    <row r="399" spans="1:11" x14ac:dyDescent="0.25">
      <c r="A399" t="s">
        <v>5052</v>
      </c>
      <c r="B399" s="27" t="s">
        <v>379</v>
      </c>
      <c r="C399" s="27"/>
      <c r="D399" s="28" t="s">
        <v>444</v>
      </c>
      <c r="E399" s="29" t="s">
        <v>438</v>
      </c>
      <c r="F399" s="30">
        <v>25</v>
      </c>
      <c r="G399" s="31">
        <v>1.07</v>
      </c>
      <c r="H399" s="31">
        <f t="shared" si="83"/>
        <v>26.75</v>
      </c>
      <c r="I399" s="170" t="s">
        <v>7501</v>
      </c>
      <c r="J399" t="s">
        <v>2853</v>
      </c>
      <c r="K399" s="188" t="s">
        <v>2853</v>
      </c>
    </row>
    <row r="400" spans="1:11" x14ac:dyDescent="0.25">
      <c r="A400" t="s">
        <v>5053</v>
      </c>
      <c r="B400" s="27" t="s">
        <v>380</v>
      </c>
      <c r="C400" s="27"/>
      <c r="D400" s="28" t="s">
        <v>444</v>
      </c>
      <c r="E400" s="29" t="s">
        <v>427</v>
      </c>
      <c r="F400" s="30">
        <v>25</v>
      </c>
      <c r="G400" s="31">
        <v>1.07</v>
      </c>
      <c r="H400" s="31">
        <f t="shared" si="83"/>
        <v>26.75</v>
      </c>
      <c r="I400" s="170" t="s">
        <v>7501</v>
      </c>
      <c r="J400" t="s">
        <v>2853</v>
      </c>
      <c r="K400" s="188" t="s">
        <v>2853</v>
      </c>
    </row>
    <row r="401" spans="1:11" x14ac:dyDescent="0.25">
      <c r="A401" t="s">
        <v>5054</v>
      </c>
      <c r="B401" s="27" t="s">
        <v>382</v>
      </c>
      <c r="C401" s="27"/>
      <c r="D401" s="28" t="s">
        <v>444</v>
      </c>
      <c r="E401" s="29" t="s">
        <v>428</v>
      </c>
      <c r="F401" s="30">
        <v>25</v>
      </c>
      <c r="G401" s="31">
        <v>1.1200000000000001</v>
      </c>
      <c r="H401" s="31">
        <f t="shared" si="83"/>
        <v>28.000000000000004</v>
      </c>
      <c r="I401" s="170" t="s">
        <v>7501</v>
      </c>
      <c r="J401" t="s">
        <v>2853</v>
      </c>
      <c r="K401" s="188" t="s">
        <v>2853</v>
      </c>
    </row>
    <row r="402" spans="1:11" x14ac:dyDescent="0.25">
      <c r="A402" t="s">
        <v>5055</v>
      </c>
      <c r="B402" s="27" t="s">
        <v>384</v>
      </c>
      <c r="C402" s="27"/>
      <c r="D402" s="28" t="s">
        <v>444</v>
      </c>
      <c r="E402" s="29" t="s">
        <v>439</v>
      </c>
      <c r="F402" s="30">
        <v>25</v>
      </c>
      <c r="G402" s="31">
        <v>1.1200000000000001</v>
      </c>
      <c r="H402" s="31">
        <f t="shared" si="83"/>
        <v>28.000000000000004</v>
      </c>
      <c r="I402" s="170" t="s">
        <v>7501</v>
      </c>
      <c r="J402" t="s">
        <v>2853</v>
      </c>
      <c r="K402" s="188" t="s">
        <v>2853</v>
      </c>
    </row>
    <row r="403" spans="1:11" x14ac:dyDescent="0.25">
      <c r="A403" t="s">
        <v>5056</v>
      </c>
      <c r="B403" s="27" t="s">
        <v>386</v>
      </c>
      <c r="C403" s="27"/>
      <c r="D403" s="28" t="s">
        <v>444</v>
      </c>
      <c r="E403" s="29" t="s">
        <v>429</v>
      </c>
      <c r="F403" s="30">
        <v>25</v>
      </c>
      <c r="G403" s="31">
        <v>1.1200000000000001</v>
      </c>
      <c r="H403" s="31">
        <f t="shared" si="83"/>
        <v>28.000000000000004</v>
      </c>
      <c r="I403" s="170" t="s">
        <v>7501</v>
      </c>
      <c r="J403" t="s">
        <v>2853</v>
      </c>
      <c r="K403" s="188" t="s">
        <v>2853</v>
      </c>
    </row>
    <row r="404" spans="1:11" x14ac:dyDescent="0.25">
      <c r="A404" t="s">
        <v>5057</v>
      </c>
      <c r="B404" s="27" t="s">
        <v>388</v>
      </c>
      <c r="C404" s="27"/>
      <c r="D404" s="28" t="s">
        <v>444</v>
      </c>
      <c r="E404" s="29" t="s">
        <v>60</v>
      </c>
      <c r="F404" s="30">
        <v>25</v>
      </c>
      <c r="G404" s="31">
        <v>1.07</v>
      </c>
      <c r="H404" s="31">
        <f t="shared" si="83"/>
        <v>26.75</v>
      </c>
      <c r="I404" s="170" t="s">
        <v>7501</v>
      </c>
      <c r="J404" t="s">
        <v>2853</v>
      </c>
      <c r="K404" s="188" t="s">
        <v>2853</v>
      </c>
    </row>
    <row r="405" spans="1:11" x14ac:dyDescent="0.25">
      <c r="E405" s="29"/>
      <c r="I405" s="170" t="s">
        <v>7501</v>
      </c>
      <c r="J405" t="s">
        <v>2853</v>
      </c>
      <c r="K405" s="188" t="s">
        <v>2853</v>
      </c>
    </row>
    <row r="406" spans="1:11" x14ac:dyDescent="0.25">
      <c r="A406" t="s">
        <v>5058</v>
      </c>
      <c r="B406" s="27" t="s">
        <v>393</v>
      </c>
      <c r="C406" s="27"/>
      <c r="D406" s="28" t="s">
        <v>445</v>
      </c>
      <c r="E406" s="29" t="s">
        <v>424</v>
      </c>
      <c r="F406" s="30">
        <v>250</v>
      </c>
      <c r="G406" s="31">
        <v>0.14000000000000001</v>
      </c>
      <c r="H406" s="31">
        <f t="shared" ref="H406:H415" si="84">+F406*G406</f>
        <v>35</v>
      </c>
      <c r="I406" s="170" t="s">
        <v>2842</v>
      </c>
      <c r="J406" t="s">
        <v>2853</v>
      </c>
      <c r="K406" s="188" t="s">
        <v>2853</v>
      </c>
    </row>
    <row r="407" spans="1:11" x14ac:dyDescent="0.25">
      <c r="A407" t="s">
        <v>5059</v>
      </c>
      <c r="B407" s="27" t="s">
        <v>394</v>
      </c>
      <c r="C407" s="27"/>
      <c r="D407" s="28" t="s">
        <v>445</v>
      </c>
      <c r="E407" s="29" t="s">
        <v>59</v>
      </c>
      <c r="F407" s="30">
        <v>250</v>
      </c>
      <c r="G407" s="31">
        <v>0.14000000000000001</v>
      </c>
      <c r="H407" s="31">
        <f t="shared" si="84"/>
        <v>35</v>
      </c>
      <c r="J407" t="s">
        <v>2853</v>
      </c>
      <c r="K407" s="188" t="s">
        <v>2853</v>
      </c>
    </row>
    <row r="408" spans="1:11" x14ac:dyDescent="0.25">
      <c r="A408" t="s">
        <v>5060</v>
      </c>
      <c r="B408" s="27" t="s">
        <v>396</v>
      </c>
      <c r="C408" s="27"/>
      <c r="D408" s="28" t="s">
        <v>445</v>
      </c>
      <c r="E408" s="29" t="s">
        <v>425</v>
      </c>
      <c r="F408" s="30">
        <v>250</v>
      </c>
      <c r="G408" s="31">
        <v>0.14000000000000001</v>
      </c>
      <c r="H408" s="31">
        <f t="shared" si="84"/>
        <v>35</v>
      </c>
      <c r="J408" t="s">
        <v>2853</v>
      </c>
      <c r="K408" s="188" t="s">
        <v>2853</v>
      </c>
    </row>
    <row r="409" spans="1:11" x14ac:dyDescent="0.25">
      <c r="A409" t="s">
        <v>5061</v>
      </c>
      <c r="B409" s="27" t="s">
        <v>397</v>
      </c>
      <c r="C409" s="27"/>
      <c r="D409" s="28" t="s">
        <v>445</v>
      </c>
      <c r="E409" s="29" t="s">
        <v>438</v>
      </c>
      <c r="F409" s="30">
        <v>250</v>
      </c>
      <c r="G409" s="31">
        <v>0.14000000000000001</v>
      </c>
      <c r="H409" s="31">
        <f t="shared" si="84"/>
        <v>35</v>
      </c>
      <c r="J409" t="s">
        <v>2853</v>
      </c>
      <c r="K409" s="188" t="s">
        <v>2853</v>
      </c>
    </row>
    <row r="410" spans="1:11" x14ac:dyDescent="0.25">
      <c r="A410" t="s">
        <v>5062</v>
      </c>
      <c r="B410" s="27" t="s">
        <v>398</v>
      </c>
      <c r="C410" s="27"/>
      <c r="D410" s="28" t="s">
        <v>445</v>
      </c>
      <c r="E410" s="29" t="s">
        <v>427</v>
      </c>
      <c r="F410" s="30">
        <v>250</v>
      </c>
      <c r="G410" s="31">
        <v>0.14000000000000001</v>
      </c>
      <c r="H410" s="31">
        <f t="shared" si="84"/>
        <v>35</v>
      </c>
      <c r="J410" t="s">
        <v>2853</v>
      </c>
      <c r="K410" s="188" t="s">
        <v>2853</v>
      </c>
    </row>
    <row r="411" spans="1:11" x14ac:dyDescent="0.25">
      <c r="A411" t="s">
        <v>5063</v>
      </c>
      <c r="B411" s="27" t="s">
        <v>399</v>
      </c>
      <c r="C411" s="27"/>
      <c r="D411" s="28" t="s">
        <v>445</v>
      </c>
      <c r="E411" s="29" t="s">
        <v>428</v>
      </c>
      <c r="F411" s="30">
        <v>250</v>
      </c>
      <c r="G411" s="31">
        <v>0.14000000000000001</v>
      </c>
      <c r="H411" s="31">
        <f t="shared" si="84"/>
        <v>35</v>
      </c>
      <c r="J411" t="s">
        <v>2853</v>
      </c>
      <c r="K411" s="188" t="s">
        <v>2853</v>
      </c>
    </row>
    <row r="412" spans="1:11" x14ac:dyDescent="0.25">
      <c r="A412" t="s">
        <v>5064</v>
      </c>
      <c r="B412" s="27" t="s">
        <v>446</v>
      </c>
      <c r="C412" s="27"/>
      <c r="D412" s="28" t="s">
        <v>445</v>
      </c>
      <c r="E412" s="29" t="s">
        <v>439</v>
      </c>
      <c r="F412" s="30">
        <v>250</v>
      </c>
      <c r="G412" s="31">
        <v>0.14000000000000001</v>
      </c>
      <c r="H412" s="31">
        <f t="shared" si="84"/>
        <v>35</v>
      </c>
      <c r="I412" s="170" t="s">
        <v>2842</v>
      </c>
      <c r="J412" t="s">
        <v>2853</v>
      </c>
      <c r="K412" s="188" t="s">
        <v>2853</v>
      </c>
    </row>
    <row r="413" spans="1:11" x14ac:dyDescent="0.25">
      <c r="A413" t="s">
        <v>5065</v>
      </c>
      <c r="B413" s="27" t="s">
        <v>447</v>
      </c>
      <c r="C413" s="27"/>
      <c r="D413" s="28" t="s">
        <v>445</v>
      </c>
      <c r="E413" s="29" t="s">
        <v>429</v>
      </c>
      <c r="F413" s="30">
        <v>250</v>
      </c>
      <c r="G413" s="31">
        <v>0.14000000000000001</v>
      </c>
      <c r="H413" s="31">
        <f t="shared" si="84"/>
        <v>35</v>
      </c>
      <c r="I413" s="170" t="s">
        <v>2842</v>
      </c>
      <c r="J413" t="s">
        <v>2853</v>
      </c>
      <c r="K413" s="188" t="s">
        <v>2853</v>
      </c>
    </row>
    <row r="414" spans="1:11" x14ac:dyDescent="0.25">
      <c r="A414" t="s">
        <v>5066</v>
      </c>
      <c r="B414" s="27" t="s">
        <v>448</v>
      </c>
      <c r="C414" s="27"/>
      <c r="D414" s="28" t="s">
        <v>445</v>
      </c>
      <c r="E414" s="29" t="s">
        <v>60</v>
      </c>
      <c r="F414" s="30">
        <v>250</v>
      </c>
      <c r="G414" s="31">
        <v>0.14000000000000001</v>
      </c>
      <c r="H414" s="31">
        <f t="shared" si="84"/>
        <v>35</v>
      </c>
      <c r="J414" t="s">
        <v>2853</v>
      </c>
      <c r="K414" s="188" t="s">
        <v>2853</v>
      </c>
    </row>
    <row r="415" spans="1:11" x14ac:dyDescent="0.25">
      <c r="A415" t="s">
        <v>5067</v>
      </c>
      <c r="B415" s="27" t="s">
        <v>391</v>
      </c>
      <c r="C415" s="27"/>
      <c r="D415" s="28" t="s">
        <v>449</v>
      </c>
      <c r="E415" s="29" t="s">
        <v>450</v>
      </c>
      <c r="F415" s="30">
        <v>1000</v>
      </c>
      <c r="G415" s="31">
        <v>0.16</v>
      </c>
      <c r="H415" s="31">
        <f t="shared" si="84"/>
        <v>160</v>
      </c>
      <c r="I415" s="170" t="s">
        <v>2842</v>
      </c>
      <c r="J415" t="s">
        <v>2853</v>
      </c>
      <c r="K415" s="188" t="s">
        <v>2853</v>
      </c>
    </row>
    <row r="416" spans="1:11" x14ac:dyDescent="0.25">
      <c r="B416" s="50"/>
      <c r="C416" s="50"/>
      <c r="D416" s="46"/>
      <c r="E416" s="51"/>
      <c r="F416" s="52"/>
      <c r="G416" s="52"/>
      <c r="H416" s="24"/>
      <c r="I416" s="170" t="s">
        <v>2842</v>
      </c>
      <c r="J416" t="s">
        <v>2853</v>
      </c>
      <c r="K416" s="188" t="s">
        <v>2853</v>
      </c>
    </row>
    <row r="417" spans="1:11" ht="30" x14ac:dyDescent="0.4">
      <c r="B417" s="171" t="s">
        <v>451</v>
      </c>
      <c r="C417" s="25"/>
      <c r="D417" s="25"/>
      <c r="E417" s="25"/>
      <c r="F417" s="25"/>
      <c r="G417" s="25"/>
      <c r="H417" s="25"/>
      <c r="I417" s="170" t="s">
        <v>2842</v>
      </c>
      <c r="J417" t="s">
        <v>2853</v>
      </c>
      <c r="K417" s="188" t="s">
        <v>2853</v>
      </c>
    </row>
    <row r="418" spans="1:11" x14ac:dyDescent="0.25">
      <c r="B418" s="50"/>
      <c r="C418" s="50"/>
      <c r="D418" s="46"/>
      <c r="E418" s="53"/>
      <c r="F418" s="52"/>
      <c r="G418" s="24"/>
      <c r="H418" s="24"/>
      <c r="I418" s="170" t="s">
        <v>2842</v>
      </c>
      <c r="J418" t="s">
        <v>2853</v>
      </c>
      <c r="K418" s="188" t="s">
        <v>2853</v>
      </c>
    </row>
    <row r="419" spans="1:11" x14ac:dyDescent="0.25">
      <c r="B419" s="27" t="s">
        <v>453</v>
      </c>
      <c r="C419" s="50"/>
      <c r="D419" s="46"/>
      <c r="E419" s="53"/>
      <c r="F419" s="52"/>
      <c r="G419" s="24"/>
      <c r="H419" s="24"/>
      <c r="J419" t="s">
        <v>2853</v>
      </c>
      <c r="K419" s="188" t="s">
        <v>2853</v>
      </c>
    </row>
    <row r="420" spans="1:11" x14ac:dyDescent="0.25">
      <c r="B420" s="50"/>
      <c r="C420" s="50"/>
      <c r="D420" s="46"/>
      <c r="E420" s="53"/>
      <c r="F420" s="52"/>
      <c r="G420" s="24"/>
      <c r="H420" s="24"/>
      <c r="I420" s="170" t="s">
        <v>2842</v>
      </c>
      <c r="J420" t="s">
        <v>2853</v>
      </c>
      <c r="K420" s="188" t="s">
        <v>2853</v>
      </c>
    </row>
    <row r="421" spans="1:11" x14ac:dyDescent="0.25">
      <c r="A421" t="s">
        <v>5068</v>
      </c>
      <c r="B421" s="27" t="s">
        <v>455</v>
      </c>
      <c r="D421" s="28" t="s">
        <v>456</v>
      </c>
      <c r="E421" s="29" t="s">
        <v>59</v>
      </c>
      <c r="F421" s="30">
        <v>10</v>
      </c>
      <c r="G421" s="31">
        <v>5.22</v>
      </c>
      <c r="H421" s="31">
        <f t="shared" ref="H421:H422" si="85">+F421*G421</f>
        <v>52.199999999999996</v>
      </c>
      <c r="I421" s="170" t="s">
        <v>2842</v>
      </c>
      <c r="J421" t="s">
        <v>2853</v>
      </c>
      <c r="K421" s="188" t="s">
        <v>2853</v>
      </c>
    </row>
    <row r="422" spans="1:11" x14ac:dyDescent="0.25">
      <c r="A422" t="s">
        <v>5069</v>
      </c>
      <c r="B422" s="27" t="s">
        <v>457</v>
      </c>
      <c r="D422" s="28" t="s">
        <v>456</v>
      </c>
      <c r="E422" s="29" t="s">
        <v>60</v>
      </c>
      <c r="F422" s="30">
        <v>10</v>
      </c>
      <c r="G422" s="31">
        <v>5.22</v>
      </c>
      <c r="H422" s="31">
        <f t="shared" si="85"/>
        <v>52.199999999999996</v>
      </c>
      <c r="I422" s="170" t="s">
        <v>7501</v>
      </c>
      <c r="J422" t="s">
        <v>2853</v>
      </c>
      <c r="K422" s="188" t="s">
        <v>2853</v>
      </c>
    </row>
    <row r="423" spans="1:11" x14ac:dyDescent="0.25">
      <c r="B423" s="27"/>
      <c r="D423" s="28"/>
      <c r="E423" s="53"/>
      <c r="F423" s="30"/>
      <c r="G423" s="30"/>
      <c r="H423" s="31"/>
      <c r="I423" s="170" t="s">
        <v>7501</v>
      </c>
      <c r="J423" t="s">
        <v>2853</v>
      </c>
      <c r="K423" s="188" t="s">
        <v>2853</v>
      </c>
    </row>
    <row r="424" spans="1:11" x14ac:dyDescent="0.25">
      <c r="A424" t="s">
        <v>5070</v>
      </c>
      <c r="B424" s="27" t="s">
        <v>460</v>
      </c>
      <c r="D424" s="28" t="s">
        <v>461</v>
      </c>
      <c r="E424" s="53"/>
      <c r="F424" s="30">
        <v>1</v>
      </c>
      <c r="G424" s="31">
        <v>6.8</v>
      </c>
      <c r="H424" s="31">
        <f t="shared" ref="H424:H427" si="86">+F424*G424</f>
        <v>6.8</v>
      </c>
      <c r="J424" t="s">
        <v>2853</v>
      </c>
      <c r="K424" s="188" t="s">
        <v>2853</v>
      </c>
    </row>
    <row r="425" spans="1:11" x14ac:dyDescent="0.25">
      <c r="A425" t="s">
        <v>5071</v>
      </c>
      <c r="B425" s="27" t="s">
        <v>462</v>
      </c>
      <c r="D425" s="28" t="s">
        <v>463</v>
      </c>
      <c r="E425" s="53"/>
      <c r="F425" s="30">
        <v>1</v>
      </c>
      <c r="G425" s="31">
        <v>6.88</v>
      </c>
      <c r="H425" s="31">
        <f t="shared" si="86"/>
        <v>6.88</v>
      </c>
      <c r="J425" t="s">
        <v>2853</v>
      </c>
      <c r="K425" s="188" t="s">
        <v>2853</v>
      </c>
    </row>
    <row r="426" spans="1:11" x14ac:dyDescent="0.25">
      <c r="A426" t="s">
        <v>5072</v>
      </c>
      <c r="B426" s="27" t="s">
        <v>464</v>
      </c>
      <c r="D426" s="28" t="s">
        <v>465</v>
      </c>
      <c r="E426" s="53"/>
      <c r="F426" s="30">
        <v>1</v>
      </c>
      <c r="G426" s="31">
        <v>8.2799999999999994</v>
      </c>
      <c r="H426" s="31">
        <f t="shared" si="86"/>
        <v>8.2799999999999994</v>
      </c>
      <c r="J426" t="s">
        <v>2853</v>
      </c>
      <c r="K426" s="188" t="s">
        <v>2853</v>
      </c>
    </row>
    <row r="427" spans="1:11" x14ac:dyDescent="0.25">
      <c r="A427" t="s">
        <v>5073</v>
      </c>
      <c r="B427" s="27" t="s">
        <v>467</v>
      </c>
      <c r="D427" s="28" t="s">
        <v>468</v>
      </c>
      <c r="E427" s="53"/>
      <c r="F427" s="30">
        <v>1</v>
      </c>
      <c r="G427" s="31">
        <v>8.3000000000000007</v>
      </c>
      <c r="H427" s="31">
        <f t="shared" si="86"/>
        <v>8.3000000000000007</v>
      </c>
      <c r="J427" t="s">
        <v>2853</v>
      </c>
      <c r="K427" s="188" t="s">
        <v>2853</v>
      </c>
    </row>
    <row r="428" spans="1:11" x14ac:dyDescent="0.25">
      <c r="B428" s="50"/>
      <c r="C428" s="50"/>
      <c r="D428" s="46"/>
      <c r="E428" s="53"/>
      <c r="F428" s="52"/>
      <c r="G428" s="52"/>
      <c r="H428" s="24"/>
      <c r="I428" s="170" t="s">
        <v>2842</v>
      </c>
      <c r="J428" t="s">
        <v>2853</v>
      </c>
      <c r="K428" s="188" t="s">
        <v>2853</v>
      </c>
    </row>
    <row r="429" spans="1:11" x14ac:dyDescent="0.25">
      <c r="A429" t="s">
        <v>5074</v>
      </c>
      <c r="B429" s="27" t="s">
        <v>469</v>
      </c>
      <c r="C429" s="50"/>
      <c r="D429" s="28" t="s">
        <v>470</v>
      </c>
      <c r="E429" s="54" t="s">
        <v>471</v>
      </c>
      <c r="F429" s="30">
        <v>1</v>
      </c>
      <c r="G429" s="31">
        <v>37.090000000000003</v>
      </c>
      <c r="H429" s="31">
        <f t="shared" ref="H429:H432" si="87">+F429*G429</f>
        <v>37.090000000000003</v>
      </c>
      <c r="I429" s="170" t="s">
        <v>2842</v>
      </c>
      <c r="J429" t="s">
        <v>2853</v>
      </c>
      <c r="K429" s="188" t="s">
        <v>2853</v>
      </c>
    </row>
    <row r="430" spans="1:11" x14ac:dyDescent="0.25">
      <c r="A430" t="s">
        <v>5075</v>
      </c>
      <c r="B430" s="27" t="s">
        <v>472</v>
      </c>
      <c r="C430" s="50"/>
      <c r="D430" s="28" t="s">
        <v>470</v>
      </c>
      <c r="E430" s="54" t="s">
        <v>473</v>
      </c>
      <c r="F430" s="30">
        <v>1</v>
      </c>
      <c r="G430" s="31">
        <v>37.090000000000003</v>
      </c>
      <c r="H430" s="31">
        <f t="shared" si="87"/>
        <v>37.090000000000003</v>
      </c>
      <c r="I430" s="170" t="s">
        <v>2842</v>
      </c>
      <c r="J430" t="s">
        <v>2853</v>
      </c>
      <c r="K430" s="188" t="s">
        <v>2853</v>
      </c>
    </row>
    <row r="431" spans="1:11" x14ac:dyDescent="0.25">
      <c r="A431" t="s">
        <v>5076</v>
      </c>
      <c r="B431" s="27" t="s">
        <v>474</v>
      </c>
      <c r="C431" s="50"/>
      <c r="D431" s="28" t="s">
        <v>475</v>
      </c>
      <c r="E431" s="54" t="s">
        <v>471</v>
      </c>
      <c r="F431" s="30">
        <v>12</v>
      </c>
      <c r="G431" s="31">
        <v>0.61</v>
      </c>
      <c r="H431" s="31">
        <f t="shared" si="87"/>
        <v>7.32</v>
      </c>
      <c r="J431" t="s">
        <v>2853</v>
      </c>
      <c r="K431" s="188" t="s">
        <v>2853</v>
      </c>
    </row>
    <row r="432" spans="1:11" x14ac:dyDescent="0.25">
      <c r="A432" t="s">
        <v>5077</v>
      </c>
      <c r="B432" s="27" t="s">
        <v>476</v>
      </c>
      <c r="C432" s="50"/>
      <c r="D432" s="28" t="s">
        <v>475</v>
      </c>
      <c r="E432" s="54" t="s">
        <v>473</v>
      </c>
      <c r="F432" s="30">
        <v>12</v>
      </c>
      <c r="G432" s="31">
        <v>0.61</v>
      </c>
      <c r="H432" s="31">
        <f t="shared" si="87"/>
        <v>7.32</v>
      </c>
      <c r="I432" s="170" t="s">
        <v>2842</v>
      </c>
      <c r="J432" t="s">
        <v>2853</v>
      </c>
      <c r="K432" s="188" t="s">
        <v>2853</v>
      </c>
    </row>
    <row r="433" spans="1:11" x14ac:dyDescent="0.25">
      <c r="B433" s="27"/>
      <c r="C433" s="50"/>
      <c r="D433" s="28"/>
      <c r="E433" s="54"/>
      <c r="F433" s="30"/>
      <c r="G433" s="31"/>
      <c r="H433" s="31"/>
      <c r="I433" s="170" t="s">
        <v>2842</v>
      </c>
      <c r="J433" t="s">
        <v>2853</v>
      </c>
      <c r="K433" s="188" t="s">
        <v>2853</v>
      </c>
    </row>
    <row r="434" spans="1:11" x14ac:dyDescent="0.25">
      <c r="B434" s="50"/>
      <c r="C434" s="50"/>
      <c r="D434" s="46"/>
      <c r="E434" s="53"/>
      <c r="F434" s="52"/>
      <c r="G434" s="24"/>
      <c r="H434" s="24"/>
      <c r="I434" s="170" t="s">
        <v>2842</v>
      </c>
      <c r="J434" t="s">
        <v>2853</v>
      </c>
      <c r="K434" s="188" t="s">
        <v>2853</v>
      </c>
    </row>
    <row r="435" spans="1:11" x14ac:dyDescent="0.25">
      <c r="B435" s="27" t="s">
        <v>477</v>
      </c>
      <c r="C435" s="50"/>
      <c r="D435" s="50"/>
      <c r="E435" s="50"/>
      <c r="F435" s="50"/>
      <c r="G435" s="50"/>
      <c r="H435" s="50"/>
      <c r="J435" t="s">
        <v>2853</v>
      </c>
      <c r="K435" s="188" t="s">
        <v>2853</v>
      </c>
    </row>
    <row r="436" spans="1:11" x14ac:dyDescent="0.25">
      <c r="B436" s="50"/>
      <c r="C436" s="50"/>
      <c r="D436" s="46"/>
      <c r="E436" s="53"/>
      <c r="F436" s="52"/>
      <c r="G436" s="24"/>
      <c r="H436" s="24"/>
      <c r="J436" t="s">
        <v>2853</v>
      </c>
      <c r="K436" s="188" t="s">
        <v>2853</v>
      </c>
    </row>
    <row r="437" spans="1:11" x14ac:dyDescent="0.25">
      <c r="A437" t="s">
        <v>5078</v>
      </c>
      <c r="B437" s="55" t="s">
        <v>479</v>
      </c>
      <c r="C437" s="55"/>
      <c r="D437" s="55" t="s">
        <v>480</v>
      </c>
      <c r="E437" s="29" t="s">
        <v>471</v>
      </c>
      <c r="F437" s="30">
        <v>6</v>
      </c>
      <c r="G437" s="31">
        <v>26.32</v>
      </c>
      <c r="H437" s="31">
        <f t="shared" ref="H437:H439" si="88">+F437*G437</f>
        <v>157.92000000000002</v>
      </c>
      <c r="J437" t="s">
        <v>2853</v>
      </c>
      <c r="K437" s="188" t="s">
        <v>2853</v>
      </c>
    </row>
    <row r="438" spans="1:11" x14ac:dyDescent="0.25">
      <c r="A438" t="s">
        <v>5079</v>
      </c>
      <c r="B438" s="55" t="s">
        <v>454</v>
      </c>
      <c r="C438" s="55"/>
      <c r="D438" s="55" t="s">
        <v>482</v>
      </c>
      <c r="E438" s="29" t="s">
        <v>471</v>
      </c>
      <c r="F438" s="30">
        <v>6</v>
      </c>
      <c r="G438" s="31">
        <v>32.19</v>
      </c>
      <c r="H438" s="31">
        <f t="shared" si="88"/>
        <v>193.14</v>
      </c>
      <c r="I438" s="170" t="s">
        <v>2842</v>
      </c>
      <c r="J438" t="s">
        <v>2853</v>
      </c>
      <c r="K438" s="188" t="s">
        <v>2853</v>
      </c>
    </row>
    <row r="439" spans="1:11" x14ac:dyDescent="0.25">
      <c r="A439" t="s">
        <v>5080</v>
      </c>
      <c r="B439" s="55" t="s">
        <v>459</v>
      </c>
      <c r="C439" s="55"/>
      <c r="D439" s="55" t="s">
        <v>483</v>
      </c>
      <c r="E439" s="29" t="s">
        <v>471</v>
      </c>
      <c r="F439" s="30">
        <v>6</v>
      </c>
      <c r="G439" s="31">
        <v>37.799999999999997</v>
      </c>
      <c r="H439" s="31">
        <f t="shared" si="88"/>
        <v>226.79999999999998</v>
      </c>
      <c r="I439" s="170" t="s">
        <v>2842</v>
      </c>
      <c r="J439" t="s">
        <v>2853</v>
      </c>
      <c r="K439" s="188" t="s">
        <v>2853</v>
      </c>
    </row>
    <row r="440" spans="1:11" x14ac:dyDescent="0.25">
      <c r="B440" s="27"/>
      <c r="D440" s="56"/>
      <c r="E440" s="29"/>
      <c r="F440" s="30"/>
      <c r="G440" s="31"/>
      <c r="H440" s="31"/>
      <c r="I440" s="170" t="s">
        <v>2842</v>
      </c>
      <c r="J440" t="s">
        <v>2853</v>
      </c>
      <c r="K440" s="188" t="s">
        <v>2853</v>
      </c>
    </row>
    <row r="441" spans="1:11" x14ac:dyDescent="0.25">
      <c r="A441" t="s">
        <v>5081</v>
      </c>
      <c r="B441" s="55" t="s">
        <v>452</v>
      </c>
      <c r="C441" s="55"/>
      <c r="D441" s="55" t="s">
        <v>480</v>
      </c>
      <c r="E441" s="29" t="s">
        <v>473</v>
      </c>
      <c r="F441" s="30">
        <v>6</v>
      </c>
      <c r="G441" s="31">
        <v>26.32</v>
      </c>
      <c r="H441" s="31">
        <f t="shared" ref="H441:H443" si="89">+F441*G441</f>
        <v>157.92000000000002</v>
      </c>
      <c r="I441" s="170" t="s">
        <v>2842</v>
      </c>
      <c r="J441" t="s">
        <v>2853</v>
      </c>
      <c r="K441" s="188" t="s">
        <v>2853</v>
      </c>
    </row>
    <row r="442" spans="1:11" x14ac:dyDescent="0.25">
      <c r="A442" t="s">
        <v>5082</v>
      </c>
      <c r="B442" s="55" t="s">
        <v>458</v>
      </c>
      <c r="C442" s="55"/>
      <c r="D442" s="55" t="s">
        <v>482</v>
      </c>
      <c r="E442" s="29" t="s">
        <v>473</v>
      </c>
      <c r="F442" s="30">
        <v>6</v>
      </c>
      <c r="G442" s="31">
        <v>32.19</v>
      </c>
      <c r="H442" s="31">
        <f t="shared" si="89"/>
        <v>193.14</v>
      </c>
      <c r="I442" s="170" t="s">
        <v>2842</v>
      </c>
      <c r="J442" t="s">
        <v>2853</v>
      </c>
      <c r="K442" s="188" t="s">
        <v>2853</v>
      </c>
    </row>
    <row r="443" spans="1:11" x14ac:dyDescent="0.25">
      <c r="A443" t="s">
        <v>5083</v>
      </c>
      <c r="B443" s="55" t="s">
        <v>466</v>
      </c>
      <c r="C443" s="55"/>
      <c r="D443" s="55" t="s">
        <v>483</v>
      </c>
      <c r="E443" s="29" t="s">
        <v>473</v>
      </c>
      <c r="F443" s="30">
        <v>6</v>
      </c>
      <c r="G443" s="31">
        <v>37.799999999999997</v>
      </c>
      <c r="H443" s="31">
        <f t="shared" si="89"/>
        <v>226.79999999999998</v>
      </c>
      <c r="I443" s="170" t="s">
        <v>2842</v>
      </c>
      <c r="J443" t="s">
        <v>2853</v>
      </c>
      <c r="K443" s="188" t="s">
        <v>2853</v>
      </c>
    </row>
    <row r="444" spans="1:11" x14ac:dyDescent="0.25">
      <c r="D444" s="28"/>
      <c r="E444" s="29"/>
      <c r="F444" s="30"/>
      <c r="G444" s="31"/>
      <c r="H444" s="31"/>
      <c r="I444" s="170" t="s">
        <v>2842</v>
      </c>
      <c r="J444" t="s">
        <v>2853</v>
      </c>
      <c r="K444" s="188" t="s">
        <v>2853</v>
      </c>
    </row>
    <row r="445" spans="1:11" x14ac:dyDescent="0.25">
      <c r="B445" s="27" t="s">
        <v>487</v>
      </c>
      <c r="D445" s="28"/>
      <c r="E445" s="29"/>
      <c r="F445" s="30"/>
      <c r="G445" s="31"/>
      <c r="H445" s="31"/>
      <c r="I445" s="170" t="s">
        <v>2842</v>
      </c>
      <c r="J445" t="s">
        <v>2853</v>
      </c>
      <c r="K445" s="188" t="s">
        <v>2853</v>
      </c>
    </row>
    <row r="446" spans="1:11" x14ac:dyDescent="0.25">
      <c r="B446" s="27"/>
      <c r="D446" s="28"/>
      <c r="E446" s="29"/>
      <c r="F446" s="30"/>
      <c r="G446" s="31"/>
      <c r="H446" s="31"/>
      <c r="I446" s="170" t="s">
        <v>2842</v>
      </c>
      <c r="J446" t="s">
        <v>2853</v>
      </c>
      <c r="K446" s="188" t="s">
        <v>2853</v>
      </c>
    </row>
    <row r="447" spans="1:11" x14ac:dyDescent="0.25">
      <c r="A447" t="s">
        <v>5084</v>
      </c>
      <c r="B447" s="55" t="s">
        <v>489</v>
      </c>
      <c r="D447" s="56" t="s">
        <v>490</v>
      </c>
      <c r="E447" s="29" t="s">
        <v>21</v>
      </c>
      <c r="F447" s="30">
        <v>1</v>
      </c>
      <c r="G447" s="31">
        <v>71.39</v>
      </c>
      <c r="H447" s="31">
        <f t="shared" ref="H447:H454" si="90">+F447*G447</f>
        <v>71.39</v>
      </c>
      <c r="I447" s="170" t="s">
        <v>2842</v>
      </c>
      <c r="J447" t="s">
        <v>2853</v>
      </c>
      <c r="K447" s="188" t="s">
        <v>2853</v>
      </c>
    </row>
    <row r="448" spans="1:11" x14ac:dyDescent="0.25">
      <c r="A448" t="s">
        <v>5085</v>
      </c>
      <c r="B448" s="55" t="s">
        <v>492</v>
      </c>
      <c r="D448" s="56" t="s">
        <v>490</v>
      </c>
      <c r="E448" s="29" t="s">
        <v>21</v>
      </c>
      <c r="F448" s="30">
        <v>1</v>
      </c>
      <c r="G448" s="31">
        <v>71.39</v>
      </c>
      <c r="H448" s="31">
        <f t="shared" si="90"/>
        <v>71.39</v>
      </c>
      <c r="I448" s="170" t="s">
        <v>2842</v>
      </c>
      <c r="J448" t="s">
        <v>2853</v>
      </c>
      <c r="K448" s="188" t="s">
        <v>2853</v>
      </c>
    </row>
    <row r="449" spans="1:11" x14ac:dyDescent="0.25">
      <c r="A449" t="s">
        <v>5086</v>
      </c>
      <c r="B449" s="55" t="s">
        <v>478</v>
      </c>
      <c r="D449" s="56" t="s">
        <v>494</v>
      </c>
      <c r="E449" s="29" t="s">
        <v>21</v>
      </c>
      <c r="F449" s="30">
        <v>1</v>
      </c>
      <c r="G449" s="31">
        <v>77.87</v>
      </c>
      <c r="H449" s="31">
        <f t="shared" si="90"/>
        <v>77.87</v>
      </c>
      <c r="I449" s="170" t="s">
        <v>2842</v>
      </c>
      <c r="J449" t="s">
        <v>2853</v>
      </c>
      <c r="K449" s="188" t="s">
        <v>2853</v>
      </c>
    </row>
    <row r="450" spans="1:11" x14ac:dyDescent="0.25">
      <c r="A450" t="s">
        <v>5087</v>
      </c>
      <c r="B450" s="55" t="s">
        <v>481</v>
      </c>
      <c r="D450" s="56" t="s">
        <v>494</v>
      </c>
      <c r="E450" s="29" t="s">
        <v>21</v>
      </c>
      <c r="F450" s="30">
        <v>1</v>
      </c>
      <c r="G450" s="31">
        <v>77.87</v>
      </c>
      <c r="H450" s="31">
        <f t="shared" si="90"/>
        <v>77.87</v>
      </c>
      <c r="I450" s="170" t="s">
        <v>2842</v>
      </c>
      <c r="J450" t="s">
        <v>2853</v>
      </c>
      <c r="K450" s="188" t="s">
        <v>2853</v>
      </c>
    </row>
    <row r="451" spans="1:11" x14ac:dyDescent="0.25">
      <c r="A451" t="s">
        <v>5088</v>
      </c>
      <c r="B451" s="55" t="s">
        <v>484</v>
      </c>
      <c r="D451" s="56" t="s">
        <v>497</v>
      </c>
      <c r="E451" s="29" t="s">
        <v>21</v>
      </c>
      <c r="F451" s="30">
        <v>1</v>
      </c>
      <c r="G451" s="31">
        <v>84.33</v>
      </c>
      <c r="H451" s="31">
        <f t="shared" si="90"/>
        <v>84.33</v>
      </c>
      <c r="I451" s="170" t="s">
        <v>2842</v>
      </c>
      <c r="J451" t="s">
        <v>2853</v>
      </c>
      <c r="K451" s="188" t="s">
        <v>2853</v>
      </c>
    </row>
    <row r="452" spans="1:11" x14ac:dyDescent="0.25">
      <c r="A452" t="s">
        <v>5089</v>
      </c>
      <c r="B452" s="55" t="s">
        <v>485</v>
      </c>
      <c r="D452" s="56" t="s">
        <v>497</v>
      </c>
      <c r="E452" s="29" t="s">
        <v>21</v>
      </c>
      <c r="F452" s="30">
        <v>1</v>
      </c>
      <c r="G452" s="31">
        <v>84.33</v>
      </c>
      <c r="H452" s="31">
        <f t="shared" si="90"/>
        <v>84.33</v>
      </c>
      <c r="I452" s="170" t="s">
        <v>2842</v>
      </c>
      <c r="J452" t="s">
        <v>2853</v>
      </c>
      <c r="K452" s="188" t="s">
        <v>2853</v>
      </c>
    </row>
    <row r="453" spans="1:11" x14ac:dyDescent="0.25">
      <c r="A453" t="s">
        <v>5090</v>
      </c>
      <c r="B453" s="55" t="s">
        <v>486</v>
      </c>
      <c r="D453" s="56" t="s">
        <v>498</v>
      </c>
      <c r="E453" s="29" t="s">
        <v>21</v>
      </c>
      <c r="F453" s="30">
        <v>1</v>
      </c>
      <c r="G453" s="31">
        <v>90.83</v>
      </c>
      <c r="H453" s="31">
        <f t="shared" si="90"/>
        <v>90.83</v>
      </c>
      <c r="J453" t="s">
        <v>2853</v>
      </c>
      <c r="K453" s="188" t="s">
        <v>2853</v>
      </c>
    </row>
    <row r="454" spans="1:11" x14ac:dyDescent="0.25">
      <c r="A454" t="s">
        <v>5091</v>
      </c>
      <c r="B454" s="55" t="s">
        <v>488</v>
      </c>
      <c r="D454" s="56" t="s">
        <v>498</v>
      </c>
      <c r="E454" s="29" t="s">
        <v>21</v>
      </c>
      <c r="F454" s="30">
        <v>1</v>
      </c>
      <c r="G454" s="31">
        <v>90.83</v>
      </c>
      <c r="H454" s="31">
        <f t="shared" si="90"/>
        <v>90.83</v>
      </c>
      <c r="I454" s="170" t="s">
        <v>2842</v>
      </c>
      <c r="J454" t="s">
        <v>2853</v>
      </c>
      <c r="K454" s="188" t="s">
        <v>2853</v>
      </c>
    </row>
    <row r="455" spans="1:11" x14ac:dyDescent="0.25">
      <c r="B455" s="27"/>
      <c r="D455" s="56"/>
      <c r="E455" s="29"/>
      <c r="F455" s="30"/>
      <c r="G455" s="30"/>
      <c r="H455" s="31"/>
      <c r="I455" s="170" t="s">
        <v>2842</v>
      </c>
      <c r="J455" t="s">
        <v>2853</v>
      </c>
      <c r="K455" s="188" t="s">
        <v>2853</v>
      </c>
    </row>
    <row r="456" spans="1:11" x14ac:dyDescent="0.25">
      <c r="A456" t="s">
        <v>5092</v>
      </c>
      <c r="B456" s="55" t="s">
        <v>491</v>
      </c>
      <c r="C456" s="55"/>
      <c r="D456" s="55" t="s">
        <v>500</v>
      </c>
      <c r="E456" s="27" t="s">
        <v>21</v>
      </c>
      <c r="F456" s="30">
        <v>1</v>
      </c>
      <c r="G456" s="31">
        <v>21.83</v>
      </c>
      <c r="H456" s="31">
        <f t="shared" ref="H456:H459" si="91">+F456*G456</f>
        <v>21.83</v>
      </c>
      <c r="J456" t="s">
        <v>2853</v>
      </c>
      <c r="K456" s="188" t="s">
        <v>2853</v>
      </c>
    </row>
    <row r="457" spans="1:11" x14ac:dyDescent="0.25">
      <c r="A457" t="s">
        <v>5093</v>
      </c>
      <c r="B457" s="55" t="s">
        <v>493</v>
      </c>
      <c r="C457" s="55"/>
      <c r="D457" s="55" t="s">
        <v>501</v>
      </c>
      <c r="E457" s="27" t="s">
        <v>21</v>
      </c>
      <c r="F457" s="30">
        <v>1</v>
      </c>
      <c r="G457" s="31">
        <v>30.59</v>
      </c>
      <c r="H457" s="31">
        <f t="shared" si="91"/>
        <v>30.59</v>
      </c>
      <c r="I457" s="170" t="s">
        <v>2842</v>
      </c>
      <c r="J457" t="s">
        <v>2853</v>
      </c>
      <c r="K457" s="188" t="s">
        <v>2853</v>
      </c>
    </row>
    <row r="458" spans="1:11" x14ac:dyDescent="0.25">
      <c r="A458" t="s">
        <v>5094</v>
      </c>
      <c r="B458" s="55" t="s">
        <v>495</v>
      </c>
      <c r="C458" s="55"/>
      <c r="D458" s="55" t="s">
        <v>502</v>
      </c>
      <c r="E458" s="27" t="s">
        <v>21</v>
      </c>
      <c r="F458" s="30">
        <v>1</v>
      </c>
      <c r="G458" s="31">
        <v>39.31</v>
      </c>
      <c r="H458" s="31">
        <f t="shared" si="91"/>
        <v>39.31</v>
      </c>
      <c r="I458" s="170" t="s">
        <v>2842</v>
      </c>
      <c r="J458" t="s">
        <v>2853</v>
      </c>
      <c r="K458" s="188" t="s">
        <v>2853</v>
      </c>
    </row>
    <row r="459" spans="1:11" x14ac:dyDescent="0.25">
      <c r="A459" t="s">
        <v>5095</v>
      </c>
      <c r="B459" s="55" t="s">
        <v>496</v>
      </c>
      <c r="C459" s="55"/>
      <c r="D459" s="55" t="s">
        <v>503</v>
      </c>
      <c r="E459" s="27" t="s">
        <v>21</v>
      </c>
      <c r="F459" s="30">
        <v>1</v>
      </c>
      <c r="G459" s="31">
        <v>48.05</v>
      </c>
      <c r="H459" s="31">
        <f t="shared" si="91"/>
        <v>48.05</v>
      </c>
      <c r="J459" t="s">
        <v>2853</v>
      </c>
      <c r="K459" s="188" t="s">
        <v>2853</v>
      </c>
    </row>
    <row r="460" spans="1:11" x14ac:dyDescent="0.25">
      <c r="B460" s="27"/>
      <c r="D460" s="56"/>
      <c r="E460" s="29"/>
      <c r="F460" s="30"/>
      <c r="G460" s="30"/>
      <c r="H460" s="31"/>
      <c r="J460" t="s">
        <v>2853</v>
      </c>
      <c r="K460" s="188" t="s">
        <v>2853</v>
      </c>
    </row>
    <row r="461" spans="1:11" x14ac:dyDescent="0.25">
      <c r="B461" s="27"/>
      <c r="D461" s="56"/>
      <c r="E461" s="29"/>
      <c r="F461" s="30"/>
      <c r="G461" s="30"/>
      <c r="H461" s="31"/>
      <c r="I461" s="170" t="s">
        <v>2842</v>
      </c>
      <c r="J461" t="s">
        <v>2853</v>
      </c>
      <c r="K461" s="188" t="s">
        <v>2853</v>
      </c>
    </row>
    <row r="462" spans="1:11" x14ac:dyDescent="0.25">
      <c r="A462" t="s">
        <v>5096</v>
      </c>
      <c r="B462" s="55" t="s">
        <v>499</v>
      </c>
      <c r="C462" s="55"/>
      <c r="D462" s="55" t="s">
        <v>504</v>
      </c>
      <c r="E462" s="27" t="s">
        <v>21</v>
      </c>
      <c r="F462" s="30">
        <v>6</v>
      </c>
      <c r="G462" s="31">
        <v>10.11</v>
      </c>
      <c r="H462" s="31">
        <f t="shared" ref="H462" si="92">+F462*G462</f>
        <v>60.66</v>
      </c>
      <c r="I462" s="170" t="s">
        <v>2842</v>
      </c>
      <c r="J462" t="s">
        <v>2853</v>
      </c>
      <c r="K462" s="188" t="s">
        <v>2853</v>
      </c>
    </row>
    <row r="463" spans="1:11" x14ac:dyDescent="0.25">
      <c r="B463" s="27"/>
      <c r="D463" s="56"/>
      <c r="E463" s="29"/>
      <c r="F463" s="30"/>
      <c r="G463" s="30"/>
      <c r="H463" s="31"/>
      <c r="I463" s="170" t="s">
        <v>2842</v>
      </c>
      <c r="J463" t="s">
        <v>2853</v>
      </c>
      <c r="K463" s="188" t="s">
        <v>2853</v>
      </c>
    </row>
    <row r="464" spans="1:11" x14ac:dyDescent="0.25">
      <c r="B464" s="27" t="s">
        <v>505</v>
      </c>
      <c r="D464" s="56"/>
      <c r="E464" s="29"/>
      <c r="F464" s="30"/>
      <c r="G464" s="30"/>
      <c r="H464" s="31"/>
      <c r="I464" s="170" t="s">
        <v>2842</v>
      </c>
      <c r="J464" t="s">
        <v>2853</v>
      </c>
      <c r="K464" s="188" t="s">
        <v>2853</v>
      </c>
    </row>
    <row r="465" spans="1:11" x14ac:dyDescent="0.25">
      <c r="B465" s="27"/>
      <c r="D465" s="56"/>
      <c r="E465" s="29"/>
      <c r="F465" s="30"/>
      <c r="G465" s="30"/>
      <c r="H465" s="31"/>
      <c r="I465" s="170" t="s">
        <v>2842</v>
      </c>
      <c r="J465" t="s">
        <v>2853</v>
      </c>
      <c r="K465" s="188" t="s">
        <v>2853</v>
      </c>
    </row>
    <row r="466" spans="1:11" x14ac:dyDescent="0.25">
      <c r="A466" t="s">
        <v>5097</v>
      </c>
      <c r="B466" s="55" t="s">
        <v>506</v>
      </c>
      <c r="D466" s="56" t="s">
        <v>507</v>
      </c>
      <c r="E466" s="29" t="s">
        <v>21</v>
      </c>
      <c r="F466" s="30">
        <v>1</v>
      </c>
      <c r="G466" s="31">
        <v>90.46</v>
      </c>
      <c r="H466" s="31">
        <f t="shared" ref="H466:H473" si="93">+F466*G466</f>
        <v>90.46</v>
      </c>
      <c r="I466" s="170" t="s">
        <v>2842</v>
      </c>
      <c r="J466" t="s">
        <v>2853</v>
      </c>
      <c r="K466" s="188" t="s">
        <v>2853</v>
      </c>
    </row>
    <row r="467" spans="1:11" x14ac:dyDescent="0.25">
      <c r="A467" t="s">
        <v>5098</v>
      </c>
      <c r="B467" s="55" t="s">
        <v>508</v>
      </c>
      <c r="D467" s="56" t="s">
        <v>507</v>
      </c>
      <c r="E467" s="29" t="s">
        <v>21</v>
      </c>
      <c r="F467" s="30">
        <v>1</v>
      </c>
      <c r="G467" s="31">
        <v>90.46</v>
      </c>
      <c r="H467" s="31">
        <f t="shared" si="93"/>
        <v>90.46</v>
      </c>
      <c r="I467" s="170" t="s">
        <v>2842</v>
      </c>
      <c r="J467" t="s">
        <v>2853</v>
      </c>
      <c r="K467" s="188" t="s">
        <v>2853</v>
      </c>
    </row>
    <row r="468" spans="1:11" x14ac:dyDescent="0.25">
      <c r="A468" t="s">
        <v>5099</v>
      </c>
      <c r="B468" s="55" t="s">
        <v>509</v>
      </c>
      <c r="D468" s="56" t="s">
        <v>510</v>
      </c>
      <c r="E468" s="29" t="s">
        <v>21</v>
      </c>
      <c r="F468" s="30">
        <v>1</v>
      </c>
      <c r="G468" s="31">
        <v>100.74</v>
      </c>
      <c r="H468" s="31">
        <f t="shared" si="93"/>
        <v>100.74</v>
      </c>
      <c r="I468" s="170" t="s">
        <v>2842</v>
      </c>
      <c r="J468" t="s">
        <v>2853</v>
      </c>
      <c r="K468" s="188" t="s">
        <v>2853</v>
      </c>
    </row>
    <row r="469" spans="1:11" x14ac:dyDescent="0.25">
      <c r="A469" t="s">
        <v>5100</v>
      </c>
      <c r="B469" s="55" t="s">
        <v>511</v>
      </c>
      <c r="D469" s="56" t="s">
        <v>510</v>
      </c>
      <c r="E469" s="29" t="s">
        <v>21</v>
      </c>
      <c r="F469" s="30">
        <v>1</v>
      </c>
      <c r="G469" s="31">
        <v>100.74</v>
      </c>
      <c r="H469" s="31">
        <f t="shared" si="93"/>
        <v>100.74</v>
      </c>
      <c r="I469" s="170" t="s">
        <v>2842</v>
      </c>
      <c r="J469" t="s">
        <v>2853</v>
      </c>
      <c r="K469" s="188" t="s">
        <v>2853</v>
      </c>
    </row>
    <row r="470" spans="1:11" x14ac:dyDescent="0.25">
      <c r="A470" t="s">
        <v>5101</v>
      </c>
      <c r="B470" s="55" t="s">
        <v>512</v>
      </c>
      <c r="D470" s="56" t="s">
        <v>513</v>
      </c>
      <c r="E470" s="29" t="s">
        <v>21</v>
      </c>
      <c r="F470" s="30">
        <v>1</v>
      </c>
      <c r="G470" s="31">
        <v>111.05</v>
      </c>
      <c r="H470" s="31">
        <f t="shared" si="93"/>
        <v>111.05</v>
      </c>
      <c r="I470" s="170" t="s">
        <v>2842</v>
      </c>
      <c r="J470" t="s">
        <v>2853</v>
      </c>
      <c r="K470" s="188" t="s">
        <v>2853</v>
      </c>
    </row>
    <row r="471" spans="1:11" x14ac:dyDescent="0.25">
      <c r="A471" t="s">
        <v>5102</v>
      </c>
      <c r="B471" s="55" t="s">
        <v>514</v>
      </c>
      <c r="D471" s="56" t="s">
        <v>513</v>
      </c>
      <c r="E471" s="29" t="s">
        <v>21</v>
      </c>
      <c r="F471" s="30">
        <v>1</v>
      </c>
      <c r="G471" s="31">
        <v>111.05</v>
      </c>
      <c r="H471" s="31">
        <f t="shared" si="93"/>
        <v>111.05</v>
      </c>
      <c r="I471" s="170" t="s">
        <v>2842</v>
      </c>
      <c r="J471" t="s">
        <v>2853</v>
      </c>
      <c r="K471" s="188" t="s">
        <v>2853</v>
      </c>
    </row>
    <row r="472" spans="1:11" x14ac:dyDescent="0.25">
      <c r="A472" t="s">
        <v>5103</v>
      </c>
      <c r="B472" s="55" t="s">
        <v>515</v>
      </c>
      <c r="D472" s="56" t="s">
        <v>516</v>
      </c>
      <c r="E472" s="29" t="s">
        <v>21</v>
      </c>
      <c r="F472" s="30">
        <v>1</v>
      </c>
      <c r="G472" s="31">
        <v>121.32</v>
      </c>
      <c r="H472" s="31">
        <f t="shared" si="93"/>
        <v>121.32</v>
      </c>
      <c r="I472" s="170" t="s">
        <v>2842</v>
      </c>
      <c r="J472" t="s">
        <v>2853</v>
      </c>
      <c r="K472" s="188" t="s">
        <v>2853</v>
      </c>
    </row>
    <row r="473" spans="1:11" x14ac:dyDescent="0.25">
      <c r="A473" t="s">
        <v>5104</v>
      </c>
      <c r="B473" s="55" t="s">
        <v>517</v>
      </c>
      <c r="D473" s="56" t="s">
        <v>516</v>
      </c>
      <c r="E473" s="29" t="s">
        <v>21</v>
      </c>
      <c r="F473" s="30">
        <v>1</v>
      </c>
      <c r="G473" s="31">
        <v>121.32</v>
      </c>
      <c r="H473" s="31">
        <f t="shared" si="93"/>
        <v>121.32</v>
      </c>
      <c r="I473" s="170" t="s">
        <v>2842</v>
      </c>
      <c r="J473" t="s">
        <v>2853</v>
      </c>
      <c r="K473" s="188" t="s">
        <v>2853</v>
      </c>
    </row>
    <row r="474" spans="1:11" x14ac:dyDescent="0.25">
      <c r="B474" s="27"/>
      <c r="D474" s="56"/>
      <c r="E474" s="29"/>
      <c r="F474" s="30"/>
      <c r="G474" s="30"/>
      <c r="H474" s="31"/>
      <c r="J474" t="s">
        <v>2853</v>
      </c>
      <c r="K474" s="188" t="s">
        <v>2853</v>
      </c>
    </row>
    <row r="475" spans="1:11" x14ac:dyDescent="0.25">
      <c r="A475" t="s">
        <v>5105</v>
      </c>
      <c r="B475" s="55" t="s">
        <v>518</v>
      </c>
      <c r="D475" s="56" t="s">
        <v>519</v>
      </c>
      <c r="E475" s="29" t="s">
        <v>21</v>
      </c>
      <c r="F475" s="30">
        <v>1</v>
      </c>
      <c r="G475" s="31">
        <v>89.18</v>
      </c>
      <c r="H475" s="31">
        <f t="shared" ref="H475:H478" si="94">+F475*G475</f>
        <v>89.18</v>
      </c>
      <c r="I475" s="170" t="s">
        <v>2842</v>
      </c>
      <c r="J475" t="s">
        <v>2853</v>
      </c>
      <c r="K475" s="188" t="s">
        <v>2853</v>
      </c>
    </row>
    <row r="476" spans="1:11" x14ac:dyDescent="0.25">
      <c r="A476" t="s">
        <v>5106</v>
      </c>
      <c r="B476" s="55" t="s">
        <v>521</v>
      </c>
      <c r="D476" s="56" t="s">
        <v>519</v>
      </c>
      <c r="E476" s="29" t="s">
        <v>21</v>
      </c>
      <c r="F476" s="30">
        <v>1</v>
      </c>
      <c r="G476" s="31">
        <v>89.18</v>
      </c>
      <c r="H476" s="31">
        <f t="shared" si="94"/>
        <v>89.18</v>
      </c>
      <c r="I476" s="170" t="s">
        <v>2842</v>
      </c>
      <c r="J476" t="s">
        <v>2853</v>
      </c>
      <c r="K476" s="188" t="s">
        <v>2853</v>
      </c>
    </row>
    <row r="477" spans="1:11" x14ac:dyDescent="0.25">
      <c r="A477" t="s">
        <v>5107</v>
      </c>
      <c r="B477" s="55" t="s">
        <v>523</v>
      </c>
      <c r="D477" s="56" t="s">
        <v>524</v>
      </c>
      <c r="E477" s="29" t="s">
        <v>21</v>
      </c>
      <c r="F477" s="30">
        <v>1</v>
      </c>
      <c r="G477" s="31">
        <v>103.27</v>
      </c>
      <c r="H477" s="31">
        <f t="shared" si="94"/>
        <v>103.27</v>
      </c>
      <c r="J477" t="s">
        <v>2853</v>
      </c>
      <c r="K477" s="188" t="s">
        <v>2853</v>
      </c>
    </row>
    <row r="478" spans="1:11" x14ac:dyDescent="0.25">
      <c r="A478" t="s">
        <v>5108</v>
      </c>
      <c r="B478" s="55" t="s">
        <v>525</v>
      </c>
      <c r="D478" s="56" t="s">
        <v>524</v>
      </c>
      <c r="E478" s="29" t="s">
        <v>21</v>
      </c>
      <c r="F478" s="30">
        <v>1</v>
      </c>
      <c r="G478" s="31">
        <v>103.27</v>
      </c>
      <c r="H478" s="31">
        <f t="shared" si="94"/>
        <v>103.27</v>
      </c>
      <c r="I478" s="170" t="s">
        <v>2842</v>
      </c>
      <c r="J478" t="s">
        <v>2853</v>
      </c>
      <c r="K478" s="188" t="s">
        <v>2853</v>
      </c>
    </row>
    <row r="479" spans="1:11" x14ac:dyDescent="0.25">
      <c r="B479" s="27"/>
      <c r="D479" s="56"/>
      <c r="E479" s="29"/>
      <c r="F479" s="56"/>
      <c r="G479" s="56"/>
      <c r="H479" s="56"/>
      <c r="I479" s="170" t="s">
        <v>2842</v>
      </c>
      <c r="J479" t="s">
        <v>2853</v>
      </c>
      <c r="K479" s="188" t="s">
        <v>2853</v>
      </c>
    </row>
    <row r="480" spans="1:11" x14ac:dyDescent="0.25">
      <c r="A480" t="s">
        <v>5109</v>
      </c>
      <c r="B480" s="55" t="s">
        <v>526</v>
      </c>
      <c r="D480" s="56" t="s">
        <v>527</v>
      </c>
      <c r="E480" s="29" t="s">
        <v>21</v>
      </c>
      <c r="F480" s="30">
        <v>1</v>
      </c>
      <c r="G480" s="31">
        <v>111.05</v>
      </c>
      <c r="H480" s="31">
        <f t="shared" ref="H480:H481" si="95">+F480*G480</f>
        <v>111.05</v>
      </c>
      <c r="J480" t="s">
        <v>2853</v>
      </c>
      <c r="K480" s="188" t="s">
        <v>2853</v>
      </c>
    </row>
    <row r="481" spans="1:11" x14ac:dyDescent="0.25">
      <c r="A481" t="s">
        <v>5110</v>
      </c>
      <c r="B481" s="55" t="s">
        <v>528</v>
      </c>
      <c r="D481" s="56" t="s">
        <v>527</v>
      </c>
      <c r="E481" s="29" t="s">
        <v>21</v>
      </c>
      <c r="F481" s="30">
        <v>1</v>
      </c>
      <c r="G481" s="31">
        <v>111.05</v>
      </c>
      <c r="H481" s="31">
        <f t="shared" si="95"/>
        <v>111.05</v>
      </c>
      <c r="I481" s="170" t="s">
        <v>2842</v>
      </c>
      <c r="J481" t="s">
        <v>2853</v>
      </c>
      <c r="K481" s="188" t="s">
        <v>2853</v>
      </c>
    </row>
    <row r="482" spans="1:11" x14ac:dyDescent="0.25">
      <c r="B482" s="27"/>
      <c r="D482" s="56"/>
      <c r="E482" s="29"/>
      <c r="F482" s="56"/>
      <c r="G482" s="56"/>
      <c r="H482" s="56"/>
      <c r="I482" s="170" t="s">
        <v>2842</v>
      </c>
      <c r="J482" t="s">
        <v>2853</v>
      </c>
      <c r="K482" s="188" t="s">
        <v>2853</v>
      </c>
    </row>
    <row r="483" spans="1:11" x14ac:dyDescent="0.25">
      <c r="A483" t="s">
        <v>5111</v>
      </c>
      <c r="B483" s="55" t="s">
        <v>529</v>
      </c>
      <c r="D483" s="56" t="s">
        <v>530</v>
      </c>
      <c r="E483" s="29" t="s">
        <v>21</v>
      </c>
      <c r="F483" s="30">
        <v>1</v>
      </c>
      <c r="G483" s="31">
        <v>118.79</v>
      </c>
      <c r="H483" s="31">
        <f t="shared" ref="H483:H484" si="96">+F483*G483</f>
        <v>118.79</v>
      </c>
      <c r="J483" t="s">
        <v>2853</v>
      </c>
      <c r="K483" s="188" t="s">
        <v>2853</v>
      </c>
    </row>
    <row r="484" spans="1:11" x14ac:dyDescent="0.25">
      <c r="A484" t="s">
        <v>5112</v>
      </c>
      <c r="B484" s="55" t="s">
        <v>531</v>
      </c>
      <c r="D484" s="56" t="s">
        <v>530</v>
      </c>
      <c r="E484" s="29" t="s">
        <v>21</v>
      </c>
      <c r="F484" s="30">
        <v>1</v>
      </c>
      <c r="G484" s="31">
        <v>118.79</v>
      </c>
      <c r="H484" s="31">
        <f t="shared" si="96"/>
        <v>118.79</v>
      </c>
      <c r="J484" t="s">
        <v>2853</v>
      </c>
      <c r="K484" s="188" t="s">
        <v>2853</v>
      </c>
    </row>
    <row r="485" spans="1:11" x14ac:dyDescent="0.25">
      <c r="B485" s="27"/>
      <c r="D485" s="56"/>
      <c r="E485" s="29"/>
      <c r="F485" s="56"/>
      <c r="G485" s="56"/>
      <c r="H485" s="56"/>
      <c r="I485" s="170" t="s">
        <v>2842</v>
      </c>
      <c r="J485" t="s">
        <v>2853</v>
      </c>
      <c r="K485" s="188" t="s">
        <v>2853</v>
      </c>
    </row>
    <row r="486" spans="1:11" x14ac:dyDescent="0.25">
      <c r="A486" t="s">
        <v>5113</v>
      </c>
      <c r="B486" s="55" t="s">
        <v>520</v>
      </c>
      <c r="C486" s="55"/>
      <c r="D486" s="55" t="s">
        <v>532</v>
      </c>
      <c r="E486" s="29" t="s">
        <v>533</v>
      </c>
      <c r="F486" s="30">
        <v>6</v>
      </c>
      <c r="G486" s="31">
        <v>5.57</v>
      </c>
      <c r="H486" s="31">
        <f t="shared" ref="H486:H489" si="97">+F486*G486</f>
        <v>33.42</v>
      </c>
      <c r="I486" s="170" t="s">
        <v>2842</v>
      </c>
      <c r="J486" t="s">
        <v>2853</v>
      </c>
      <c r="K486" s="188" t="s">
        <v>2853</v>
      </c>
    </row>
    <row r="487" spans="1:11" x14ac:dyDescent="0.25">
      <c r="A487" t="s">
        <v>5114</v>
      </c>
      <c r="B487" s="55" t="s">
        <v>522</v>
      </c>
      <c r="C487" s="55"/>
      <c r="D487" s="55" t="s">
        <v>532</v>
      </c>
      <c r="E487" s="29" t="s">
        <v>534</v>
      </c>
      <c r="F487" s="30">
        <v>6</v>
      </c>
      <c r="G487" s="31">
        <v>5.57</v>
      </c>
      <c r="H487" s="31">
        <f t="shared" si="97"/>
        <v>33.42</v>
      </c>
      <c r="I487" s="170" t="s">
        <v>2842</v>
      </c>
      <c r="J487" t="s">
        <v>2853</v>
      </c>
      <c r="K487" s="188" t="s">
        <v>2853</v>
      </c>
    </row>
    <row r="488" spans="1:11" x14ac:dyDescent="0.25">
      <c r="A488" t="s">
        <v>5115</v>
      </c>
      <c r="B488" s="55" t="s">
        <v>535</v>
      </c>
      <c r="C488" s="55"/>
      <c r="D488" s="55" t="s">
        <v>536</v>
      </c>
      <c r="E488" s="29" t="s">
        <v>533</v>
      </c>
      <c r="F488" s="30">
        <v>6</v>
      </c>
      <c r="G488" s="31">
        <v>7.96</v>
      </c>
      <c r="H488" s="31">
        <f t="shared" si="97"/>
        <v>47.76</v>
      </c>
      <c r="J488" t="s">
        <v>2853</v>
      </c>
      <c r="K488" s="188" t="s">
        <v>2853</v>
      </c>
    </row>
    <row r="489" spans="1:11" x14ac:dyDescent="0.25">
      <c r="A489" t="s">
        <v>5116</v>
      </c>
      <c r="B489" s="55" t="s">
        <v>537</v>
      </c>
      <c r="C489" s="55"/>
      <c r="D489" s="55" t="s">
        <v>536</v>
      </c>
      <c r="E489" s="29" t="s">
        <v>534</v>
      </c>
      <c r="F489" s="30">
        <v>6</v>
      </c>
      <c r="G489" s="31">
        <v>7.96</v>
      </c>
      <c r="H489" s="31">
        <f t="shared" si="97"/>
        <v>47.76</v>
      </c>
      <c r="I489" s="170" t="s">
        <v>2842</v>
      </c>
      <c r="J489" t="s">
        <v>2853</v>
      </c>
      <c r="K489" s="188" t="s">
        <v>2853</v>
      </c>
    </row>
    <row r="490" spans="1:11" x14ac:dyDescent="0.25">
      <c r="B490" s="56"/>
      <c r="C490" s="56"/>
      <c r="D490" s="56"/>
      <c r="E490" s="29"/>
      <c r="F490" s="56"/>
      <c r="G490" s="56"/>
      <c r="H490" s="56"/>
      <c r="I490" s="170" t="s">
        <v>2842</v>
      </c>
      <c r="J490" t="s">
        <v>2853</v>
      </c>
      <c r="K490" s="188" t="s">
        <v>2853</v>
      </c>
    </row>
    <row r="491" spans="1:11" x14ac:dyDescent="0.25">
      <c r="B491" s="27" t="s">
        <v>538</v>
      </c>
      <c r="C491" s="56"/>
      <c r="D491" s="56"/>
      <c r="E491" s="29"/>
      <c r="F491" s="56"/>
      <c r="G491" s="56"/>
      <c r="H491" s="56"/>
      <c r="I491" s="170" t="s">
        <v>2842</v>
      </c>
      <c r="J491" t="s">
        <v>2853</v>
      </c>
      <c r="K491" s="188" t="s">
        <v>2853</v>
      </c>
    </row>
    <row r="492" spans="1:11" x14ac:dyDescent="0.25">
      <c r="B492" s="56"/>
      <c r="C492" s="56"/>
      <c r="D492" s="56"/>
      <c r="E492" s="29"/>
      <c r="F492" s="56"/>
      <c r="G492" s="56"/>
      <c r="H492" s="56"/>
      <c r="I492" s="170" t="s">
        <v>2842</v>
      </c>
      <c r="J492" t="s">
        <v>2853</v>
      </c>
      <c r="K492" s="188" t="s">
        <v>2853</v>
      </c>
    </row>
    <row r="493" spans="1:11" x14ac:dyDescent="0.25">
      <c r="A493" t="s">
        <v>5117</v>
      </c>
      <c r="B493" s="55" t="s">
        <v>539</v>
      </c>
      <c r="C493" s="55"/>
      <c r="D493" s="55" t="s">
        <v>540</v>
      </c>
      <c r="E493" s="29" t="s">
        <v>21</v>
      </c>
      <c r="F493" s="30">
        <v>1</v>
      </c>
      <c r="G493" s="31">
        <v>99.74</v>
      </c>
      <c r="H493" s="31">
        <f t="shared" ref="H493:H494" si="98">+F493*G493</f>
        <v>99.74</v>
      </c>
      <c r="J493" t="s">
        <v>2853</v>
      </c>
      <c r="K493" s="188" t="s">
        <v>2853</v>
      </c>
    </row>
    <row r="494" spans="1:11" x14ac:dyDescent="0.25">
      <c r="A494" t="s">
        <v>5118</v>
      </c>
      <c r="B494" s="55" t="s">
        <v>541</v>
      </c>
      <c r="C494" s="55"/>
      <c r="D494" s="55" t="s">
        <v>540</v>
      </c>
      <c r="E494" s="29" t="s">
        <v>21</v>
      </c>
      <c r="F494" s="30">
        <v>1</v>
      </c>
      <c r="G494" s="31">
        <v>99.74</v>
      </c>
      <c r="H494" s="31">
        <f t="shared" si="98"/>
        <v>99.74</v>
      </c>
      <c r="I494" s="170" t="s">
        <v>2842</v>
      </c>
      <c r="J494" t="s">
        <v>2853</v>
      </c>
      <c r="K494" s="188" t="s">
        <v>2853</v>
      </c>
    </row>
    <row r="495" spans="1:11" x14ac:dyDescent="0.25">
      <c r="B495" s="27"/>
      <c r="D495" s="56"/>
      <c r="E495" s="29"/>
      <c r="F495" s="29"/>
      <c r="G495" s="29"/>
      <c r="H495" s="31"/>
      <c r="I495" s="170" t="s">
        <v>2842</v>
      </c>
      <c r="J495" t="s">
        <v>2853</v>
      </c>
      <c r="K495" s="188" t="s">
        <v>2853</v>
      </c>
    </row>
    <row r="496" spans="1:11" x14ac:dyDescent="0.25">
      <c r="A496" t="s">
        <v>5119</v>
      </c>
      <c r="B496" s="55" t="s">
        <v>542</v>
      </c>
      <c r="C496" s="55"/>
      <c r="D496" s="55" t="s">
        <v>543</v>
      </c>
      <c r="E496" s="29" t="s">
        <v>21</v>
      </c>
      <c r="F496" s="30">
        <v>1</v>
      </c>
      <c r="G496" s="31">
        <v>112.99</v>
      </c>
      <c r="H496" s="31">
        <f t="shared" ref="H496:H497" si="99">+F496*G496</f>
        <v>112.99</v>
      </c>
      <c r="J496" t="s">
        <v>2853</v>
      </c>
      <c r="K496" s="188" t="s">
        <v>2853</v>
      </c>
    </row>
    <row r="497" spans="1:11" x14ac:dyDescent="0.25">
      <c r="A497" t="s">
        <v>5120</v>
      </c>
      <c r="B497" s="55" t="s">
        <v>544</v>
      </c>
      <c r="C497" s="55"/>
      <c r="D497" s="55" t="s">
        <v>543</v>
      </c>
      <c r="E497" s="29" t="s">
        <v>21</v>
      </c>
      <c r="F497" s="30">
        <v>1</v>
      </c>
      <c r="G497" s="31">
        <v>112.99</v>
      </c>
      <c r="H497" s="31">
        <f t="shared" si="99"/>
        <v>112.99</v>
      </c>
      <c r="I497" s="170" t="s">
        <v>2842</v>
      </c>
      <c r="J497" t="s">
        <v>2853</v>
      </c>
      <c r="K497" s="188" t="s">
        <v>2853</v>
      </c>
    </row>
    <row r="498" spans="1:11" x14ac:dyDescent="0.25">
      <c r="B498" s="27"/>
      <c r="D498" s="56"/>
      <c r="E498" s="29"/>
      <c r="F498" s="29"/>
      <c r="G498" s="29"/>
      <c r="H498" s="31"/>
      <c r="I498" s="170" t="s">
        <v>2842</v>
      </c>
      <c r="J498" t="s">
        <v>2853</v>
      </c>
      <c r="K498" s="188" t="s">
        <v>2853</v>
      </c>
    </row>
    <row r="499" spans="1:11" x14ac:dyDescent="0.25">
      <c r="A499" t="s">
        <v>5121</v>
      </c>
      <c r="B499" s="55" t="s">
        <v>545</v>
      </c>
      <c r="C499" s="55"/>
      <c r="D499" s="55" t="s">
        <v>546</v>
      </c>
      <c r="E499" s="29" t="s">
        <v>21</v>
      </c>
      <c r="F499" s="30">
        <v>1</v>
      </c>
      <c r="G499" s="31">
        <v>126.22</v>
      </c>
      <c r="H499" s="31">
        <f t="shared" ref="H499:H500" si="100">+F499*G499</f>
        <v>126.22</v>
      </c>
      <c r="J499" t="s">
        <v>2853</v>
      </c>
      <c r="K499" s="188" t="s">
        <v>2853</v>
      </c>
    </row>
    <row r="500" spans="1:11" x14ac:dyDescent="0.25">
      <c r="A500" t="s">
        <v>5122</v>
      </c>
      <c r="B500" s="55" t="s">
        <v>547</v>
      </c>
      <c r="C500" s="55"/>
      <c r="D500" s="55" t="s">
        <v>546</v>
      </c>
      <c r="E500" s="29" t="s">
        <v>21</v>
      </c>
      <c r="F500" s="30">
        <v>1</v>
      </c>
      <c r="G500" s="31">
        <v>126.22</v>
      </c>
      <c r="H500" s="31">
        <f t="shared" si="100"/>
        <v>126.22</v>
      </c>
      <c r="J500" t="s">
        <v>2853</v>
      </c>
      <c r="K500" s="188" t="s">
        <v>2853</v>
      </c>
    </row>
    <row r="501" spans="1:11" x14ac:dyDescent="0.25">
      <c r="B501" s="27"/>
      <c r="D501" s="56"/>
      <c r="E501" s="29"/>
      <c r="F501" s="29"/>
      <c r="G501" s="29"/>
      <c r="H501" s="31"/>
      <c r="I501" s="170" t="s">
        <v>2842</v>
      </c>
      <c r="J501" t="s">
        <v>2853</v>
      </c>
      <c r="K501" s="188" t="s">
        <v>2853</v>
      </c>
    </row>
    <row r="502" spans="1:11" x14ac:dyDescent="0.25">
      <c r="A502" t="s">
        <v>5123</v>
      </c>
      <c r="B502" s="55" t="s">
        <v>548</v>
      </c>
      <c r="C502" s="55"/>
      <c r="D502" s="55" t="s">
        <v>549</v>
      </c>
      <c r="E502" s="29" t="s">
        <v>21</v>
      </c>
      <c r="F502" s="30">
        <v>1</v>
      </c>
      <c r="G502" s="31">
        <v>139.47999999999999</v>
      </c>
      <c r="H502" s="31">
        <f t="shared" ref="H502:H503" si="101">+F502*G502</f>
        <v>139.47999999999999</v>
      </c>
      <c r="I502" s="170" t="s">
        <v>2842</v>
      </c>
      <c r="J502" t="s">
        <v>2853</v>
      </c>
      <c r="K502" s="188" t="s">
        <v>2853</v>
      </c>
    </row>
    <row r="503" spans="1:11" x14ac:dyDescent="0.25">
      <c r="A503" t="s">
        <v>5124</v>
      </c>
      <c r="B503" s="55" t="s">
        <v>550</v>
      </c>
      <c r="C503" s="55"/>
      <c r="D503" s="55" t="s">
        <v>549</v>
      </c>
      <c r="E503" s="29" t="s">
        <v>21</v>
      </c>
      <c r="F503" s="30">
        <v>1</v>
      </c>
      <c r="G503" s="31">
        <v>139.47999999999999</v>
      </c>
      <c r="H503" s="31">
        <f t="shared" si="101"/>
        <v>139.47999999999999</v>
      </c>
      <c r="J503" t="s">
        <v>2853</v>
      </c>
      <c r="K503" s="188" t="s">
        <v>2853</v>
      </c>
    </row>
    <row r="504" spans="1:11" x14ac:dyDescent="0.25">
      <c r="B504" s="29"/>
      <c r="C504" s="29"/>
      <c r="D504" s="29"/>
      <c r="E504" s="29"/>
      <c r="F504" s="29"/>
      <c r="G504" s="29"/>
      <c r="H504" s="29"/>
      <c r="I504" s="170" t="s">
        <v>2842</v>
      </c>
      <c r="J504" t="s">
        <v>2853</v>
      </c>
      <c r="K504" s="188" t="s">
        <v>2853</v>
      </c>
    </row>
    <row r="505" spans="1:11" x14ac:dyDescent="0.25">
      <c r="B505" s="27" t="s">
        <v>5125</v>
      </c>
      <c r="C505" s="29"/>
      <c r="D505" s="29"/>
      <c r="E505" s="29"/>
      <c r="F505" s="29"/>
      <c r="G505" s="29"/>
      <c r="H505" s="29"/>
      <c r="J505" t="s">
        <v>2853</v>
      </c>
      <c r="K505" s="188" t="s">
        <v>2853</v>
      </c>
    </row>
    <row r="506" spans="1:11" x14ac:dyDescent="0.25">
      <c r="B506" s="29"/>
      <c r="C506" s="29"/>
      <c r="D506" s="29"/>
      <c r="E506" s="29"/>
      <c r="F506" s="29"/>
      <c r="G506" s="29"/>
      <c r="H506" s="29"/>
      <c r="I506" s="170" t="s">
        <v>2842</v>
      </c>
      <c r="J506" t="s">
        <v>2853</v>
      </c>
      <c r="K506" s="188" t="s">
        <v>2853</v>
      </c>
    </row>
    <row r="507" spans="1:11" x14ac:dyDescent="0.25">
      <c r="A507" t="s">
        <v>5126</v>
      </c>
      <c r="B507" s="55" t="s">
        <v>551</v>
      </c>
      <c r="C507" s="55"/>
      <c r="D507" s="55" t="s">
        <v>552</v>
      </c>
      <c r="E507" s="29" t="s">
        <v>533</v>
      </c>
      <c r="F507" s="30">
        <v>2</v>
      </c>
      <c r="G507" s="31">
        <v>46.18</v>
      </c>
      <c r="H507" s="31">
        <f t="shared" ref="H507:H509" si="102">+F507*G507</f>
        <v>92.36</v>
      </c>
      <c r="J507" t="s">
        <v>2853</v>
      </c>
      <c r="K507" s="188" t="s">
        <v>2853</v>
      </c>
    </row>
    <row r="508" spans="1:11" x14ac:dyDescent="0.25">
      <c r="A508" t="s">
        <v>5127</v>
      </c>
      <c r="B508" s="55" t="s">
        <v>553</v>
      </c>
      <c r="C508" s="55"/>
      <c r="D508" s="55" t="s">
        <v>554</v>
      </c>
      <c r="E508" s="29" t="s">
        <v>533</v>
      </c>
      <c r="F508" s="30">
        <v>2</v>
      </c>
      <c r="G508" s="31">
        <v>49.36</v>
      </c>
      <c r="H508" s="31">
        <f t="shared" si="102"/>
        <v>98.72</v>
      </c>
      <c r="J508" t="s">
        <v>2853</v>
      </c>
      <c r="K508" s="188" t="s">
        <v>2853</v>
      </c>
    </row>
    <row r="509" spans="1:11" x14ac:dyDescent="0.25">
      <c r="A509" t="s">
        <v>5128</v>
      </c>
      <c r="B509" s="55" t="s">
        <v>555</v>
      </c>
      <c r="C509" s="55"/>
      <c r="D509" s="55" t="s">
        <v>556</v>
      </c>
      <c r="E509" s="29" t="s">
        <v>533</v>
      </c>
      <c r="F509" s="30">
        <v>2</v>
      </c>
      <c r="G509" s="31">
        <v>52.52</v>
      </c>
      <c r="H509" s="31">
        <f t="shared" si="102"/>
        <v>105.04</v>
      </c>
      <c r="J509" t="s">
        <v>2853</v>
      </c>
      <c r="K509" s="188" t="s">
        <v>2853</v>
      </c>
    </row>
    <row r="510" spans="1:11" x14ac:dyDescent="0.25">
      <c r="B510" s="27"/>
      <c r="D510" s="56"/>
      <c r="E510" s="28"/>
      <c r="F510" s="56"/>
      <c r="G510" s="56"/>
      <c r="H510" s="56"/>
      <c r="J510" t="s">
        <v>2853</v>
      </c>
      <c r="K510" s="188" t="s">
        <v>2853</v>
      </c>
    </row>
    <row r="511" spans="1:11" x14ac:dyDescent="0.25">
      <c r="A511" t="s">
        <v>5129</v>
      </c>
      <c r="B511" s="55" t="s">
        <v>557</v>
      </c>
      <c r="C511" s="55"/>
      <c r="D511" s="55" t="s">
        <v>552</v>
      </c>
      <c r="E511" s="29" t="s">
        <v>534</v>
      </c>
      <c r="F511" s="30">
        <v>2</v>
      </c>
      <c r="G511" s="31">
        <v>46.18</v>
      </c>
      <c r="H511" s="31">
        <f t="shared" ref="H511:H513" si="103">+F511*G511</f>
        <v>92.36</v>
      </c>
      <c r="I511" s="170" t="s">
        <v>2842</v>
      </c>
      <c r="J511" t="s">
        <v>2853</v>
      </c>
      <c r="K511" s="188" t="s">
        <v>2853</v>
      </c>
    </row>
    <row r="512" spans="1:11" x14ac:dyDescent="0.25">
      <c r="A512" t="s">
        <v>5130</v>
      </c>
      <c r="B512" s="55" t="s">
        <v>558</v>
      </c>
      <c r="C512" s="55"/>
      <c r="D512" s="55" t="s">
        <v>554</v>
      </c>
      <c r="E512" s="29" t="s">
        <v>534</v>
      </c>
      <c r="F512" s="30">
        <v>2</v>
      </c>
      <c r="G512" s="31">
        <v>49.36</v>
      </c>
      <c r="H512" s="31">
        <f t="shared" si="103"/>
        <v>98.72</v>
      </c>
      <c r="J512" t="s">
        <v>2853</v>
      </c>
      <c r="K512" s="188" t="s">
        <v>2853</v>
      </c>
    </row>
    <row r="513" spans="1:11" x14ac:dyDescent="0.25">
      <c r="A513" t="s">
        <v>5131</v>
      </c>
      <c r="B513" s="55" t="s">
        <v>559</v>
      </c>
      <c r="C513" s="55"/>
      <c r="D513" s="55" t="s">
        <v>556</v>
      </c>
      <c r="E513" s="29" t="s">
        <v>534</v>
      </c>
      <c r="F513" s="30">
        <v>2</v>
      </c>
      <c r="G513" s="31">
        <v>52.52</v>
      </c>
      <c r="H513" s="31">
        <f t="shared" si="103"/>
        <v>105.04</v>
      </c>
      <c r="J513" t="s">
        <v>2853</v>
      </c>
      <c r="K513" s="188" t="s">
        <v>2853</v>
      </c>
    </row>
    <row r="514" spans="1:11" x14ac:dyDescent="0.25">
      <c r="B514" s="27"/>
      <c r="D514" s="56"/>
      <c r="E514" s="28"/>
      <c r="F514" s="56"/>
      <c r="G514" s="56"/>
      <c r="H514" s="56"/>
      <c r="J514" t="s">
        <v>2853</v>
      </c>
      <c r="K514" s="188" t="s">
        <v>2853</v>
      </c>
    </row>
    <row r="515" spans="1:11" x14ac:dyDescent="0.25">
      <c r="A515" t="s">
        <v>4811</v>
      </c>
      <c r="B515" s="55" t="s">
        <v>47</v>
      </c>
      <c r="D515" s="56" t="s">
        <v>560</v>
      </c>
      <c r="E515" s="29" t="s">
        <v>59</v>
      </c>
      <c r="F515" s="30">
        <v>18</v>
      </c>
      <c r="G515" s="31">
        <v>3.41</v>
      </c>
      <c r="H515" s="31">
        <f>+F515*G515</f>
        <v>61.38</v>
      </c>
      <c r="J515" t="s">
        <v>2853</v>
      </c>
      <c r="K515" s="188" t="s">
        <v>2853</v>
      </c>
    </row>
    <row r="516" spans="1:11" x14ac:dyDescent="0.25">
      <c r="B516" s="56"/>
      <c r="C516" s="56"/>
      <c r="D516" s="56"/>
      <c r="E516" s="56"/>
      <c r="F516" s="56"/>
      <c r="G516" s="56"/>
      <c r="H516" s="56"/>
      <c r="I516" s="170" t="s">
        <v>2842</v>
      </c>
      <c r="J516" t="s">
        <v>2853</v>
      </c>
      <c r="K516" s="188" t="s">
        <v>2853</v>
      </c>
    </row>
    <row r="517" spans="1:11" ht="30" x14ac:dyDescent="0.4">
      <c r="B517" s="171" t="s">
        <v>5132</v>
      </c>
      <c r="C517" s="25"/>
      <c r="D517" s="25"/>
      <c r="E517" s="25"/>
      <c r="F517" s="25"/>
      <c r="G517" s="25"/>
      <c r="H517" s="25"/>
      <c r="I517" s="170" t="s">
        <v>2842</v>
      </c>
      <c r="J517" t="s">
        <v>2853</v>
      </c>
      <c r="K517" s="188" t="s">
        <v>2853</v>
      </c>
    </row>
    <row r="518" spans="1:11" x14ac:dyDescent="0.25">
      <c r="I518" s="170" t="s">
        <v>2842</v>
      </c>
      <c r="J518" t="s">
        <v>2853</v>
      </c>
      <c r="K518" s="188" t="s">
        <v>2853</v>
      </c>
    </row>
    <row r="519" spans="1:11" x14ac:dyDescent="0.25">
      <c r="I519" s="170" t="s">
        <v>2842</v>
      </c>
      <c r="J519" t="s">
        <v>2853</v>
      </c>
      <c r="K519" s="188" t="s">
        <v>2853</v>
      </c>
    </row>
    <row r="520" spans="1:11" x14ac:dyDescent="0.25">
      <c r="B520" s="27" t="s">
        <v>5134</v>
      </c>
      <c r="D520" s="28" t="s">
        <v>5135</v>
      </c>
      <c r="E520" s="29" t="s">
        <v>5133</v>
      </c>
      <c r="F520" s="30">
        <v>12</v>
      </c>
      <c r="G520" s="31">
        <v>4.7</v>
      </c>
      <c r="H520" s="31">
        <f>+F520*G520</f>
        <v>56.400000000000006</v>
      </c>
      <c r="I520" s="170" t="s">
        <v>2842</v>
      </c>
      <c r="J520" t="s">
        <v>2853</v>
      </c>
      <c r="K520" s="188" t="s">
        <v>2853</v>
      </c>
    </row>
    <row r="521" spans="1:11" x14ac:dyDescent="0.25">
      <c r="B521" s="27"/>
      <c r="C521" s="27"/>
      <c r="D521" s="28"/>
      <c r="E521" s="29"/>
      <c r="F521" s="30"/>
      <c r="G521" s="30"/>
      <c r="H521" s="31"/>
      <c r="I521" s="170" t="s">
        <v>2842</v>
      </c>
      <c r="J521" t="s">
        <v>2853</v>
      </c>
      <c r="K521" s="188" t="s">
        <v>2853</v>
      </c>
    </row>
    <row r="522" spans="1:11" x14ac:dyDescent="0.25">
      <c r="B522" s="56"/>
      <c r="C522" s="56"/>
      <c r="D522" s="56"/>
      <c r="E522" s="56"/>
      <c r="F522" s="56"/>
      <c r="G522" s="56"/>
      <c r="H522" s="56"/>
      <c r="I522" s="170" t="s">
        <v>2842</v>
      </c>
      <c r="J522" t="s">
        <v>2853</v>
      </c>
      <c r="K522" s="188" t="s">
        <v>2853</v>
      </c>
    </row>
    <row r="523" spans="1:11" ht="30" x14ac:dyDescent="0.4">
      <c r="B523" s="171" t="s">
        <v>561</v>
      </c>
      <c r="C523" s="25"/>
      <c r="D523" s="25"/>
      <c r="E523" s="25"/>
      <c r="F523" s="25"/>
      <c r="G523" s="25"/>
      <c r="H523" s="25"/>
      <c r="J523" t="s">
        <v>2853</v>
      </c>
      <c r="K523" s="188" t="s">
        <v>2853</v>
      </c>
    </row>
    <row r="524" spans="1:11" x14ac:dyDescent="0.25">
      <c r="I524" s="170" t="s">
        <v>2842</v>
      </c>
      <c r="J524" t="s">
        <v>2853</v>
      </c>
      <c r="K524" s="188" t="s">
        <v>2853</v>
      </c>
    </row>
    <row r="525" spans="1:11" x14ac:dyDescent="0.35">
      <c r="B525" s="27" t="s">
        <v>5136</v>
      </c>
      <c r="D525" s="27" t="s">
        <v>5137</v>
      </c>
      <c r="E525" s="29" t="s">
        <v>563</v>
      </c>
      <c r="F525" s="30">
        <v>8</v>
      </c>
      <c r="G525" s="31">
        <v>18.62</v>
      </c>
      <c r="H525" s="31">
        <f t="shared" ref="H525:H531" si="104">+F525*G525</f>
        <v>148.96</v>
      </c>
      <c r="I525" s="170" t="s">
        <v>2842</v>
      </c>
      <c r="J525" s="256" t="s">
        <v>8293</v>
      </c>
      <c r="K525" s="259">
        <v>45181</v>
      </c>
    </row>
    <row r="526" spans="1:11" x14ac:dyDescent="0.35">
      <c r="A526" t="s">
        <v>5138</v>
      </c>
      <c r="B526" s="27" t="s">
        <v>562</v>
      </c>
      <c r="D526" s="27" t="s">
        <v>73</v>
      </c>
      <c r="E526" s="29" t="s">
        <v>563</v>
      </c>
      <c r="F526" s="30">
        <v>8</v>
      </c>
      <c r="G526" s="31">
        <v>20.75</v>
      </c>
      <c r="H526" s="31">
        <f t="shared" si="104"/>
        <v>166</v>
      </c>
      <c r="I526" s="170" t="s">
        <v>2842</v>
      </c>
      <c r="J526" s="256" t="s">
        <v>8281</v>
      </c>
      <c r="K526" s="259">
        <v>45153</v>
      </c>
    </row>
    <row r="527" spans="1:11" x14ac:dyDescent="0.25">
      <c r="A527" t="s">
        <v>5139</v>
      </c>
      <c r="B527" s="27" t="s">
        <v>564</v>
      </c>
      <c r="D527" s="27" t="s">
        <v>74</v>
      </c>
      <c r="E527" s="29" t="s">
        <v>563</v>
      </c>
      <c r="F527" s="30">
        <v>50</v>
      </c>
      <c r="G527" s="31">
        <v>2.21</v>
      </c>
      <c r="H527" s="31">
        <f t="shared" si="104"/>
        <v>110.5</v>
      </c>
      <c r="I527" s="170" t="s">
        <v>2842</v>
      </c>
      <c r="J527" t="s">
        <v>2853</v>
      </c>
      <c r="K527" s="188" t="s">
        <v>2853</v>
      </c>
    </row>
    <row r="528" spans="1:11" x14ac:dyDescent="0.25">
      <c r="A528" t="s">
        <v>5140</v>
      </c>
      <c r="B528" s="27" t="s">
        <v>565</v>
      </c>
      <c r="D528" s="27" t="s">
        <v>566</v>
      </c>
      <c r="E528" s="29" t="s">
        <v>563</v>
      </c>
      <c r="F528" s="30">
        <v>10</v>
      </c>
      <c r="G528" s="31">
        <v>3.3</v>
      </c>
      <c r="H528" s="31">
        <f t="shared" si="104"/>
        <v>33</v>
      </c>
      <c r="I528" s="170" t="s">
        <v>2842</v>
      </c>
      <c r="J528" t="s">
        <v>2853</v>
      </c>
      <c r="K528" s="188" t="s">
        <v>2853</v>
      </c>
    </row>
    <row r="529" spans="1:11" x14ac:dyDescent="0.25">
      <c r="A529" t="s">
        <v>5141</v>
      </c>
      <c r="B529" s="27" t="s">
        <v>567</v>
      </c>
      <c r="D529" s="27" t="s">
        <v>568</v>
      </c>
      <c r="E529" s="29" t="s">
        <v>563</v>
      </c>
      <c r="F529" s="30">
        <v>10</v>
      </c>
      <c r="G529" s="31">
        <v>3.84</v>
      </c>
      <c r="H529" s="31">
        <f t="shared" si="104"/>
        <v>38.4</v>
      </c>
      <c r="I529" s="170" t="s">
        <v>2842</v>
      </c>
      <c r="J529" t="s">
        <v>2853</v>
      </c>
      <c r="K529" s="188" t="s">
        <v>2853</v>
      </c>
    </row>
    <row r="530" spans="1:11" x14ac:dyDescent="0.35">
      <c r="A530" t="s">
        <v>5142</v>
      </c>
      <c r="B530" s="27" t="s">
        <v>569</v>
      </c>
      <c r="D530" s="27" t="s">
        <v>86</v>
      </c>
      <c r="E530" s="29" t="s">
        <v>563</v>
      </c>
      <c r="F530" s="30">
        <v>6</v>
      </c>
      <c r="G530" s="31">
        <v>25.27</v>
      </c>
      <c r="H530" s="31">
        <f t="shared" si="104"/>
        <v>151.62</v>
      </c>
      <c r="I530" s="170" t="s">
        <v>2842</v>
      </c>
      <c r="J530" s="256" t="s">
        <v>8297</v>
      </c>
      <c r="K530" s="259">
        <v>45181</v>
      </c>
    </row>
    <row r="531" spans="1:11" x14ac:dyDescent="0.25">
      <c r="A531" t="s">
        <v>5143</v>
      </c>
      <c r="B531" s="27" t="s">
        <v>570</v>
      </c>
      <c r="D531" s="27" t="s">
        <v>87</v>
      </c>
      <c r="E531" s="29" t="s">
        <v>563</v>
      </c>
      <c r="F531" s="30">
        <v>50</v>
      </c>
      <c r="G531" s="31">
        <v>2.5</v>
      </c>
      <c r="H531" s="31">
        <f t="shared" si="104"/>
        <v>125</v>
      </c>
      <c r="I531" s="170" t="s">
        <v>2842</v>
      </c>
      <c r="J531" t="s">
        <v>2853</v>
      </c>
      <c r="K531" s="188" t="s">
        <v>2853</v>
      </c>
    </row>
    <row r="532" spans="1:11" x14ac:dyDescent="0.25">
      <c r="B532" s="27"/>
      <c r="D532" s="27"/>
      <c r="E532" s="29"/>
      <c r="F532" s="30"/>
      <c r="G532" s="31"/>
      <c r="H532" s="31"/>
      <c r="I532" s="170" t="s">
        <v>2842</v>
      </c>
      <c r="J532" t="s">
        <v>2853</v>
      </c>
      <c r="K532" s="188" t="s">
        <v>2853</v>
      </c>
    </row>
    <row r="533" spans="1:11" x14ac:dyDescent="0.25">
      <c r="A533" t="s">
        <v>5144</v>
      </c>
      <c r="B533" s="27" t="s">
        <v>571</v>
      </c>
      <c r="D533" s="27" t="s">
        <v>91</v>
      </c>
      <c r="E533" s="29" t="s">
        <v>563</v>
      </c>
      <c r="F533" s="30">
        <v>12</v>
      </c>
      <c r="G533" s="31">
        <v>28.54</v>
      </c>
      <c r="H533" s="31">
        <f t="shared" ref="H533:H543" si="105">+F533*G533</f>
        <v>342.48</v>
      </c>
      <c r="I533" s="170" t="s">
        <v>2842</v>
      </c>
      <c r="J533" t="s">
        <v>2853</v>
      </c>
      <c r="K533" s="188" t="s">
        <v>2853</v>
      </c>
    </row>
    <row r="534" spans="1:11" x14ac:dyDescent="0.25">
      <c r="A534" t="s">
        <v>5145</v>
      </c>
      <c r="B534" s="27" t="s">
        <v>572</v>
      </c>
      <c r="D534" s="27" t="s">
        <v>93</v>
      </c>
      <c r="E534" s="29" t="s">
        <v>563</v>
      </c>
      <c r="F534" s="30">
        <v>12</v>
      </c>
      <c r="G534" s="31">
        <v>26.86</v>
      </c>
      <c r="H534" s="31">
        <f t="shared" si="105"/>
        <v>322.32</v>
      </c>
      <c r="I534" s="170" t="s">
        <v>2842</v>
      </c>
      <c r="J534" t="s">
        <v>2853</v>
      </c>
      <c r="K534" s="188" t="s">
        <v>2853</v>
      </c>
    </row>
    <row r="535" spans="1:11" x14ac:dyDescent="0.25">
      <c r="A535" t="s">
        <v>5146</v>
      </c>
      <c r="B535" s="27" t="s">
        <v>573</v>
      </c>
      <c r="D535" s="27" t="s">
        <v>95</v>
      </c>
      <c r="E535" s="29" t="s">
        <v>563</v>
      </c>
      <c r="F535" s="30">
        <v>18</v>
      </c>
      <c r="G535" s="31">
        <v>23.59</v>
      </c>
      <c r="H535" s="31">
        <f t="shared" si="105"/>
        <v>424.62</v>
      </c>
      <c r="J535" t="s">
        <v>2853</v>
      </c>
      <c r="K535" s="188" t="s">
        <v>2853</v>
      </c>
    </row>
    <row r="536" spans="1:11" x14ac:dyDescent="0.25">
      <c r="A536" t="s">
        <v>5147</v>
      </c>
      <c r="B536" s="27" t="s">
        <v>574</v>
      </c>
      <c r="D536" s="27" t="s">
        <v>97</v>
      </c>
      <c r="E536" s="29" t="s">
        <v>563</v>
      </c>
      <c r="F536" s="30">
        <v>12</v>
      </c>
      <c r="G536" s="31">
        <v>31.83</v>
      </c>
      <c r="H536" s="31">
        <f t="shared" si="105"/>
        <v>381.96</v>
      </c>
      <c r="I536" s="170" t="s">
        <v>2842</v>
      </c>
      <c r="J536" t="s">
        <v>2853</v>
      </c>
      <c r="K536" s="188" t="s">
        <v>2853</v>
      </c>
    </row>
    <row r="537" spans="1:11" x14ac:dyDescent="0.25">
      <c r="A537" t="s">
        <v>5148</v>
      </c>
      <c r="B537" s="27" t="s">
        <v>575</v>
      </c>
      <c r="D537" s="27" t="s">
        <v>99</v>
      </c>
      <c r="E537" s="29" t="s">
        <v>563</v>
      </c>
      <c r="F537" s="30">
        <v>12</v>
      </c>
      <c r="G537" s="31">
        <v>32.82</v>
      </c>
      <c r="H537" s="31">
        <f t="shared" si="105"/>
        <v>393.84000000000003</v>
      </c>
      <c r="I537" s="170" t="s">
        <v>2842</v>
      </c>
      <c r="J537" t="s">
        <v>2853</v>
      </c>
      <c r="K537" s="188" t="s">
        <v>2853</v>
      </c>
    </row>
    <row r="538" spans="1:11" x14ac:dyDescent="0.25">
      <c r="A538" t="s">
        <v>5149</v>
      </c>
      <c r="B538" s="27" t="s">
        <v>576</v>
      </c>
      <c r="D538" s="27" t="s">
        <v>101</v>
      </c>
      <c r="E538" s="29" t="s">
        <v>563</v>
      </c>
      <c r="F538" s="30">
        <v>12</v>
      </c>
      <c r="G538" s="31">
        <v>30.99</v>
      </c>
      <c r="H538" s="31">
        <f t="shared" si="105"/>
        <v>371.88</v>
      </c>
      <c r="I538" s="170" t="s">
        <v>2842</v>
      </c>
      <c r="J538" t="s">
        <v>2853</v>
      </c>
      <c r="K538" s="188" t="s">
        <v>2853</v>
      </c>
    </row>
    <row r="539" spans="1:11" x14ac:dyDescent="0.25">
      <c r="A539" t="s">
        <v>5150</v>
      </c>
      <c r="B539" s="27" t="s">
        <v>577</v>
      </c>
      <c r="D539" s="27" t="s">
        <v>103</v>
      </c>
      <c r="E539" s="29" t="s">
        <v>563</v>
      </c>
      <c r="F539" s="30">
        <v>18</v>
      </c>
      <c r="G539" s="31">
        <v>24.08</v>
      </c>
      <c r="H539" s="31">
        <f t="shared" si="105"/>
        <v>433.43999999999994</v>
      </c>
      <c r="I539" s="170" t="s">
        <v>2842</v>
      </c>
      <c r="J539" t="s">
        <v>2853</v>
      </c>
      <c r="K539" s="188" t="s">
        <v>2853</v>
      </c>
    </row>
    <row r="540" spans="1:11" x14ac:dyDescent="0.25">
      <c r="A540" t="s">
        <v>5151</v>
      </c>
      <c r="B540" s="27" t="s">
        <v>578</v>
      </c>
      <c r="D540" s="27" t="s">
        <v>105</v>
      </c>
      <c r="E540" s="29" t="s">
        <v>563</v>
      </c>
      <c r="F540" s="30">
        <v>12</v>
      </c>
      <c r="G540" s="31">
        <v>35.909999999999997</v>
      </c>
      <c r="H540" s="31">
        <f t="shared" si="105"/>
        <v>430.91999999999996</v>
      </c>
      <c r="I540" s="170" t="s">
        <v>2842</v>
      </c>
      <c r="J540" t="s">
        <v>2853</v>
      </c>
      <c r="K540" s="188" t="s">
        <v>2853</v>
      </c>
    </row>
    <row r="541" spans="1:11" x14ac:dyDescent="0.25">
      <c r="A541" t="s">
        <v>5152</v>
      </c>
      <c r="B541" s="27" t="s">
        <v>579</v>
      </c>
      <c r="D541" s="27" t="s">
        <v>107</v>
      </c>
      <c r="E541" s="29" t="s">
        <v>563</v>
      </c>
      <c r="F541" s="30">
        <v>12</v>
      </c>
      <c r="G541" s="31">
        <v>40.97</v>
      </c>
      <c r="H541" s="31">
        <f t="shared" si="105"/>
        <v>491.64</v>
      </c>
      <c r="I541" s="170" t="s">
        <v>2842</v>
      </c>
      <c r="J541" t="s">
        <v>2853</v>
      </c>
      <c r="K541" s="188" t="s">
        <v>2853</v>
      </c>
    </row>
    <row r="542" spans="1:11" x14ac:dyDescent="0.25">
      <c r="A542" t="s">
        <v>5153</v>
      </c>
      <c r="B542" s="27" t="s">
        <v>580</v>
      </c>
      <c r="D542" s="27" t="s">
        <v>109</v>
      </c>
      <c r="E542" s="29" t="s">
        <v>563</v>
      </c>
      <c r="F542" s="30">
        <v>12</v>
      </c>
      <c r="G542" s="31">
        <v>38.4</v>
      </c>
      <c r="H542" s="31">
        <f t="shared" si="105"/>
        <v>460.79999999999995</v>
      </c>
      <c r="I542" s="170" t="s">
        <v>2842</v>
      </c>
      <c r="J542" t="s">
        <v>2853</v>
      </c>
      <c r="K542" s="188" t="s">
        <v>2853</v>
      </c>
    </row>
    <row r="543" spans="1:11" x14ac:dyDescent="0.25">
      <c r="A543" t="s">
        <v>5154</v>
      </c>
      <c r="B543" s="27" t="s">
        <v>581</v>
      </c>
      <c r="D543" s="27" t="s">
        <v>112</v>
      </c>
      <c r="E543" s="29" t="s">
        <v>563</v>
      </c>
      <c r="F543" s="30">
        <v>12</v>
      </c>
      <c r="G543" s="31">
        <v>44.3</v>
      </c>
      <c r="H543" s="31">
        <f t="shared" si="105"/>
        <v>531.59999999999991</v>
      </c>
      <c r="I543" s="170" t="s">
        <v>2842</v>
      </c>
      <c r="J543" t="s">
        <v>2853</v>
      </c>
      <c r="K543" s="188" t="s">
        <v>2853</v>
      </c>
    </row>
    <row r="544" spans="1:11" x14ac:dyDescent="0.25">
      <c r="B544" s="27"/>
      <c r="D544" s="27"/>
      <c r="E544" s="29"/>
      <c r="F544" s="30"/>
      <c r="G544" s="31"/>
      <c r="H544" s="31"/>
      <c r="I544" s="170" t="s">
        <v>2842</v>
      </c>
      <c r="J544" t="s">
        <v>2853</v>
      </c>
      <c r="K544" s="188" t="s">
        <v>2853</v>
      </c>
    </row>
    <row r="545" spans="1:11" x14ac:dyDescent="0.25">
      <c r="A545" t="s">
        <v>5155</v>
      </c>
      <c r="B545" s="27" t="s">
        <v>582</v>
      </c>
      <c r="D545" s="27" t="s">
        <v>118</v>
      </c>
      <c r="E545" s="29" t="s">
        <v>563</v>
      </c>
      <c r="F545" s="30">
        <v>25</v>
      </c>
      <c r="G545" s="31">
        <v>5.65</v>
      </c>
      <c r="H545" s="31">
        <f t="shared" ref="H545:H553" si="106">+F545*G545</f>
        <v>141.25</v>
      </c>
      <c r="J545" t="s">
        <v>2853</v>
      </c>
      <c r="K545" s="188" t="s">
        <v>2853</v>
      </c>
    </row>
    <row r="546" spans="1:11" x14ac:dyDescent="0.25">
      <c r="A546" t="s">
        <v>5156</v>
      </c>
      <c r="B546" s="27" t="s">
        <v>583</v>
      </c>
      <c r="D546" s="27" t="s">
        <v>121</v>
      </c>
      <c r="E546" s="29" t="s">
        <v>563</v>
      </c>
      <c r="F546" s="30">
        <v>25</v>
      </c>
      <c r="G546" s="31">
        <v>7.4</v>
      </c>
      <c r="H546" s="31">
        <f t="shared" si="106"/>
        <v>185</v>
      </c>
      <c r="I546" s="170" t="s">
        <v>2842</v>
      </c>
      <c r="J546" t="s">
        <v>2853</v>
      </c>
      <c r="K546" s="188" t="s">
        <v>2853</v>
      </c>
    </row>
    <row r="547" spans="1:11" x14ac:dyDescent="0.25">
      <c r="A547" t="s">
        <v>5157</v>
      </c>
      <c r="B547" s="27" t="s">
        <v>584</v>
      </c>
      <c r="D547" s="27" t="s">
        <v>123</v>
      </c>
      <c r="E547" s="29" t="s">
        <v>563</v>
      </c>
      <c r="F547" s="30">
        <v>25</v>
      </c>
      <c r="G547" s="31">
        <v>8.33</v>
      </c>
      <c r="H547" s="31">
        <f t="shared" si="106"/>
        <v>208.25</v>
      </c>
      <c r="I547" s="170" t="s">
        <v>2842</v>
      </c>
      <c r="J547" t="s">
        <v>2853</v>
      </c>
      <c r="K547" s="188" t="s">
        <v>2853</v>
      </c>
    </row>
    <row r="548" spans="1:11" x14ac:dyDescent="0.25">
      <c r="A548" t="s">
        <v>5158</v>
      </c>
      <c r="B548" s="27" t="s">
        <v>585</v>
      </c>
      <c r="D548" s="27" t="s">
        <v>125</v>
      </c>
      <c r="E548" s="29" t="s">
        <v>563</v>
      </c>
      <c r="F548" s="30">
        <v>25</v>
      </c>
      <c r="G548" s="31">
        <v>9.9600000000000009</v>
      </c>
      <c r="H548" s="31">
        <f t="shared" si="106"/>
        <v>249.00000000000003</v>
      </c>
      <c r="I548" s="170" t="s">
        <v>2842</v>
      </c>
      <c r="J548" t="s">
        <v>2853</v>
      </c>
      <c r="K548" s="188" t="s">
        <v>2853</v>
      </c>
    </row>
    <row r="549" spans="1:11" x14ac:dyDescent="0.25">
      <c r="A549" t="s">
        <v>5159</v>
      </c>
      <c r="B549" s="27" t="s">
        <v>586</v>
      </c>
      <c r="D549" s="27" t="s">
        <v>128</v>
      </c>
      <c r="E549" s="29" t="s">
        <v>563</v>
      </c>
      <c r="F549" s="30">
        <v>25</v>
      </c>
      <c r="G549" s="31">
        <v>10.93</v>
      </c>
      <c r="H549" s="31">
        <f t="shared" si="106"/>
        <v>273.25</v>
      </c>
      <c r="I549" s="170" t="s">
        <v>2842</v>
      </c>
      <c r="J549" t="s">
        <v>2853</v>
      </c>
      <c r="K549" s="188" t="s">
        <v>2853</v>
      </c>
    </row>
    <row r="550" spans="1:11" x14ac:dyDescent="0.35">
      <c r="B550" s="27" t="s">
        <v>587</v>
      </c>
      <c r="D550" s="28" t="s">
        <v>131</v>
      </c>
      <c r="E550" s="29" t="s">
        <v>563</v>
      </c>
      <c r="F550" s="30">
        <v>20</v>
      </c>
      <c r="G550" s="31">
        <v>13.01</v>
      </c>
      <c r="H550" s="31">
        <f t="shared" si="106"/>
        <v>260.2</v>
      </c>
      <c r="I550" s="170" t="s">
        <v>2842</v>
      </c>
      <c r="J550" s="256" t="s">
        <v>8279</v>
      </c>
      <c r="K550" s="259" t="s">
        <v>8273</v>
      </c>
    </row>
    <row r="551" spans="1:11" x14ac:dyDescent="0.25">
      <c r="A551" t="s">
        <v>5160</v>
      </c>
      <c r="B551" s="27" t="s">
        <v>588</v>
      </c>
      <c r="D551" s="27" t="s">
        <v>133</v>
      </c>
      <c r="E551" s="29" t="s">
        <v>563</v>
      </c>
      <c r="F551" s="30">
        <v>50</v>
      </c>
      <c r="G551" s="31">
        <v>1.23</v>
      </c>
      <c r="H551" s="31">
        <f t="shared" si="106"/>
        <v>61.5</v>
      </c>
      <c r="J551" t="s">
        <v>2853</v>
      </c>
      <c r="K551" s="188" t="s">
        <v>2853</v>
      </c>
    </row>
    <row r="552" spans="1:11" x14ac:dyDescent="0.25">
      <c r="A552" t="s">
        <v>5161</v>
      </c>
      <c r="B552" s="27" t="s">
        <v>589</v>
      </c>
      <c r="D552" s="27" t="s">
        <v>134</v>
      </c>
      <c r="E552" s="29" t="s">
        <v>563</v>
      </c>
      <c r="F552" s="30">
        <v>50</v>
      </c>
      <c r="G552" s="31">
        <v>1.53</v>
      </c>
      <c r="H552" s="31">
        <f t="shared" si="106"/>
        <v>76.5</v>
      </c>
      <c r="I552" s="170" t="s">
        <v>2842</v>
      </c>
      <c r="J552" t="s">
        <v>2853</v>
      </c>
      <c r="K552" s="188" t="s">
        <v>2853</v>
      </c>
    </row>
    <row r="553" spans="1:11" x14ac:dyDescent="0.25">
      <c r="B553" s="27" t="s">
        <v>590</v>
      </c>
      <c r="D553" s="28" t="s">
        <v>138</v>
      </c>
      <c r="E553" s="29" t="s">
        <v>563</v>
      </c>
      <c r="F553" s="30">
        <v>50</v>
      </c>
      <c r="G553" s="31">
        <v>2.2799999999999998</v>
      </c>
      <c r="H553" s="31">
        <f t="shared" si="106"/>
        <v>113.99999999999999</v>
      </c>
      <c r="I553" s="170" t="s">
        <v>2842</v>
      </c>
      <c r="J553" t="s">
        <v>2853</v>
      </c>
      <c r="K553" s="188" t="s">
        <v>2853</v>
      </c>
    </row>
    <row r="554" spans="1:11" x14ac:dyDescent="0.25">
      <c r="B554" s="27"/>
      <c r="D554" s="27"/>
      <c r="E554" s="29"/>
      <c r="F554" s="30"/>
      <c r="G554" s="31"/>
      <c r="H554" s="31"/>
      <c r="I554" s="170" t="s">
        <v>2842</v>
      </c>
      <c r="J554" t="s">
        <v>2853</v>
      </c>
      <c r="K554" s="188" t="s">
        <v>2853</v>
      </c>
    </row>
    <row r="555" spans="1:11" x14ac:dyDescent="0.25">
      <c r="A555" t="s">
        <v>5162</v>
      </c>
      <c r="B555" s="40" t="s">
        <v>591</v>
      </c>
      <c r="D555" s="28" t="s">
        <v>2902</v>
      </c>
      <c r="E555" s="29" t="s">
        <v>563</v>
      </c>
      <c r="F555" s="30">
        <v>20</v>
      </c>
      <c r="G555" s="31">
        <v>2.4300000000000002</v>
      </c>
      <c r="H555" s="31">
        <f t="shared" ref="H555:H559" si="107">+F555*G555</f>
        <v>48.6</v>
      </c>
      <c r="I555" s="170" t="s">
        <v>2842</v>
      </c>
      <c r="J555" t="s">
        <v>2853</v>
      </c>
      <c r="K555" s="188" t="s">
        <v>2853</v>
      </c>
    </row>
    <row r="556" spans="1:11" x14ac:dyDescent="0.25">
      <c r="A556" t="s">
        <v>5163</v>
      </c>
      <c r="B556" s="40" t="s">
        <v>592</v>
      </c>
      <c r="D556" s="28" t="s">
        <v>2895</v>
      </c>
      <c r="E556" s="29" t="s">
        <v>563</v>
      </c>
      <c r="F556" s="30">
        <v>20</v>
      </c>
      <c r="G556" s="31">
        <v>2.2999999999999998</v>
      </c>
      <c r="H556" s="31">
        <f t="shared" si="107"/>
        <v>46</v>
      </c>
      <c r="I556" s="170" t="s">
        <v>2842</v>
      </c>
      <c r="J556" t="s">
        <v>2853</v>
      </c>
      <c r="K556" s="188" t="s">
        <v>2853</v>
      </c>
    </row>
    <row r="557" spans="1:11" x14ac:dyDescent="0.25">
      <c r="A557" t="s">
        <v>5164</v>
      </c>
      <c r="B557" s="27" t="s">
        <v>593</v>
      </c>
      <c r="D557" s="27" t="s">
        <v>594</v>
      </c>
      <c r="E557" s="29" t="s">
        <v>563</v>
      </c>
      <c r="F557" s="30">
        <v>12</v>
      </c>
      <c r="G557" s="31">
        <v>1.98</v>
      </c>
      <c r="H557" s="31">
        <f t="shared" si="107"/>
        <v>23.759999999999998</v>
      </c>
      <c r="I557" s="170" t="s">
        <v>2842</v>
      </c>
      <c r="J557" t="s">
        <v>2853</v>
      </c>
      <c r="K557" s="188" t="s">
        <v>2853</v>
      </c>
    </row>
    <row r="558" spans="1:11" x14ac:dyDescent="0.25">
      <c r="A558" t="s">
        <v>5165</v>
      </c>
      <c r="B558" s="27" t="s">
        <v>595</v>
      </c>
      <c r="D558" s="27" t="s">
        <v>596</v>
      </c>
      <c r="E558" s="29" t="s">
        <v>563</v>
      </c>
      <c r="F558" s="30">
        <v>12</v>
      </c>
      <c r="G558" s="31">
        <v>2.99</v>
      </c>
      <c r="H558" s="31">
        <f t="shared" si="107"/>
        <v>35.880000000000003</v>
      </c>
      <c r="I558" s="170" t="s">
        <v>2842</v>
      </c>
      <c r="J558" t="s">
        <v>2853</v>
      </c>
      <c r="K558" s="188" t="s">
        <v>2853</v>
      </c>
    </row>
    <row r="559" spans="1:11" x14ac:dyDescent="0.25">
      <c r="A559" t="s">
        <v>5166</v>
      </c>
      <c r="B559" s="40" t="s">
        <v>597</v>
      </c>
      <c r="D559" s="28" t="s">
        <v>2896</v>
      </c>
      <c r="E559" s="29" t="s">
        <v>563</v>
      </c>
      <c r="F559" s="30">
        <v>20</v>
      </c>
      <c r="G559" s="31">
        <v>3.06</v>
      </c>
      <c r="H559" s="31">
        <f t="shared" si="107"/>
        <v>61.2</v>
      </c>
      <c r="I559" s="170" t="s">
        <v>2842</v>
      </c>
      <c r="J559" t="s">
        <v>2853</v>
      </c>
      <c r="K559" s="188" t="s">
        <v>2853</v>
      </c>
    </row>
    <row r="560" spans="1:11" x14ac:dyDescent="0.25">
      <c r="B560" s="40"/>
      <c r="D560" s="41"/>
      <c r="E560" s="29"/>
      <c r="F560" s="30"/>
      <c r="G560" s="31"/>
      <c r="H560" s="31"/>
      <c r="J560" t="s">
        <v>2853</v>
      </c>
      <c r="K560" s="188" t="s">
        <v>2853</v>
      </c>
    </row>
    <row r="561" spans="1:11" x14ac:dyDescent="0.25">
      <c r="A561" t="s">
        <v>5167</v>
      </c>
      <c r="B561" s="40" t="s">
        <v>598</v>
      </c>
      <c r="D561" s="28" t="s">
        <v>2897</v>
      </c>
      <c r="E561" s="29" t="s">
        <v>563</v>
      </c>
      <c r="F561" s="30">
        <v>20</v>
      </c>
      <c r="G561" s="31">
        <v>4.96</v>
      </c>
      <c r="H561" s="31">
        <f t="shared" ref="H561:H568" si="108">+F561*G561</f>
        <v>99.2</v>
      </c>
      <c r="I561" s="170" t="s">
        <v>2842</v>
      </c>
      <c r="J561" t="s">
        <v>2853</v>
      </c>
      <c r="K561" s="188" t="s">
        <v>2853</v>
      </c>
    </row>
    <row r="562" spans="1:11" x14ac:dyDescent="0.25">
      <c r="A562" t="s">
        <v>5168</v>
      </c>
      <c r="B562" s="40" t="s">
        <v>599</v>
      </c>
      <c r="D562" s="28" t="s">
        <v>2898</v>
      </c>
      <c r="E562" s="29" t="s">
        <v>563</v>
      </c>
      <c r="F562" s="30">
        <v>20</v>
      </c>
      <c r="G562" s="31">
        <v>4.57</v>
      </c>
      <c r="H562" s="31">
        <f t="shared" si="108"/>
        <v>91.4</v>
      </c>
      <c r="I562" s="170" t="s">
        <v>2842</v>
      </c>
      <c r="J562" t="s">
        <v>2853</v>
      </c>
      <c r="K562" s="188" t="s">
        <v>2853</v>
      </c>
    </row>
    <row r="563" spans="1:11" x14ac:dyDescent="0.25">
      <c r="A563" t="s">
        <v>5169</v>
      </c>
      <c r="B563" s="40" t="s">
        <v>600</v>
      </c>
      <c r="D563" s="28" t="s">
        <v>2899</v>
      </c>
      <c r="E563" s="29" t="s">
        <v>563</v>
      </c>
      <c r="F563" s="30">
        <v>20</v>
      </c>
      <c r="G563" s="31">
        <v>4.1100000000000003</v>
      </c>
      <c r="H563" s="31">
        <f t="shared" si="108"/>
        <v>82.2</v>
      </c>
      <c r="I563" s="170" t="s">
        <v>2842</v>
      </c>
      <c r="J563" t="s">
        <v>2853</v>
      </c>
      <c r="K563" s="188" t="s">
        <v>2853</v>
      </c>
    </row>
    <row r="564" spans="1:11" x14ac:dyDescent="0.25">
      <c r="A564" t="s">
        <v>5170</v>
      </c>
      <c r="B564" s="27" t="s">
        <v>601</v>
      </c>
      <c r="D564" s="27" t="s">
        <v>602</v>
      </c>
      <c r="E564" s="29" t="s">
        <v>563</v>
      </c>
      <c r="F564" s="30">
        <v>25</v>
      </c>
      <c r="G564" s="31">
        <v>3.25</v>
      </c>
      <c r="H564" s="31">
        <f t="shared" si="108"/>
        <v>81.25</v>
      </c>
      <c r="I564" s="170" t="s">
        <v>2842</v>
      </c>
      <c r="J564" t="s">
        <v>2853</v>
      </c>
      <c r="K564" s="188" t="s">
        <v>2853</v>
      </c>
    </row>
    <row r="565" spans="1:11" x14ac:dyDescent="0.25">
      <c r="A565" t="s">
        <v>5171</v>
      </c>
      <c r="B565" s="27" t="s">
        <v>603</v>
      </c>
      <c r="D565" s="27" t="s">
        <v>604</v>
      </c>
      <c r="E565" s="29" t="s">
        <v>563</v>
      </c>
      <c r="F565" s="30">
        <v>25</v>
      </c>
      <c r="G565" s="31">
        <v>3.54</v>
      </c>
      <c r="H565" s="31">
        <f t="shared" si="108"/>
        <v>88.5</v>
      </c>
      <c r="I565" s="170" t="s">
        <v>2842</v>
      </c>
      <c r="J565" t="s">
        <v>2853</v>
      </c>
      <c r="K565" s="188" t="s">
        <v>2853</v>
      </c>
    </row>
    <row r="566" spans="1:11" x14ac:dyDescent="0.25">
      <c r="A566" t="s">
        <v>5172</v>
      </c>
      <c r="B566" s="27" t="s">
        <v>605</v>
      </c>
      <c r="D566" s="27" t="s">
        <v>606</v>
      </c>
      <c r="E566" s="29" t="s">
        <v>563</v>
      </c>
      <c r="F566" s="30">
        <v>20</v>
      </c>
      <c r="G566" s="31">
        <v>5.0599999999999996</v>
      </c>
      <c r="H566" s="31">
        <f t="shared" si="108"/>
        <v>101.19999999999999</v>
      </c>
      <c r="I566" s="170" t="s">
        <v>2842</v>
      </c>
      <c r="J566" t="s">
        <v>2853</v>
      </c>
      <c r="K566" s="188" t="s">
        <v>2853</v>
      </c>
    </row>
    <row r="567" spans="1:11" x14ac:dyDescent="0.25">
      <c r="A567" t="s">
        <v>5173</v>
      </c>
      <c r="B567" s="40" t="s">
        <v>607</v>
      </c>
      <c r="D567" s="28" t="s">
        <v>7362</v>
      </c>
      <c r="E567" s="29" t="s">
        <v>563</v>
      </c>
      <c r="F567" s="30">
        <v>20</v>
      </c>
      <c r="G567" s="31">
        <v>5.43</v>
      </c>
      <c r="H567" s="31">
        <f t="shared" si="108"/>
        <v>108.6</v>
      </c>
      <c r="I567" s="170" t="s">
        <v>2842</v>
      </c>
      <c r="J567" t="s">
        <v>2853</v>
      </c>
      <c r="K567" s="188" t="s">
        <v>2853</v>
      </c>
    </row>
    <row r="568" spans="1:11" x14ac:dyDescent="0.25">
      <c r="A568" t="s">
        <v>5174</v>
      </c>
      <c r="B568" s="40" t="s">
        <v>608</v>
      </c>
      <c r="D568" s="28" t="s">
        <v>2900</v>
      </c>
      <c r="E568" s="29" t="s">
        <v>563</v>
      </c>
      <c r="F568" s="30">
        <v>20</v>
      </c>
      <c r="G568" s="31">
        <v>5.95</v>
      </c>
      <c r="H568" s="31">
        <f t="shared" si="108"/>
        <v>119</v>
      </c>
      <c r="I568" s="170" t="s">
        <v>2842</v>
      </c>
      <c r="J568" t="s">
        <v>2853</v>
      </c>
      <c r="K568" s="188" t="s">
        <v>2853</v>
      </c>
    </row>
    <row r="569" spans="1:11" x14ac:dyDescent="0.25">
      <c r="B569" s="40"/>
      <c r="C569" s="42"/>
      <c r="D569" s="27"/>
      <c r="E569" s="29"/>
      <c r="F569" s="30"/>
      <c r="G569" s="31"/>
      <c r="H569" s="31"/>
      <c r="J569" t="s">
        <v>2853</v>
      </c>
      <c r="K569" s="188" t="s">
        <v>2853</v>
      </c>
    </row>
    <row r="570" spans="1:11" x14ac:dyDescent="0.25">
      <c r="A570" t="s">
        <v>5175</v>
      </c>
      <c r="B570" s="27" t="s">
        <v>609</v>
      </c>
      <c r="D570" s="27" t="s">
        <v>199</v>
      </c>
      <c r="E570" s="29" t="s">
        <v>563</v>
      </c>
      <c r="F570" s="30">
        <v>6</v>
      </c>
      <c r="G570" s="31">
        <v>18.47</v>
      </c>
      <c r="H570" s="31">
        <f t="shared" ref="H570:H577" si="109">+F570*G570</f>
        <v>110.82</v>
      </c>
      <c r="I570" s="170" t="s">
        <v>2842</v>
      </c>
      <c r="J570" t="s">
        <v>2853</v>
      </c>
      <c r="K570" s="188" t="s">
        <v>2853</v>
      </c>
    </row>
    <row r="571" spans="1:11" x14ac:dyDescent="0.25">
      <c r="A571" t="s">
        <v>5176</v>
      </c>
      <c r="B571" s="27" t="s">
        <v>610</v>
      </c>
      <c r="D571" s="27" t="s">
        <v>200</v>
      </c>
      <c r="E571" s="29" t="s">
        <v>563</v>
      </c>
      <c r="F571" s="30">
        <v>6</v>
      </c>
      <c r="G571" s="31">
        <v>16.75</v>
      </c>
      <c r="H571" s="31">
        <f t="shared" si="109"/>
        <v>100.5</v>
      </c>
      <c r="I571" s="170" t="s">
        <v>2842</v>
      </c>
      <c r="J571" t="s">
        <v>2853</v>
      </c>
      <c r="K571" s="188" t="s">
        <v>2853</v>
      </c>
    </row>
    <row r="572" spans="1:11" x14ac:dyDescent="0.25">
      <c r="A572" t="s">
        <v>5177</v>
      </c>
      <c r="B572" s="27" t="s">
        <v>611</v>
      </c>
      <c r="D572" s="27" t="s">
        <v>201</v>
      </c>
      <c r="E572" s="29" t="s">
        <v>563</v>
      </c>
      <c r="F572" s="30">
        <v>6</v>
      </c>
      <c r="G572" s="31">
        <v>12.57</v>
      </c>
      <c r="H572" s="31">
        <f t="shared" si="109"/>
        <v>75.42</v>
      </c>
      <c r="I572" s="170" t="s">
        <v>2842</v>
      </c>
      <c r="J572" t="s">
        <v>2853</v>
      </c>
      <c r="K572" s="188" t="s">
        <v>2853</v>
      </c>
    </row>
    <row r="573" spans="1:11" x14ac:dyDescent="0.25">
      <c r="A573" t="s">
        <v>5178</v>
      </c>
      <c r="B573" s="27" t="s">
        <v>612</v>
      </c>
      <c r="D573" s="27" t="s">
        <v>204</v>
      </c>
      <c r="E573" s="29" t="s">
        <v>563</v>
      </c>
      <c r="F573" s="30">
        <v>6</v>
      </c>
      <c r="G573" s="31">
        <v>20.82</v>
      </c>
      <c r="H573" s="31">
        <f t="shared" si="109"/>
        <v>124.92</v>
      </c>
      <c r="I573" s="170" t="s">
        <v>2842</v>
      </c>
      <c r="J573" t="s">
        <v>2853</v>
      </c>
      <c r="K573" s="188" t="s">
        <v>2853</v>
      </c>
    </row>
    <row r="574" spans="1:11" x14ac:dyDescent="0.25">
      <c r="A574" t="s">
        <v>5179</v>
      </c>
      <c r="B574" s="27" t="s">
        <v>613</v>
      </c>
      <c r="C574" s="38"/>
      <c r="D574" s="27" t="s">
        <v>208</v>
      </c>
      <c r="E574" s="29" t="s">
        <v>563</v>
      </c>
      <c r="F574" s="30">
        <v>6</v>
      </c>
      <c r="G574" s="31">
        <v>18.149999999999999</v>
      </c>
      <c r="H574" s="31">
        <f t="shared" si="109"/>
        <v>108.89999999999999</v>
      </c>
      <c r="J574" t="s">
        <v>2853</v>
      </c>
      <c r="K574" s="188" t="s">
        <v>2853</v>
      </c>
    </row>
    <row r="575" spans="1:11" x14ac:dyDescent="0.25">
      <c r="A575" t="s">
        <v>5180</v>
      </c>
      <c r="B575" s="27" t="s">
        <v>614</v>
      </c>
      <c r="D575" s="27" t="s">
        <v>211</v>
      </c>
      <c r="E575" s="29" t="s">
        <v>563</v>
      </c>
      <c r="F575" s="30">
        <v>6</v>
      </c>
      <c r="G575" s="31">
        <v>16.690000000000001</v>
      </c>
      <c r="H575" s="31">
        <f t="shared" si="109"/>
        <v>100.14000000000001</v>
      </c>
      <c r="J575" t="s">
        <v>2853</v>
      </c>
      <c r="K575" s="188" t="s">
        <v>2853</v>
      </c>
    </row>
    <row r="576" spans="1:11" x14ac:dyDescent="0.25">
      <c r="A576" t="s">
        <v>5181</v>
      </c>
      <c r="B576" s="27" t="s">
        <v>615</v>
      </c>
      <c r="C576" s="38"/>
      <c r="D576" s="27" t="s">
        <v>214</v>
      </c>
      <c r="E576" s="29" t="s">
        <v>563</v>
      </c>
      <c r="F576" s="30">
        <v>6</v>
      </c>
      <c r="G576" s="31">
        <v>18.149999999999999</v>
      </c>
      <c r="H576" s="31">
        <f t="shared" si="109"/>
        <v>108.89999999999999</v>
      </c>
      <c r="I576" s="170" t="s">
        <v>2842</v>
      </c>
      <c r="J576" t="s">
        <v>2853</v>
      </c>
      <c r="K576" s="188" t="s">
        <v>2853</v>
      </c>
    </row>
    <row r="577" spans="1:11" x14ac:dyDescent="0.25">
      <c r="A577" t="s">
        <v>5182</v>
      </c>
      <c r="B577" s="27" t="s">
        <v>616</v>
      </c>
      <c r="D577" s="27" t="s">
        <v>218</v>
      </c>
      <c r="E577" s="29" t="s">
        <v>563</v>
      </c>
      <c r="F577" s="30">
        <v>25</v>
      </c>
      <c r="G577" s="31">
        <v>5.18</v>
      </c>
      <c r="H577" s="31">
        <f t="shared" si="109"/>
        <v>129.5</v>
      </c>
      <c r="I577" s="170" t="s">
        <v>2842</v>
      </c>
      <c r="J577" t="s">
        <v>2853</v>
      </c>
      <c r="K577" s="188" t="s">
        <v>2853</v>
      </c>
    </row>
    <row r="578" spans="1:11" x14ac:dyDescent="0.25">
      <c r="B578" s="27"/>
      <c r="D578" s="27"/>
      <c r="E578" s="29"/>
      <c r="F578" s="30"/>
      <c r="G578" s="31"/>
      <c r="H578" s="31"/>
      <c r="I578" s="170" t="s">
        <v>2842</v>
      </c>
      <c r="J578" t="s">
        <v>2853</v>
      </c>
      <c r="K578" s="188" t="s">
        <v>2853</v>
      </c>
    </row>
    <row r="579" spans="1:11" x14ac:dyDescent="0.25">
      <c r="A579" t="s">
        <v>5183</v>
      </c>
      <c r="B579" s="27" t="s">
        <v>617</v>
      </c>
      <c r="D579" s="34" t="s">
        <v>401</v>
      </c>
      <c r="E579" s="29" t="s">
        <v>563</v>
      </c>
      <c r="F579" s="30">
        <v>1</v>
      </c>
      <c r="G579" s="31">
        <v>161.77000000000001</v>
      </c>
      <c r="H579" s="31">
        <f t="shared" ref="H579:H582" si="110">+F579*G579</f>
        <v>161.77000000000001</v>
      </c>
      <c r="I579" s="170" t="s">
        <v>2842</v>
      </c>
      <c r="J579" t="s">
        <v>2853</v>
      </c>
      <c r="K579" s="188" t="s">
        <v>2853</v>
      </c>
    </row>
    <row r="580" spans="1:11" x14ac:dyDescent="0.25">
      <c r="A580" t="s">
        <v>5184</v>
      </c>
      <c r="B580" s="27" t="s">
        <v>618</v>
      </c>
      <c r="D580" s="34" t="s">
        <v>7578</v>
      </c>
      <c r="E580" s="29" t="s">
        <v>563</v>
      </c>
      <c r="F580" s="30">
        <v>1</v>
      </c>
      <c r="G580" s="31">
        <v>153.93</v>
      </c>
      <c r="H580" s="31">
        <f t="shared" si="110"/>
        <v>153.93</v>
      </c>
      <c r="I580" s="170" t="s">
        <v>2842</v>
      </c>
      <c r="J580" t="s">
        <v>2853</v>
      </c>
      <c r="K580" s="188" t="s">
        <v>2853</v>
      </c>
    </row>
    <row r="581" spans="1:11" x14ac:dyDescent="0.25">
      <c r="A581" t="s">
        <v>7741</v>
      </c>
      <c r="B581" s="27" t="s">
        <v>619</v>
      </c>
      <c r="D581" s="34" t="s">
        <v>7737</v>
      </c>
      <c r="E581" s="29" t="s">
        <v>563</v>
      </c>
      <c r="F581" s="30">
        <v>1</v>
      </c>
      <c r="G581" s="31">
        <v>70.459999999999994</v>
      </c>
      <c r="H581" s="31">
        <f t="shared" si="110"/>
        <v>70.459999999999994</v>
      </c>
      <c r="I581" s="170" t="s">
        <v>2842</v>
      </c>
      <c r="J581" t="s">
        <v>2853</v>
      </c>
      <c r="K581" s="188" t="s">
        <v>2853</v>
      </c>
    </row>
    <row r="582" spans="1:11" x14ac:dyDescent="0.25">
      <c r="A582" t="s">
        <v>7742</v>
      </c>
      <c r="B582" s="27" t="s">
        <v>620</v>
      </c>
      <c r="D582" s="34" t="s">
        <v>7739</v>
      </c>
      <c r="E582" s="29" t="s">
        <v>563</v>
      </c>
      <c r="F582" s="30">
        <v>1</v>
      </c>
      <c r="G582" s="31">
        <v>63.28</v>
      </c>
      <c r="H582" s="31">
        <f t="shared" si="110"/>
        <v>63.28</v>
      </c>
      <c r="J582" t="s">
        <v>2853</v>
      </c>
      <c r="K582" s="188" t="s">
        <v>2853</v>
      </c>
    </row>
    <row r="583" spans="1:11" x14ac:dyDescent="0.25">
      <c r="B583" s="27"/>
      <c r="D583" s="27"/>
      <c r="E583" s="29"/>
      <c r="F583" s="30"/>
      <c r="G583" s="31"/>
      <c r="H583" s="31"/>
      <c r="I583" s="170" t="s">
        <v>2842</v>
      </c>
      <c r="J583" t="s">
        <v>2853</v>
      </c>
      <c r="K583" s="188" t="s">
        <v>2853</v>
      </c>
    </row>
    <row r="584" spans="1:11" x14ac:dyDescent="0.25">
      <c r="B584" s="27"/>
      <c r="D584" s="27"/>
      <c r="E584" s="29"/>
      <c r="F584" s="30"/>
      <c r="G584" s="31"/>
      <c r="H584" s="31"/>
      <c r="I584" s="170" t="s">
        <v>2842</v>
      </c>
      <c r="J584" t="s">
        <v>2853</v>
      </c>
      <c r="K584" s="188" t="s">
        <v>2853</v>
      </c>
    </row>
    <row r="585" spans="1:11" x14ac:dyDescent="0.25">
      <c r="A585" t="s">
        <v>5185</v>
      </c>
      <c r="B585" s="27" t="s">
        <v>621</v>
      </c>
      <c r="D585" s="27" t="s">
        <v>622</v>
      </c>
      <c r="E585" s="29" t="s">
        <v>563</v>
      </c>
      <c r="F585" s="30">
        <v>12</v>
      </c>
      <c r="G585" s="31">
        <v>3.26</v>
      </c>
      <c r="H585" s="31">
        <f t="shared" ref="H585:H590" si="111">+F585*G585</f>
        <v>39.119999999999997</v>
      </c>
      <c r="I585" s="170" t="s">
        <v>2842</v>
      </c>
      <c r="J585" t="s">
        <v>2853</v>
      </c>
      <c r="K585" s="188" t="s">
        <v>2853</v>
      </c>
    </row>
    <row r="586" spans="1:11" x14ac:dyDescent="0.25">
      <c r="A586" t="s">
        <v>5186</v>
      </c>
      <c r="B586" s="27" t="s">
        <v>623</v>
      </c>
      <c r="D586" s="28" t="s">
        <v>2901</v>
      </c>
      <c r="E586" s="29" t="s">
        <v>563</v>
      </c>
      <c r="F586" s="30">
        <v>16</v>
      </c>
      <c r="G586" s="31">
        <v>5.8</v>
      </c>
      <c r="H586" s="31">
        <f t="shared" si="111"/>
        <v>92.8</v>
      </c>
      <c r="I586" s="170" t="s">
        <v>2842</v>
      </c>
      <c r="J586" t="s">
        <v>2853</v>
      </c>
      <c r="K586" s="188" t="s">
        <v>2853</v>
      </c>
    </row>
    <row r="587" spans="1:11" x14ac:dyDescent="0.25">
      <c r="A587" t="s">
        <v>5187</v>
      </c>
      <c r="B587" s="27" t="s">
        <v>624</v>
      </c>
      <c r="D587" s="27" t="s">
        <v>625</v>
      </c>
      <c r="E587" s="29" t="s">
        <v>563</v>
      </c>
      <c r="F587" s="30">
        <v>6</v>
      </c>
      <c r="G587" s="31">
        <v>9.3800000000000008</v>
      </c>
      <c r="H587" s="31">
        <f t="shared" si="111"/>
        <v>56.28</v>
      </c>
      <c r="I587" s="170" t="s">
        <v>2842</v>
      </c>
      <c r="J587" t="s">
        <v>2853</v>
      </c>
      <c r="K587" s="188" t="s">
        <v>2853</v>
      </c>
    </row>
    <row r="588" spans="1:11" x14ac:dyDescent="0.25">
      <c r="A588" t="s">
        <v>5188</v>
      </c>
      <c r="B588" s="27" t="s">
        <v>626</v>
      </c>
      <c r="D588" s="27" t="s">
        <v>627</v>
      </c>
      <c r="E588" s="29" t="s">
        <v>563</v>
      </c>
      <c r="F588" s="30">
        <v>6</v>
      </c>
      <c r="G588" s="31">
        <v>12.35</v>
      </c>
      <c r="H588" s="31">
        <f t="shared" si="111"/>
        <v>74.099999999999994</v>
      </c>
      <c r="I588" s="170" t="s">
        <v>2842</v>
      </c>
      <c r="J588" t="s">
        <v>2853</v>
      </c>
      <c r="K588" s="188" t="s">
        <v>2853</v>
      </c>
    </row>
    <row r="589" spans="1:11" x14ac:dyDescent="0.25">
      <c r="A589" t="s">
        <v>5189</v>
      </c>
      <c r="B589" s="27" t="s">
        <v>628</v>
      </c>
      <c r="D589" s="27" t="s">
        <v>629</v>
      </c>
      <c r="E589" s="29" t="s">
        <v>563</v>
      </c>
      <c r="F589" s="30">
        <v>6</v>
      </c>
      <c r="G589" s="31">
        <v>14.28</v>
      </c>
      <c r="H589" s="31">
        <f t="shared" si="111"/>
        <v>85.679999999999993</v>
      </c>
      <c r="I589" s="170" t="s">
        <v>2842</v>
      </c>
      <c r="J589" t="s">
        <v>2853</v>
      </c>
      <c r="K589" s="188" t="s">
        <v>2853</v>
      </c>
    </row>
    <row r="590" spans="1:11" x14ac:dyDescent="0.25">
      <c r="A590" t="s">
        <v>5190</v>
      </c>
      <c r="B590" s="27" t="s">
        <v>630</v>
      </c>
      <c r="D590" s="27" t="s">
        <v>631</v>
      </c>
      <c r="E590" s="29" t="s">
        <v>563</v>
      </c>
      <c r="F590" s="30">
        <v>6</v>
      </c>
      <c r="G590" s="31">
        <v>17.14</v>
      </c>
      <c r="H590" s="31">
        <f t="shared" si="111"/>
        <v>102.84</v>
      </c>
      <c r="I590" s="170" t="s">
        <v>2842</v>
      </c>
      <c r="J590" t="s">
        <v>2853</v>
      </c>
      <c r="K590" s="188" t="s">
        <v>2853</v>
      </c>
    </row>
    <row r="591" spans="1:11" x14ac:dyDescent="0.25">
      <c r="B591" s="27"/>
      <c r="D591" s="27"/>
      <c r="E591" s="29"/>
      <c r="F591" s="30"/>
      <c r="G591" s="31"/>
      <c r="H591" s="31"/>
      <c r="I591" s="170" t="s">
        <v>2842</v>
      </c>
      <c r="J591" t="s">
        <v>2853</v>
      </c>
      <c r="K591" s="188" t="s">
        <v>2853</v>
      </c>
    </row>
    <row r="592" spans="1:11" x14ac:dyDescent="0.25">
      <c r="A592" t="s">
        <v>5191</v>
      </c>
      <c r="B592" s="27" t="s">
        <v>632</v>
      </c>
      <c r="D592" s="27" t="s">
        <v>490</v>
      </c>
      <c r="E592" s="29" t="s">
        <v>563</v>
      </c>
      <c r="F592" s="30">
        <v>1</v>
      </c>
      <c r="G592" s="31">
        <v>79.069999999999993</v>
      </c>
      <c r="H592" s="31">
        <f t="shared" ref="H592:H604" si="112">+F592*G592</f>
        <v>79.069999999999993</v>
      </c>
      <c r="I592" s="170" t="s">
        <v>2842</v>
      </c>
      <c r="J592" t="s">
        <v>2853</v>
      </c>
      <c r="K592" s="188" t="s">
        <v>2853</v>
      </c>
    </row>
    <row r="593" spans="1:11" x14ac:dyDescent="0.25">
      <c r="A593" t="s">
        <v>5192</v>
      </c>
      <c r="B593" s="27" t="s">
        <v>633</v>
      </c>
      <c r="D593" s="27" t="s">
        <v>490</v>
      </c>
      <c r="E593" s="29" t="s">
        <v>563</v>
      </c>
      <c r="F593" s="30">
        <v>1</v>
      </c>
      <c r="G593" s="31">
        <v>79.069999999999993</v>
      </c>
      <c r="H593" s="31">
        <f t="shared" si="112"/>
        <v>79.069999999999993</v>
      </c>
      <c r="I593" s="170" t="s">
        <v>2842</v>
      </c>
      <c r="J593" t="s">
        <v>2853</v>
      </c>
      <c r="K593" s="188" t="s">
        <v>2853</v>
      </c>
    </row>
    <row r="594" spans="1:11" x14ac:dyDescent="0.25">
      <c r="A594" t="s">
        <v>5193</v>
      </c>
      <c r="B594" s="27" t="s">
        <v>634</v>
      </c>
      <c r="D594" s="27" t="s">
        <v>494</v>
      </c>
      <c r="E594" s="29" t="s">
        <v>563</v>
      </c>
      <c r="F594" s="30">
        <v>1</v>
      </c>
      <c r="G594" s="31">
        <v>85.52</v>
      </c>
      <c r="H594" s="31">
        <f t="shared" si="112"/>
        <v>85.52</v>
      </c>
      <c r="I594" s="170" t="s">
        <v>2842</v>
      </c>
      <c r="J594" t="s">
        <v>2853</v>
      </c>
      <c r="K594" s="188" t="s">
        <v>2853</v>
      </c>
    </row>
    <row r="595" spans="1:11" x14ac:dyDescent="0.25">
      <c r="A595" t="s">
        <v>5194</v>
      </c>
      <c r="B595" s="27" t="s">
        <v>635</v>
      </c>
      <c r="D595" s="27" t="s">
        <v>494</v>
      </c>
      <c r="E595" s="29" t="s">
        <v>563</v>
      </c>
      <c r="F595" s="30">
        <v>1</v>
      </c>
      <c r="G595" s="31">
        <v>85.52</v>
      </c>
      <c r="H595" s="31">
        <f t="shared" si="112"/>
        <v>85.52</v>
      </c>
      <c r="I595" s="170" t="s">
        <v>2842</v>
      </c>
      <c r="J595" t="s">
        <v>2853</v>
      </c>
      <c r="K595" s="188" t="s">
        <v>2853</v>
      </c>
    </row>
    <row r="596" spans="1:11" x14ac:dyDescent="0.25">
      <c r="A596" t="s">
        <v>5195</v>
      </c>
      <c r="B596" s="27" t="s">
        <v>636</v>
      </c>
      <c r="D596" s="27" t="s">
        <v>497</v>
      </c>
      <c r="E596" s="29" t="s">
        <v>563</v>
      </c>
      <c r="F596" s="30">
        <v>1</v>
      </c>
      <c r="G596" s="31">
        <v>92.03</v>
      </c>
      <c r="H596" s="31">
        <f t="shared" si="112"/>
        <v>92.03</v>
      </c>
      <c r="J596" t="s">
        <v>2853</v>
      </c>
      <c r="K596" s="188" t="s">
        <v>2853</v>
      </c>
    </row>
    <row r="597" spans="1:11" x14ac:dyDescent="0.25">
      <c r="A597" t="s">
        <v>5196</v>
      </c>
      <c r="B597" s="27" t="s">
        <v>637</v>
      </c>
      <c r="D597" s="27" t="s">
        <v>497</v>
      </c>
      <c r="E597" s="29" t="s">
        <v>563</v>
      </c>
      <c r="F597" s="30">
        <v>1</v>
      </c>
      <c r="G597" s="31">
        <v>92.03</v>
      </c>
      <c r="H597" s="31">
        <f t="shared" si="112"/>
        <v>92.03</v>
      </c>
      <c r="I597" s="170" t="s">
        <v>2842</v>
      </c>
      <c r="J597" t="s">
        <v>2853</v>
      </c>
      <c r="K597" s="188" t="s">
        <v>2853</v>
      </c>
    </row>
    <row r="598" spans="1:11" x14ac:dyDescent="0.25">
      <c r="A598" t="s">
        <v>5197</v>
      </c>
      <c r="B598" s="27" t="s">
        <v>638</v>
      </c>
      <c r="D598" s="27" t="s">
        <v>498</v>
      </c>
      <c r="E598" s="29" t="s">
        <v>563</v>
      </c>
      <c r="F598" s="30">
        <v>1</v>
      </c>
      <c r="G598" s="31">
        <v>98.51</v>
      </c>
      <c r="H598" s="31">
        <f t="shared" si="112"/>
        <v>98.51</v>
      </c>
      <c r="I598" s="170" t="s">
        <v>2842</v>
      </c>
      <c r="J598" t="s">
        <v>2853</v>
      </c>
      <c r="K598" s="188" t="s">
        <v>2853</v>
      </c>
    </row>
    <row r="599" spans="1:11" x14ac:dyDescent="0.25">
      <c r="A599" t="s">
        <v>5198</v>
      </c>
      <c r="B599" s="27" t="s">
        <v>639</v>
      </c>
      <c r="D599" s="27" t="s">
        <v>498</v>
      </c>
      <c r="E599" s="29" t="s">
        <v>563</v>
      </c>
      <c r="F599" s="30">
        <v>1</v>
      </c>
      <c r="G599" s="31">
        <v>98.51</v>
      </c>
      <c r="H599" s="31">
        <f t="shared" si="112"/>
        <v>98.51</v>
      </c>
      <c r="I599" s="170" t="s">
        <v>2842</v>
      </c>
      <c r="J599" t="s">
        <v>2853</v>
      </c>
      <c r="K599" s="188" t="s">
        <v>2853</v>
      </c>
    </row>
    <row r="600" spans="1:11" x14ac:dyDescent="0.25">
      <c r="A600" t="s">
        <v>5199</v>
      </c>
      <c r="B600" s="27" t="s">
        <v>640</v>
      </c>
      <c r="D600" s="27" t="s">
        <v>500</v>
      </c>
      <c r="E600" s="29" t="s">
        <v>563</v>
      </c>
      <c r="F600" s="30">
        <v>1</v>
      </c>
      <c r="G600" s="31">
        <v>28.94</v>
      </c>
      <c r="H600" s="31">
        <f t="shared" si="112"/>
        <v>28.94</v>
      </c>
      <c r="I600" s="170" t="s">
        <v>2842</v>
      </c>
      <c r="J600" t="s">
        <v>2853</v>
      </c>
      <c r="K600" s="188" t="s">
        <v>2853</v>
      </c>
    </row>
    <row r="601" spans="1:11" x14ac:dyDescent="0.25">
      <c r="A601" t="s">
        <v>5200</v>
      </c>
      <c r="B601" s="27" t="s">
        <v>641</v>
      </c>
      <c r="D601" s="27" t="s">
        <v>501</v>
      </c>
      <c r="E601" s="29" t="s">
        <v>563</v>
      </c>
      <c r="F601" s="30">
        <v>1</v>
      </c>
      <c r="G601" s="31">
        <v>37.75</v>
      </c>
      <c r="H601" s="31">
        <f t="shared" si="112"/>
        <v>37.75</v>
      </c>
      <c r="I601" s="170" t="s">
        <v>2842</v>
      </c>
      <c r="J601" t="s">
        <v>2853</v>
      </c>
      <c r="K601" s="188" t="s">
        <v>2853</v>
      </c>
    </row>
    <row r="602" spans="1:11" x14ac:dyDescent="0.25">
      <c r="A602" t="s">
        <v>5201</v>
      </c>
      <c r="B602" s="27" t="s">
        <v>642</v>
      </c>
      <c r="D602" s="27" t="s">
        <v>502</v>
      </c>
      <c r="E602" s="29" t="s">
        <v>563</v>
      </c>
      <c r="F602" s="30">
        <v>1</v>
      </c>
      <c r="G602" s="31">
        <v>46.48</v>
      </c>
      <c r="H602" s="31">
        <f t="shared" si="112"/>
        <v>46.48</v>
      </c>
      <c r="I602" s="170" t="s">
        <v>2842</v>
      </c>
      <c r="J602" t="s">
        <v>2853</v>
      </c>
      <c r="K602" s="188" t="s">
        <v>2853</v>
      </c>
    </row>
    <row r="603" spans="1:11" x14ac:dyDescent="0.25">
      <c r="A603" t="s">
        <v>5202</v>
      </c>
      <c r="B603" s="27" t="s">
        <v>643</v>
      </c>
      <c r="D603" s="27" t="s">
        <v>503</v>
      </c>
      <c r="E603" s="29" t="s">
        <v>563</v>
      </c>
      <c r="F603" s="30">
        <v>1</v>
      </c>
      <c r="G603" s="31">
        <v>55.21</v>
      </c>
      <c r="H603" s="31">
        <f t="shared" si="112"/>
        <v>55.21</v>
      </c>
      <c r="I603" s="170" t="s">
        <v>2842</v>
      </c>
      <c r="J603" t="s">
        <v>2853</v>
      </c>
      <c r="K603" s="188" t="s">
        <v>2853</v>
      </c>
    </row>
    <row r="604" spans="1:11" x14ac:dyDescent="0.25">
      <c r="A604" t="s">
        <v>5203</v>
      </c>
      <c r="B604" s="27" t="s">
        <v>644</v>
      </c>
      <c r="D604" s="27" t="s">
        <v>504</v>
      </c>
      <c r="E604" s="29" t="s">
        <v>563</v>
      </c>
      <c r="F604" s="30">
        <v>6</v>
      </c>
      <c r="G604" s="31">
        <v>12.68</v>
      </c>
      <c r="H604" s="31">
        <f t="shared" si="112"/>
        <v>76.08</v>
      </c>
      <c r="I604" s="170" t="s">
        <v>2842</v>
      </c>
      <c r="J604" t="s">
        <v>2853</v>
      </c>
      <c r="K604" s="188" t="s">
        <v>2853</v>
      </c>
    </row>
    <row r="605" spans="1:11" x14ac:dyDescent="0.25">
      <c r="B605" s="27"/>
      <c r="D605" s="27"/>
      <c r="E605" s="29"/>
      <c r="F605" s="30"/>
      <c r="G605" s="31"/>
      <c r="H605" s="31"/>
      <c r="I605" s="170" t="s">
        <v>2842</v>
      </c>
      <c r="J605" t="s">
        <v>2853</v>
      </c>
      <c r="K605" s="188" t="s">
        <v>2853</v>
      </c>
    </row>
    <row r="606" spans="1:11" x14ac:dyDescent="0.25">
      <c r="A606" t="s">
        <v>5204</v>
      </c>
      <c r="B606" s="27" t="s">
        <v>645</v>
      </c>
      <c r="D606" s="27" t="s">
        <v>507</v>
      </c>
      <c r="E606" s="29" t="s">
        <v>563</v>
      </c>
      <c r="F606" s="30">
        <v>1</v>
      </c>
      <c r="G606" s="31">
        <v>98.13</v>
      </c>
      <c r="H606" s="31">
        <f t="shared" ref="H606:H621" si="113">+F606*G606</f>
        <v>98.13</v>
      </c>
      <c r="I606" s="170" t="s">
        <v>2842</v>
      </c>
      <c r="J606" t="s">
        <v>2853</v>
      </c>
      <c r="K606" s="188" t="s">
        <v>2853</v>
      </c>
    </row>
    <row r="607" spans="1:11" x14ac:dyDescent="0.25">
      <c r="A607" t="s">
        <v>5205</v>
      </c>
      <c r="B607" s="27" t="s">
        <v>646</v>
      </c>
      <c r="D607" s="27" t="s">
        <v>507</v>
      </c>
      <c r="E607" s="29" t="s">
        <v>563</v>
      </c>
      <c r="F607" s="30">
        <v>1</v>
      </c>
      <c r="G607" s="31">
        <v>98.13</v>
      </c>
      <c r="H607" s="31">
        <f t="shared" si="113"/>
        <v>98.13</v>
      </c>
      <c r="I607" s="170" t="s">
        <v>2842</v>
      </c>
      <c r="J607" t="s">
        <v>2853</v>
      </c>
      <c r="K607" s="188" t="s">
        <v>2853</v>
      </c>
    </row>
    <row r="608" spans="1:11" x14ac:dyDescent="0.25">
      <c r="A608" t="s">
        <v>5206</v>
      </c>
      <c r="B608" s="27" t="s">
        <v>647</v>
      </c>
      <c r="D608" s="27" t="s">
        <v>510</v>
      </c>
      <c r="E608" s="29" t="s">
        <v>563</v>
      </c>
      <c r="F608" s="30">
        <v>1</v>
      </c>
      <c r="G608" s="31">
        <v>108.43</v>
      </c>
      <c r="H608" s="31">
        <f t="shared" si="113"/>
        <v>108.43</v>
      </c>
      <c r="I608" s="170" t="s">
        <v>2842</v>
      </c>
      <c r="J608" t="s">
        <v>2853</v>
      </c>
      <c r="K608" s="188" t="s">
        <v>2853</v>
      </c>
    </row>
    <row r="609" spans="1:11" x14ac:dyDescent="0.25">
      <c r="A609" t="s">
        <v>5207</v>
      </c>
      <c r="B609" s="27" t="s">
        <v>648</v>
      </c>
      <c r="D609" s="27" t="s">
        <v>510</v>
      </c>
      <c r="E609" s="29" t="s">
        <v>563</v>
      </c>
      <c r="F609" s="30">
        <v>1</v>
      </c>
      <c r="G609" s="31">
        <v>108.43</v>
      </c>
      <c r="H609" s="31">
        <f t="shared" si="113"/>
        <v>108.43</v>
      </c>
      <c r="I609" s="170" t="s">
        <v>2842</v>
      </c>
      <c r="J609" t="s">
        <v>2853</v>
      </c>
      <c r="K609" s="188" t="s">
        <v>2853</v>
      </c>
    </row>
    <row r="610" spans="1:11" x14ac:dyDescent="0.25">
      <c r="A610" t="s">
        <v>5208</v>
      </c>
      <c r="B610" s="27" t="s">
        <v>649</v>
      </c>
      <c r="D610" s="27" t="s">
        <v>513</v>
      </c>
      <c r="E610" s="29" t="s">
        <v>563</v>
      </c>
      <c r="F610" s="30">
        <v>1</v>
      </c>
      <c r="G610" s="31">
        <v>118.72</v>
      </c>
      <c r="H610" s="31">
        <f t="shared" si="113"/>
        <v>118.72</v>
      </c>
      <c r="I610" s="170" t="s">
        <v>2842</v>
      </c>
      <c r="J610" t="s">
        <v>2853</v>
      </c>
      <c r="K610" s="188" t="s">
        <v>2853</v>
      </c>
    </row>
    <row r="611" spans="1:11" x14ac:dyDescent="0.25">
      <c r="A611" t="s">
        <v>5209</v>
      </c>
      <c r="B611" s="27" t="s">
        <v>650</v>
      </c>
      <c r="D611" s="27" t="s">
        <v>513</v>
      </c>
      <c r="E611" s="29" t="s">
        <v>563</v>
      </c>
      <c r="F611" s="30">
        <v>1</v>
      </c>
      <c r="G611" s="31">
        <v>118.72</v>
      </c>
      <c r="H611" s="31">
        <f t="shared" si="113"/>
        <v>118.72</v>
      </c>
      <c r="I611" s="170" t="s">
        <v>2842</v>
      </c>
      <c r="J611" t="s">
        <v>2853</v>
      </c>
      <c r="K611" s="188" t="s">
        <v>2853</v>
      </c>
    </row>
    <row r="612" spans="1:11" x14ac:dyDescent="0.25">
      <c r="A612" t="s">
        <v>5210</v>
      </c>
      <c r="B612" s="27" t="s">
        <v>651</v>
      </c>
      <c r="D612" s="27" t="s">
        <v>516</v>
      </c>
      <c r="E612" s="29" t="s">
        <v>563</v>
      </c>
      <c r="F612" s="30">
        <v>1</v>
      </c>
      <c r="G612" s="31">
        <v>129.01</v>
      </c>
      <c r="H612" s="31">
        <f t="shared" si="113"/>
        <v>129.01</v>
      </c>
      <c r="I612" s="170" t="s">
        <v>2842</v>
      </c>
      <c r="J612" t="s">
        <v>2853</v>
      </c>
      <c r="K612" s="188" t="s">
        <v>2853</v>
      </c>
    </row>
    <row r="613" spans="1:11" x14ac:dyDescent="0.25">
      <c r="A613" t="s">
        <v>5211</v>
      </c>
      <c r="B613" s="27" t="s">
        <v>652</v>
      </c>
      <c r="D613" s="27" t="s">
        <v>516</v>
      </c>
      <c r="E613" s="29" t="s">
        <v>563</v>
      </c>
      <c r="F613" s="30">
        <v>1</v>
      </c>
      <c r="G613" s="31">
        <v>129.01</v>
      </c>
      <c r="H613" s="31">
        <f t="shared" si="113"/>
        <v>129.01</v>
      </c>
      <c r="J613" t="s">
        <v>2853</v>
      </c>
      <c r="K613" s="188" t="s">
        <v>2853</v>
      </c>
    </row>
    <row r="614" spans="1:11" x14ac:dyDescent="0.25">
      <c r="A614" t="s">
        <v>5212</v>
      </c>
      <c r="B614" s="27" t="s">
        <v>653</v>
      </c>
      <c r="D614" s="27" t="s">
        <v>519</v>
      </c>
      <c r="E614" s="29" t="s">
        <v>563</v>
      </c>
      <c r="F614" s="30">
        <v>1</v>
      </c>
      <c r="G614" s="31">
        <v>96.87</v>
      </c>
      <c r="H614" s="31">
        <f t="shared" si="113"/>
        <v>96.87</v>
      </c>
      <c r="I614" s="170" t="s">
        <v>2842</v>
      </c>
      <c r="J614" t="s">
        <v>2853</v>
      </c>
      <c r="K614" s="188" t="s">
        <v>2853</v>
      </c>
    </row>
    <row r="615" spans="1:11" x14ac:dyDescent="0.25">
      <c r="A615" t="s">
        <v>5213</v>
      </c>
      <c r="B615" s="27" t="s">
        <v>654</v>
      </c>
      <c r="D615" s="27" t="s">
        <v>519</v>
      </c>
      <c r="E615" s="29" t="s">
        <v>563</v>
      </c>
      <c r="F615" s="30">
        <v>1</v>
      </c>
      <c r="G615" s="31">
        <v>96.87</v>
      </c>
      <c r="H615" s="31">
        <f t="shared" si="113"/>
        <v>96.87</v>
      </c>
      <c r="I615" s="170" t="s">
        <v>2842</v>
      </c>
      <c r="J615" t="s">
        <v>2853</v>
      </c>
      <c r="K615" s="188" t="s">
        <v>2853</v>
      </c>
    </row>
    <row r="616" spans="1:11" x14ac:dyDescent="0.25">
      <c r="A616" t="s">
        <v>5214</v>
      </c>
      <c r="B616" s="27" t="s">
        <v>655</v>
      </c>
      <c r="D616" s="27" t="s">
        <v>524</v>
      </c>
      <c r="E616" s="29" t="s">
        <v>563</v>
      </c>
      <c r="F616" s="30">
        <v>1</v>
      </c>
      <c r="G616" s="31">
        <v>110.96</v>
      </c>
      <c r="H616" s="31">
        <f t="shared" si="113"/>
        <v>110.96</v>
      </c>
      <c r="I616" s="170" t="s">
        <v>2842</v>
      </c>
      <c r="J616" t="s">
        <v>2853</v>
      </c>
      <c r="K616" s="188" t="s">
        <v>2853</v>
      </c>
    </row>
    <row r="617" spans="1:11" x14ac:dyDescent="0.25">
      <c r="A617" t="s">
        <v>5215</v>
      </c>
      <c r="B617" s="27" t="s">
        <v>656</v>
      </c>
      <c r="D617" s="27" t="s">
        <v>524</v>
      </c>
      <c r="E617" s="29" t="s">
        <v>563</v>
      </c>
      <c r="F617" s="30">
        <v>1</v>
      </c>
      <c r="G617" s="31">
        <v>110.96</v>
      </c>
      <c r="H617" s="31">
        <f t="shared" si="113"/>
        <v>110.96</v>
      </c>
      <c r="I617" s="170" t="s">
        <v>2842</v>
      </c>
      <c r="J617" t="s">
        <v>2853</v>
      </c>
      <c r="K617" s="188" t="s">
        <v>2853</v>
      </c>
    </row>
    <row r="618" spans="1:11" x14ac:dyDescent="0.25">
      <c r="A618" t="s">
        <v>5216</v>
      </c>
      <c r="B618" s="27" t="s">
        <v>657</v>
      </c>
      <c r="D618" s="27" t="s">
        <v>527</v>
      </c>
      <c r="E618" s="29" t="s">
        <v>563</v>
      </c>
      <c r="F618" s="30">
        <v>1</v>
      </c>
      <c r="G618" s="31">
        <v>118.72</v>
      </c>
      <c r="H618" s="31">
        <f t="shared" si="113"/>
        <v>118.72</v>
      </c>
      <c r="I618" s="170" t="s">
        <v>2842</v>
      </c>
      <c r="J618" t="s">
        <v>2853</v>
      </c>
      <c r="K618" s="188" t="s">
        <v>2853</v>
      </c>
    </row>
    <row r="619" spans="1:11" x14ac:dyDescent="0.25">
      <c r="A619" t="s">
        <v>5217</v>
      </c>
      <c r="B619" s="27" t="s">
        <v>658</v>
      </c>
      <c r="D619" s="27" t="s">
        <v>527</v>
      </c>
      <c r="E619" s="29" t="s">
        <v>563</v>
      </c>
      <c r="F619" s="30">
        <v>1</v>
      </c>
      <c r="G619" s="31">
        <v>118.72</v>
      </c>
      <c r="H619" s="31">
        <f t="shared" si="113"/>
        <v>118.72</v>
      </c>
      <c r="I619" s="170" t="s">
        <v>2842</v>
      </c>
      <c r="J619" t="s">
        <v>2853</v>
      </c>
      <c r="K619" s="188" t="s">
        <v>2853</v>
      </c>
    </row>
    <row r="620" spans="1:11" x14ac:dyDescent="0.25">
      <c r="A620" t="s">
        <v>5218</v>
      </c>
      <c r="B620" s="27" t="s">
        <v>659</v>
      </c>
      <c r="D620" s="27" t="s">
        <v>530</v>
      </c>
      <c r="E620" s="29" t="s">
        <v>563</v>
      </c>
      <c r="F620" s="30">
        <v>1</v>
      </c>
      <c r="G620" s="31">
        <v>126.47</v>
      </c>
      <c r="H620" s="31">
        <f t="shared" si="113"/>
        <v>126.47</v>
      </c>
      <c r="I620" s="170" t="s">
        <v>2842</v>
      </c>
      <c r="J620" t="s">
        <v>2853</v>
      </c>
      <c r="K620" s="188" t="s">
        <v>2853</v>
      </c>
    </row>
    <row r="621" spans="1:11" x14ac:dyDescent="0.25">
      <c r="A621" t="s">
        <v>5219</v>
      </c>
      <c r="B621" s="27" t="s">
        <v>660</v>
      </c>
      <c r="D621" s="27" t="s">
        <v>530</v>
      </c>
      <c r="E621" s="29" t="s">
        <v>563</v>
      </c>
      <c r="F621" s="30">
        <v>1</v>
      </c>
      <c r="G621" s="31">
        <v>126.47</v>
      </c>
      <c r="H621" s="31">
        <f t="shared" si="113"/>
        <v>126.47</v>
      </c>
      <c r="I621" s="170" t="s">
        <v>2842</v>
      </c>
      <c r="J621" t="s">
        <v>2853</v>
      </c>
      <c r="K621" s="188" t="s">
        <v>2853</v>
      </c>
    </row>
    <row r="622" spans="1:11" x14ac:dyDescent="0.25">
      <c r="B622" s="27"/>
      <c r="D622" s="27"/>
      <c r="E622" s="29"/>
      <c r="F622" s="30"/>
      <c r="G622" s="31"/>
      <c r="H622" s="31"/>
      <c r="J622" t="s">
        <v>2853</v>
      </c>
      <c r="K622" s="188" t="s">
        <v>2853</v>
      </c>
    </row>
    <row r="623" spans="1:11" x14ac:dyDescent="0.25">
      <c r="A623" t="s">
        <v>5220</v>
      </c>
      <c r="B623" s="27" t="s">
        <v>661</v>
      </c>
      <c r="D623" s="27" t="s">
        <v>540</v>
      </c>
      <c r="E623" s="29" t="s">
        <v>563</v>
      </c>
      <c r="F623" s="30">
        <v>1</v>
      </c>
      <c r="G623" s="31">
        <v>107.64</v>
      </c>
      <c r="H623" s="31">
        <f t="shared" ref="H623:H630" si="114">+F623*G623</f>
        <v>107.64</v>
      </c>
      <c r="J623" t="s">
        <v>2853</v>
      </c>
      <c r="K623" s="188" t="s">
        <v>2853</v>
      </c>
    </row>
    <row r="624" spans="1:11" x14ac:dyDescent="0.25">
      <c r="A624" t="s">
        <v>5221</v>
      </c>
      <c r="B624" s="27" t="s">
        <v>662</v>
      </c>
      <c r="D624" s="27" t="s">
        <v>540</v>
      </c>
      <c r="E624" s="29" t="s">
        <v>563</v>
      </c>
      <c r="F624" s="30">
        <v>1</v>
      </c>
      <c r="G624" s="31">
        <v>107.64</v>
      </c>
      <c r="H624" s="31">
        <f t="shared" si="114"/>
        <v>107.64</v>
      </c>
      <c r="J624" t="s">
        <v>2853</v>
      </c>
      <c r="K624" s="188" t="s">
        <v>2853</v>
      </c>
    </row>
    <row r="625" spans="1:11" x14ac:dyDescent="0.25">
      <c r="A625" t="s">
        <v>5222</v>
      </c>
      <c r="B625" s="27" t="s">
        <v>663</v>
      </c>
      <c r="D625" s="27" t="s">
        <v>543</v>
      </c>
      <c r="E625" s="29" t="s">
        <v>563</v>
      </c>
      <c r="F625" s="30">
        <v>1</v>
      </c>
      <c r="G625" s="31">
        <v>120.91</v>
      </c>
      <c r="H625" s="31">
        <f t="shared" si="114"/>
        <v>120.91</v>
      </c>
      <c r="J625" t="s">
        <v>2853</v>
      </c>
      <c r="K625" s="188" t="s">
        <v>2853</v>
      </c>
    </row>
    <row r="626" spans="1:11" x14ac:dyDescent="0.25">
      <c r="A626" t="s">
        <v>5223</v>
      </c>
      <c r="B626" s="27" t="s">
        <v>664</v>
      </c>
      <c r="D626" s="27" t="s">
        <v>543</v>
      </c>
      <c r="E626" s="29" t="s">
        <v>563</v>
      </c>
      <c r="F626" s="30">
        <v>1</v>
      </c>
      <c r="G626" s="31">
        <v>120.91</v>
      </c>
      <c r="H626" s="31">
        <f t="shared" si="114"/>
        <v>120.91</v>
      </c>
      <c r="I626" s="170" t="s">
        <v>2842</v>
      </c>
      <c r="J626" t="s">
        <v>2853</v>
      </c>
      <c r="K626" s="188" t="s">
        <v>2853</v>
      </c>
    </row>
    <row r="627" spans="1:11" x14ac:dyDescent="0.25">
      <c r="A627" t="s">
        <v>5224</v>
      </c>
      <c r="B627" s="27" t="s">
        <v>665</v>
      </c>
      <c r="D627" s="27" t="s">
        <v>546</v>
      </c>
      <c r="E627" s="29" t="s">
        <v>563</v>
      </c>
      <c r="F627" s="30">
        <v>1</v>
      </c>
      <c r="G627" s="31">
        <v>134.13999999999999</v>
      </c>
      <c r="H627" s="31">
        <f t="shared" si="114"/>
        <v>134.13999999999999</v>
      </c>
      <c r="I627" s="170" t="s">
        <v>2842</v>
      </c>
      <c r="J627" t="s">
        <v>2853</v>
      </c>
      <c r="K627" s="188" t="s">
        <v>2853</v>
      </c>
    </row>
    <row r="628" spans="1:11" x14ac:dyDescent="0.25">
      <c r="A628" t="s">
        <v>5225</v>
      </c>
      <c r="B628" s="27" t="s">
        <v>666</v>
      </c>
      <c r="D628" s="27" t="s">
        <v>546</v>
      </c>
      <c r="E628" s="29" t="s">
        <v>563</v>
      </c>
      <c r="F628" s="30">
        <v>1</v>
      </c>
      <c r="G628" s="31">
        <v>134.13999999999999</v>
      </c>
      <c r="H628" s="31">
        <f t="shared" si="114"/>
        <v>134.13999999999999</v>
      </c>
      <c r="I628" s="170" t="s">
        <v>2842</v>
      </c>
      <c r="J628" t="s">
        <v>2853</v>
      </c>
      <c r="K628" s="188" t="s">
        <v>2853</v>
      </c>
    </row>
    <row r="629" spans="1:11" x14ac:dyDescent="0.25">
      <c r="A629" t="s">
        <v>5226</v>
      </c>
      <c r="B629" s="27" t="s">
        <v>667</v>
      </c>
      <c r="D629" s="27" t="s">
        <v>549</v>
      </c>
      <c r="E629" s="29" t="s">
        <v>563</v>
      </c>
      <c r="F629" s="30">
        <v>1</v>
      </c>
      <c r="G629" s="31">
        <v>147.4</v>
      </c>
      <c r="H629" s="31">
        <f t="shared" si="114"/>
        <v>147.4</v>
      </c>
      <c r="I629" s="170" t="s">
        <v>2842</v>
      </c>
      <c r="J629" t="s">
        <v>2853</v>
      </c>
      <c r="K629" s="188" t="s">
        <v>2853</v>
      </c>
    </row>
    <row r="630" spans="1:11" x14ac:dyDescent="0.25">
      <c r="A630" t="s">
        <v>5227</v>
      </c>
      <c r="B630" s="27" t="s">
        <v>668</v>
      </c>
      <c r="D630" s="27" t="s">
        <v>549</v>
      </c>
      <c r="E630" s="29" t="s">
        <v>563</v>
      </c>
      <c r="F630" s="30">
        <v>1</v>
      </c>
      <c r="G630" s="31">
        <v>147.4</v>
      </c>
      <c r="H630" s="31">
        <f t="shared" si="114"/>
        <v>147.4</v>
      </c>
      <c r="I630" s="170" t="s">
        <v>2842</v>
      </c>
      <c r="J630" t="s">
        <v>2853</v>
      </c>
      <c r="K630" s="188" t="s">
        <v>2853</v>
      </c>
    </row>
    <row r="631" spans="1:11" x14ac:dyDescent="0.25">
      <c r="B631" s="27"/>
      <c r="D631" s="27"/>
      <c r="E631" s="29"/>
      <c r="F631" s="30"/>
      <c r="G631" s="31"/>
      <c r="H631" s="31"/>
      <c r="I631" s="170" t="s">
        <v>2842</v>
      </c>
      <c r="J631" t="s">
        <v>2853</v>
      </c>
      <c r="K631" s="188" t="s">
        <v>2853</v>
      </c>
    </row>
    <row r="632" spans="1:11" x14ac:dyDescent="0.25">
      <c r="B632" s="56"/>
      <c r="C632" s="56"/>
      <c r="D632" s="56"/>
      <c r="E632" s="56"/>
      <c r="F632" s="56"/>
      <c r="G632" s="56"/>
      <c r="H632" s="56"/>
      <c r="I632" s="170" t="s">
        <v>2842</v>
      </c>
      <c r="J632" t="s">
        <v>2853</v>
      </c>
      <c r="K632" s="188" t="s">
        <v>2853</v>
      </c>
    </row>
    <row r="633" spans="1:11" ht="30" x14ac:dyDescent="0.4">
      <c r="B633" s="171" t="s">
        <v>669</v>
      </c>
      <c r="C633" s="25"/>
      <c r="D633" s="25"/>
      <c r="E633" s="25"/>
      <c r="F633" s="25"/>
      <c r="G633" s="25"/>
      <c r="H633" s="25"/>
      <c r="J633" t="s">
        <v>2853</v>
      </c>
      <c r="K633" s="188" t="s">
        <v>2853</v>
      </c>
    </row>
    <row r="634" spans="1:11" x14ac:dyDescent="0.25">
      <c r="I634" s="170" t="s">
        <v>2842</v>
      </c>
      <c r="J634" t="s">
        <v>2853</v>
      </c>
      <c r="K634" s="188" t="s">
        <v>2853</v>
      </c>
    </row>
    <row r="635" spans="1:11" x14ac:dyDescent="0.35">
      <c r="B635" s="27" t="s">
        <v>5228</v>
      </c>
      <c r="D635" s="27" t="s">
        <v>5137</v>
      </c>
      <c r="E635" s="29" t="s">
        <v>671</v>
      </c>
      <c r="F635" s="30">
        <v>18</v>
      </c>
      <c r="G635" s="31">
        <v>18.62</v>
      </c>
      <c r="H635" s="31">
        <f t="shared" ref="H635:H641" si="115">+F635*G635</f>
        <v>335.16</v>
      </c>
      <c r="I635" s="170" t="s">
        <v>2842</v>
      </c>
      <c r="J635" s="256" t="s">
        <v>8291</v>
      </c>
      <c r="K635" s="259">
        <v>45153</v>
      </c>
    </row>
    <row r="636" spans="1:11" x14ac:dyDescent="0.35">
      <c r="A636" t="s">
        <v>5229</v>
      </c>
      <c r="B636" s="27" t="s">
        <v>670</v>
      </c>
      <c r="D636" s="27" t="s">
        <v>73</v>
      </c>
      <c r="E636" s="29" t="s">
        <v>671</v>
      </c>
      <c r="F636" s="30">
        <v>18</v>
      </c>
      <c r="G636" s="31">
        <v>20.75</v>
      </c>
      <c r="H636" s="31">
        <f t="shared" si="115"/>
        <v>373.5</v>
      </c>
      <c r="I636" s="170" t="s">
        <v>2842</v>
      </c>
      <c r="J636" s="256" t="s">
        <v>8277</v>
      </c>
      <c r="K636" s="259" t="s">
        <v>8273</v>
      </c>
    </row>
    <row r="637" spans="1:11" x14ac:dyDescent="0.25">
      <c r="A637" t="s">
        <v>5230</v>
      </c>
      <c r="B637" s="27" t="s">
        <v>672</v>
      </c>
      <c r="D637" s="27" t="s">
        <v>74</v>
      </c>
      <c r="E637" s="29" t="s">
        <v>671</v>
      </c>
      <c r="F637" s="30">
        <v>200</v>
      </c>
      <c r="G637" s="31">
        <v>2.21</v>
      </c>
      <c r="H637" s="31">
        <f t="shared" si="115"/>
        <v>442</v>
      </c>
      <c r="I637" s="170" t="s">
        <v>2842</v>
      </c>
      <c r="J637" t="s">
        <v>2853</v>
      </c>
      <c r="K637" s="188" t="s">
        <v>2853</v>
      </c>
    </row>
    <row r="638" spans="1:11" x14ac:dyDescent="0.25">
      <c r="A638" t="s">
        <v>5231</v>
      </c>
      <c r="B638" s="27" t="s">
        <v>673</v>
      </c>
      <c r="D638" s="27" t="s">
        <v>566</v>
      </c>
      <c r="E638" s="29" t="s">
        <v>671</v>
      </c>
      <c r="F638" s="30">
        <v>30</v>
      </c>
      <c r="G638" s="31">
        <v>3.3</v>
      </c>
      <c r="H638" s="31">
        <f t="shared" si="115"/>
        <v>99</v>
      </c>
      <c r="I638" s="170" t="s">
        <v>2842</v>
      </c>
      <c r="J638" t="s">
        <v>2853</v>
      </c>
      <c r="K638" s="188" t="s">
        <v>2853</v>
      </c>
    </row>
    <row r="639" spans="1:11" x14ac:dyDescent="0.25">
      <c r="A639" t="s">
        <v>5232</v>
      </c>
      <c r="B639" s="27" t="s">
        <v>674</v>
      </c>
      <c r="D639" s="27" t="s">
        <v>568</v>
      </c>
      <c r="E639" s="29" t="s">
        <v>671</v>
      </c>
      <c r="F639" s="30">
        <v>30</v>
      </c>
      <c r="G639" s="31">
        <v>3.84</v>
      </c>
      <c r="H639" s="31">
        <f t="shared" si="115"/>
        <v>115.19999999999999</v>
      </c>
      <c r="I639" s="170" t="s">
        <v>2842</v>
      </c>
      <c r="J639" t="s">
        <v>2853</v>
      </c>
      <c r="K639" s="188" t="s">
        <v>2853</v>
      </c>
    </row>
    <row r="640" spans="1:11" x14ac:dyDescent="0.35">
      <c r="A640" t="s">
        <v>5233</v>
      </c>
      <c r="B640" s="27" t="s">
        <v>675</v>
      </c>
      <c r="D640" s="27" t="s">
        <v>86</v>
      </c>
      <c r="E640" s="29" t="s">
        <v>671</v>
      </c>
      <c r="F640" s="30">
        <v>12</v>
      </c>
      <c r="G640" s="31">
        <v>25.27</v>
      </c>
      <c r="H640" s="31">
        <f t="shared" si="115"/>
        <v>303.24</v>
      </c>
      <c r="I640" s="170" t="s">
        <v>2842</v>
      </c>
      <c r="J640" s="256" t="s">
        <v>8324</v>
      </c>
      <c r="K640" s="259">
        <v>45237</v>
      </c>
    </row>
    <row r="641" spans="1:11" x14ac:dyDescent="0.25">
      <c r="A641" t="s">
        <v>5234</v>
      </c>
      <c r="B641" s="27" t="s">
        <v>676</v>
      </c>
      <c r="D641" s="27" t="s">
        <v>87</v>
      </c>
      <c r="E641" s="29" t="s">
        <v>671</v>
      </c>
      <c r="F641" s="30">
        <v>200</v>
      </c>
      <c r="G641" s="31">
        <v>2.5</v>
      </c>
      <c r="H641" s="31">
        <f t="shared" si="115"/>
        <v>500</v>
      </c>
      <c r="I641" s="170" t="s">
        <v>2842</v>
      </c>
      <c r="J641" t="s">
        <v>2853</v>
      </c>
      <c r="K641" s="188" t="s">
        <v>2853</v>
      </c>
    </row>
    <row r="642" spans="1:11" x14ac:dyDescent="0.25">
      <c r="B642" s="27"/>
      <c r="D642" s="27"/>
      <c r="E642" s="29"/>
      <c r="F642" s="30"/>
      <c r="G642" s="31"/>
      <c r="H642" s="31"/>
      <c r="I642" s="170" t="s">
        <v>2842</v>
      </c>
      <c r="J642" t="s">
        <v>2853</v>
      </c>
      <c r="K642" s="188" t="s">
        <v>2853</v>
      </c>
    </row>
    <row r="643" spans="1:11" x14ac:dyDescent="0.25">
      <c r="A643" t="s">
        <v>5235</v>
      </c>
      <c r="B643" s="27" t="s">
        <v>677</v>
      </c>
      <c r="D643" s="27" t="s">
        <v>91</v>
      </c>
      <c r="E643" s="29" t="s">
        <v>671</v>
      </c>
      <c r="F643" s="30">
        <v>12</v>
      </c>
      <c r="G643" s="31">
        <v>28.54</v>
      </c>
      <c r="H643" s="31">
        <f t="shared" ref="H643:H653" si="116">+F643*G643</f>
        <v>342.48</v>
      </c>
      <c r="I643" s="170" t="s">
        <v>2842</v>
      </c>
      <c r="J643" t="s">
        <v>2853</v>
      </c>
      <c r="K643" s="188" t="s">
        <v>2853</v>
      </c>
    </row>
    <row r="644" spans="1:11" x14ac:dyDescent="0.25">
      <c r="A644" t="s">
        <v>5236</v>
      </c>
      <c r="B644" s="27" t="s">
        <v>678</v>
      </c>
      <c r="D644" s="27" t="s">
        <v>93</v>
      </c>
      <c r="E644" s="29" t="s">
        <v>671</v>
      </c>
      <c r="F644" s="30">
        <v>12</v>
      </c>
      <c r="G644" s="31">
        <v>26.86</v>
      </c>
      <c r="H644" s="31">
        <f t="shared" si="116"/>
        <v>322.32</v>
      </c>
      <c r="I644" s="170" t="s">
        <v>2842</v>
      </c>
      <c r="J644" t="s">
        <v>2853</v>
      </c>
      <c r="K644" s="188" t="s">
        <v>2853</v>
      </c>
    </row>
    <row r="645" spans="1:11" x14ac:dyDescent="0.25">
      <c r="A645" t="s">
        <v>5237</v>
      </c>
      <c r="B645" s="27" t="s">
        <v>679</v>
      </c>
      <c r="D645" s="27" t="s">
        <v>95</v>
      </c>
      <c r="E645" s="29" t="s">
        <v>671</v>
      </c>
      <c r="F645" s="30">
        <v>18</v>
      </c>
      <c r="G645" s="31">
        <v>23.59</v>
      </c>
      <c r="H645" s="31">
        <f t="shared" si="116"/>
        <v>424.62</v>
      </c>
      <c r="J645" t="s">
        <v>2853</v>
      </c>
      <c r="K645" s="188" t="s">
        <v>2853</v>
      </c>
    </row>
    <row r="646" spans="1:11" x14ac:dyDescent="0.25">
      <c r="A646" t="s">
        <v>5238</v>
      </c>
      <c r="B646" s="27" t="s">
        <v>680</v>
      </c>
      <c r="D646" s="27" t="s">
        <v>97</v>
      </c>
      <c r="E646" s="29" t="s">
        <v>671</v>
      </c>
      <c r="F646" s="30">
        <v>12</v>
      </c>
      <c r="G646" s="31">
        <v>31.83</v>
      </c>
      <c r="H646" s="31">
        <f t="shared" si="116"/>
        <v>381.96</v>
      </c>
      <c r="I646" s="170" t="s">
        <v>2842</v>
      </c>
      <c r="J646" t="s">
        <v>2853</v>
      </c>
      <c r="K646" s="188" t="s">
        <v>2853</v>
      </c>
    </row>
    <row r="647" spans="1:11" x14ac:dyDescent="0.25">
      <c r="A647" t="s">
        <v>5239</v>
      </c>
      <c r="B647" s="27" t="s">
        <v>681</v>
      </c>
      <c r="D647" s="27" t="s">
        <v>99</v>
      </c>
      <c r="E647" s="29" t="s">
        <v>671</v>
      </c>
      <c r="F647" s="30">
        <v>12</v>
      </c>
      <c r="G647" s="31">
        <v>32.82</v>
      </c>
      <c r="H647" s="31">
        <f t="shared" si="116"/>
        <v>393.84000000000003</v>
      </c>
      <c r="I647" s="170" t="s">
        <v>2842</v>
      </c>
      <c r="J647" t="s">
        <v>2853</v>
      </c>
      <c r="K647" s="188" t="s">
        <v>2853</v>
      </c>
    </row>
    <row r="648" spans="1:11" x14ac:dyDescent="0.25">
      <c r="A648" t="s">
        <v>5240</v>
      </c>
      <c r="B648" s="27" t="s">
        <v>682</v>
      </c>
      <c r="D648" s="27" t="s">
        <v>101</v>
      </c>
      <c r="E648" s="29" t="s">
        <v>671</v>
      </c>
      <c r="F648" s="30">
        <v>12</v>
      </c>
      <c r="G648" s="31">
        <v>30.99</v>
      </c>
      <c r="H648" s="31">
        <f t="shared" si="116"/>
        <v>371.88</v>
      </c>
      <c r="I648" s="170" t="s">
        <v>2842</v>
      </c>
      <c r="J648" t="s">
        <v>2853</v>
      </c>
      <c r="K648" s="188" t="s">
        <v>2853</v>
      </c>
    </row>
    <row r="649" spans="1:11" x14ac:dyDescent="0.25">
      <c r="A649" t="s">
        <v>5241</v>
      </c>
      <c r="B649" s="27" t="s">
        <v>683</v>
      </c>
      <c r="D649" s="27" t="s">
        <v>103</v>
      </c>
      <c r="E649" s="29" t="s">
        <v>671</v>
      </c>
      <c r="F649" s="30">
        <v>18</v>
      </c>
      <c r="G649" s="31">
        <v>24.08</v>
      </c>
      <c r="H649" s="31">
        <f t="shared" si="116"/>
        <v>433.43999999999994</v>
      </c>
      <c r="I649" s="170" t="s">
        <v>2842</v>
      </c>
      <c r="J649" t="s">
        <v>2853</v>
      </c>
      <c r="K649" s="188" t="s">
        <v>2853</v>
      </c>
    </row>
    <row r="650" spans="1:11" x14ac:dyDescent="0.25">
      <c r="A650" t="s">
        <v>5242</v>
      </c>
      <c r="B650" s="27" t="s">
        <v>684</v>
      </c>
      <c r="D650" s="27" t="s">
        <v>105</v>
      </c>
      <c r="E650" s="29" t="s">
        <v>671</v>
      </c>
      <c r="F650" s="30">
        <v>12</v>
      </c>
      <c r="G650" s="31">
        <v>35.909999999999997</v>
      </c>
      <c r="H650" s="31">
        <f t="shared" si="116"/>
        <v>430.91999999999996</v>
      </c>
      <c r="I650" s="170" t="s">
        <v>2842</v>
      </c>
      <c r="J650" t="s">
        <v>2853</v>
      </c>
      <c r="K650" s="188" t="s">
        <v>2853</v>
      </c>
    </row>
    <row r="651" spans="1:11" x14ac:dyDescent="0.25">
      <c r="A651" t="s">
        <v>5243</v>
      </c>
      <c r="B651" s="27" t="s">
        <v>685</v>
      </c>
      <c r="D651" s="27" t="s">
        <v>107</v>
      </c>
      <c r="E651" s="29" t="s">
        <v>671</v>
      </c>
      <c r="F651" s="30">
        <v>12</v>
      </c>
      <c r="G651" s="31">
        <v>40.97</v>
      </c>
      <c r="H651" s="31">
        <f t="shared" si="116"/>
        <v>491.64</v>
      </c>
      <c r="I651" s="170" t="s">
        <v>2842</v>
      </c>
      <c r="J651" t="s">
        <v>2853</v>
      </c>
      <c r="K651" s="188" t="s">
        <v>2853</v>
      </c>
    </row>
    <row r="652" spans="1:11" x14ac:dyDescent="0.25">
      <c r="A652" t="s">
        <v>5244</v>
      </c>
      <c r="B652" s="27" t="s">
        <v>686</v>
      </c>
      <c r="D652" s="27" t="s">
        <v>109</v>
      </c>
      <c r="E652" s="29" t="s">
        <v>671</v>
      </c>
      <c r="F652" s="30">
        <v>12</v>
      </c>
      <c r="G652" s="31">
        <v>38.4</v>
      </c>
      <c r="H652" s="31">
        <f t="shared" si="116"/>
        <v>460.79999999999995</v>
      </c>
      <c r="I652" s="170" t="s">
        <v>2842</v>
      </c>
      <c r="J652" t="s">
        <v>2853</v>
      </c>
      <c r="K652" s="188" t="s">
        <v>2853</v>
      </c>
    </row>
    <row r="653" spans="1:11" x14ac:dyDescent="0.25">
      <c r="A653" t="s">
        <v>5245</v>
      </c>
      <c r="B653" s="27" t="s">
        <v>687</v>
      </c>
      <c r="D653" s="27" t="s">
        <v>112</v>
      </c>
      <c r="E653" s="29" t="s">
        <v>671</v>
      </c>
      <c r="F653" s="30">
        <v>12</v>
      </c>
      <c r="G653" s="31">
        <v>44.3</v>
      </c>
      <c r="H653" s="31">
        <f t="shared" si="116"/>
        <v>531.59999999999991</v>
      </c>
      <c r="I653" s="170" t="s">
        <v>2842</v>
      </c>
      <c r="J653" t="s">
        <v>2853</v>
      </c>
      <c r="K653" s="188" t="s">
        <v>2853</v>
      </c>
    </row>
    <row r="654" spans="1:11" x14ac:dyDescent="0.25">
      <c r="B654" s="27"/>
      <c r="D654" s="27"/>
      <c r="E654" s="29"/>
      <c r="F654" s="30"/>
      <c r="G654" s="31"/>
      <c r="H654" s="31"/>
      <c r="I654" s="170" t="s">
        <v>2842</v>
      </c>
      <c r="J654" t="s">
        <v>2853</v>
      </c>
      <c r="K654" s="188" t="s">
        <v>2853</v>
      </c>
    </row>
    <row r="655" spans="1:11" x14ac:dyDescent="0.25">
      <c r="A655" t="s">
        <v>5246</v>
      </c>
      <c r="B655" s="27" t="s">
        <v>688</v>
      </c>
      <c r="D655" s="27" t="s">
        <v>118</v>
      </c>
      <c r="E655" s="29" t="s">
        <v>671</v>
      </c>
      <c r="F655" s="30">
        <v>25</v>
      </c>
      <c r="G655" s="31">
        <v>5.65</v>
      </c>
      <c r="H655" s="31">
        <f t="shared" ref="H655:H663" si="117">+F655*G655</f>
        <v>141.25</v>
      </c>
      <c r="J655" t="s">
        <v>2853</v>
      </c>
      <c r="K655" s="188" t="s">
        <v>2853</v>
      </c>
    </row>
    <row r="656" spans="1:11" x14ac:dyDescent="0.25">
      <c r="A656" t="s">
        <v>5247</v>
      </c>
      <c r="B656" s="27" t="s">
        <v>689</v>
      </c>
      <c r="D656" s="27" t="s">
        <v>121</v>
      </c>
      <c r="E656" s="29" t="s">
        <v>671</v>
      </c>
      <c r="F656" s="30">
        <v>25</v>
      </c>
      <c r="G656" s="31">
        <v>7.4</v>
      </c>
      <c r="H656" s="31">
        <f t="shared" si="117"/>
        <v>185</v>
      </c>
      <c r="I656" s="170" t="s">
        <v>2842</v>
      </c>
      <c r="J656" t="s">
        <v>2853</v>
      </c>
      <c r="K656" s="188" t="s">
        <v>2853</v>
      </c>
    </row>
    <row r="657" spans="1:11" x14ac:dyDescent="0.25">
      <c r="A657" t="s">
        <v>5248</v>
      </c>
      <c r="B657" s="27" t="s">
        <v>690</v>
      </c>
      <c r="D657" s="27" t="s">
        <v>123</v>
      </c>
      <c r="E657" s="29" t="s">
        <v>671</v>
      </c>
      <c r="F657" s="30">
        <v>25</v>
      </c>
      <c r="G657" s="31">
        <v>8.33</v>
      </c>
      <c r="H657" s="31">
        <f t="shared" si="117"/>
        <v>208.25</v>
      </c>
      <c r="I657" s="170" t="s">
        <v>2842</v>
      </c>
      <c r="J657" t="s">
        <v>2853</v>
      </c>
      <c r="K657" s="188" t="s">
        <v>2853</v>
      </c>
    </row>
    <row r="658" spans="1:11" x14ac:dyDescent="0.25">
      <c r="A658" t="s">
        <v>5249</v>
      </c>
      <c r="B658" s="27" t="s">
        <v>691</v>
      </c>
      <c r="D658" s="27" t="s">
        <v>125</v>
      </c>
      <c r="E658" s="29" t="s">
        <v>671</v>
      </c>
      <c r="F658" s="30">
        <v>25</v>
      </c>
      <c r="G658" s="31">
        <v>9.9600000000000009</v>
      </c>
      <c r="H658" s="31">
        <f t="shared" si="117"/>
        <v>249.00000000000003</v>
      </c>
      <c r="I658" s="170" t="s">
        <v>2842</v>
      </c>
      <c r="J658" t="s">
        <v>2853</v>
      </c>
      <c r="K658" s="188" t="s">
        <v>2853</v>
      </c>
    </row>
    <row r="659" spans="1:11" x14ac:dyDescent="0.25">
      <c r="A659" t="s">
        <v>5250</v>
      </c>
      <c r="B659" s="27" t="s">
        <v>692</v>
      </c>
      <c r="D659" s="27" t="s">
        <v>128</v>
      </c>
      <c r="E659" s="29" t="s">
        <v>671</v>
      </c>
      <c r="F659" s="30">
        <v>25</v>
      </c>
      <c r="G659" s="31">
        <v>10.93</v>
      </c>
      <c r="H659" s="31">
        <f t="shared" si="117"/>
        <v>273.25</v>
      </c>
      <c r="I659" s="170" t="s">
        <v>2842</v>
      </c>
      <c r="J659" t="s">
        <v>2853</v>
      </c>
      <c r="K659" s="188" t="s">
        <v>2853</v>
      </c>
    </row>
    <row r="660" spans="1:11" x14ac:dyDescent="0.35">
      <c r="B660" s="27" t="s">
        <v>693</v>
      </c>
      <c r="D660" s="28" t="s">
        <v>131</v>
      </c>
      <c r="E660" s="29" t="s">
        <v>671</v>
      </c>
      <c r="F660" s="30">
        <v>20</v>
      </c>
      <c r="G660" s="31">
        <v>13.01</v>
      </c>
      <c r="H660" s="31">
        <f t="shared" si="117"/>
        <v>260.2</v>
      </c>
      <c r="I660" s="170" t="s">
        <v>2842</v>
      </c>
      <c r="J660" s="256" t="s">
        <v>8344</v>
      </c>
      <c r="K660" s="259" t="s">
        <v>8339</v>
      </c>
    </row>
    <row r="661" spans="1:11" x14ac:dyDescent="0.25">
      <c r="A661" t="s">
        <v>5251</v>
      </c>
      <c r="B661" s="27" t="s">
        <v>694</v>
      </c>
      <c r="D661" s="27" t="s">
        <v>133</v>
      </c>
      <c r="E661" s="29" t="s">
        <v>671</v>
      </c>
      <c r="F661" s="30">
        <v>50</v>
      </c>
      <c r="G661" s="31">
        <v>1.23</v>
      </c>
      <c r="H661" s="31">
        <f t="shared" si="117"/>
        <v>61.5</v>
      </c>
      <c r="J661" t="s">
        <v>2853</v>
      </c>
      <c r="K661" s="188" t="s">
        <v>2853</v>
      </c>
    </row>
    <row r="662" spans="1:11" x14ac:dyDescent="0.25">
      <c r="A662" t="s">
        <v>5252</v>
      </c>
      <c r="B662" s="27" t="s">
        <v>695</v>
      </c>
      <c r="D662" s="27" t="s">
        <v>134</v>
      </c>
      <c r="E662" s="29" t="s">
        <v>671</v>
      </c>
      <c r="F662" s="30">
        <v>50</v>
      </c>
      <c r="G662" s="31">
        <v>1.53</v>
      </c>
      <c r="H662" s="31">
        <f t="shared" si="117"/>
        <v>76.5</v>
      </c>
      <c r="I662" s="170" t="s">
        <v>2842</v>
      </c>
      <c r="J662" t="s">
        <v>2853</v>
      </c>
      <c r="K662" s="188" t="s">
        <v>2853</v>
      </c>
    </row>
    <row r="663" spans="1:11" x14ac:dyDescent="0.25">
      <c r="B663" s="27" t="s">
        <v>696</v>
      </c>
      <c r="D663" s="28" t="s">
        <v>138</v>
      </c>
      <c r="E663" s="29" t="s">
        <v>671</v>
      </c>
      <c r="F663" s="30">
        <v>50</v>
      </c>
      <c r="G663" s="31">
        <v>2.2799999999999998</v>
      </c>
      <c r="H663" s="31">
        <f t="shared" si="117"/>
        <v>113.99999999999999</v>
      </c>
      <c r="I663" s="170" t="s">
        <v>2842</v>
      </c>
      <c r="J663" t="s">
        <v>2853</v>
      </c>
      <c r="K663" s="188" t="s">
        <v>2853</v>
      </c>
    </row>
    <row r="664" spans="1:11" x14ac:dyDescent="0.25">
      <c r="B664" s="27"/>
      <c r="D664" s="27"/>
      <c r="E664" s="29"/>
      <c r="F664" s="30"/>
      <c r="G664" s="31"/>
      <c r="H664" s="31"/>
      <c r="I664" s="170" t="s">
        <v>2842</v>
      </c>
      <c r="J664" t="s">
        <v>2853</v>
      </c>
      <c r="K664" s="188" t="s">
        <v>2853</v>
      </c>
    </row>
    <row r="665" spans="1:11" x14ac:dyDescent="0.25">
      <c r="A665" t="s">
        <v>5253</v>
      </c>
      <c r="B665" s="40" t="s">
        <v>697</v>
      </c>
      <c r="D665" s="28" t="s">
        <v>2903</v>
      </c>
      <c r="E665" s="29" t="s">
        <v>671</v>
      </c>
      <c r="F665" s="30">
        <v>20</v>
      </c>
      <c r="G665" s="31">
        <v>2.4300000000000002</v>
      </c>
      <c r="H665" s="31">
        <f t="shared" ref="H665:H669" si="118">+F665*G665</f>
        <v>48.6</v>
      </c>
      <c r="I665" s="170" t="s">
        <v>2842</v>
      </c>
      <c r="J665" t="s">
        <v>2853</v>
      </c>
      <c r="K665" s="188" t="s">
        <v>2853</v>
      </c>
    </row>
    <row r="666" spans="1:11" x14ac:dyDescent="0.25">
      <c r="A666" t="s">
        <v>5254</v>
      </c>
      <c r="B666" s="40" t="s">
        <v>698</v>
      </c>
      <c r="D666" s="28" t="s">
        <v>2904</v>
      </c>
      <c r="E666" s="29" t="s">
        <v>671</v>
      </c>
      <c r="F666" s="30">
        <v>20</v>
      </c>
      <c r="G666" s="31">
        <v>2.2999999999999998</v>
      </c>
      <c r="H666" s="31">
        <f t="shared" si="118"/>
        <v>46</v>
      </c>
      <c r="I666" s="170" t="s">
        <v>2842</v>
      </c>
      <c r="J666" t="s">
        <v>2853</v>
      </c>
      <c r="K666" s="188" t="s">
        <v>2853</v>
      </c>
    </row>
    <row r="667" spans="1:11" x14ac:dyDescent="0.25">
      <c r="A667" t="s">
        <v>5255</v>
      </c>
      <c r="B667" s="27" t="s">
        <v>699</v>
      </c>
      <c r="D667" s="27" t="s">
        <v>700</v>
      </c>
      <c r="E667" s="29" t="s">
        <v>671</v>
      </c>
      <c r="F667" s="30">
        <v>25</v>
      </c>
      <c r="G667" s="31">
        <v>1.98</v>
      </c>
      <c r="H667" s="31">
        <f t="shared" si="118"/>
        <v>49.5</v>
      </c>
      <c r="I667" s="170" t="s">
        <v>2842</v>
      </c>
      <c r="J667" t="s">
        <v>2853</v>
      </c>
      <c r="K667" s="188" t="s">
        <v>2853</v>
      </c>
    </row>
    <row r="668" spans="1:11" x14ac:dyDescent="0.25">
      <c r="A668" t="s">
        <v>5256</v>
      </c>
      <c r="B668" s="27" t="s">
        <v>701</v>
      </c>
      <c r="D668" s="27" t="s">
        <v>702</v>
      </c>
      <c r="E668" s="29" t="s">
        <v>671</v>
      </c>
      <c r="F668" s="30">
        <v>25</v>
      </c>
      <c r="G668" s="31">
        <v>2.99</v>
      </c>
      <c r="H668" s="31">
        <f t="shared" si="118"/>
        <v>74.75</v>
      </c>
      <c r="I668" s="170" t="s">
        <v>2842</v>
      </c>
      <c r="J668" t="s">
        <v>2853</v>
      </c>
      <c r="K668" s="188" t="s">
        <v>2853</v>
      </c>
    </row>
    <row r="669" spans="1:11" x14ac:dyDescent="0.25">
      <c r="A669" t="s">
        <v>5257</v>
      </c>
      <c r="B669" s="40" t="s">
        <v>703</v>
      </c>
      <c r="D669" s="28" t="s">
        <v>2905</v>
      </c>
      <c r="E669" s="29" t="s">
        <v>671</v>
      </c>
      <c r="F669" s="30">
        <v>20</v>
      </c>
      <c r="G669" s="31">
        <v>3.06</v>
      </c>
      <c r="H669" s="31">
        <f t="shared" si="118"/>
        <v>61.2</v>
      </c>
      <c r="I669" s="170" t="s">
        <v>2842</v>
      </c>
      <c r="J669" t="s">
        <v>2853</v>
      </c>
      <c r="K669" s="188" t="s">
        <v>2853</v>
      </c>
    </row>
    <row r="670" spans="1:11" x14ac:dyDescent="0.25">
      <c r="B670" s="40"/>
      <c r="D670" s="41"/>
      <c r="E670" s="29"/>
      <c r="F670" s="30"/>
      <c r="G670" s="31"/>
      <c r="H670" s="31"/>
      <c r="J670" t="s">
        <v>2853</v>
      </c>
      <c r="K670" s="188" t="s">
        <v>2853</v>
      </c>
    </row>
    <row r="671" spans="1:11" x14ac:dyDescent="0.25">
      <c r="A671" t="s">
        <v>5258</v>
      </c>
      <c r="B671" s="40" t="s">
        <v>704</v>
      </c>
      <c r="D671" s="28" t="s">
        <v>2906</v>
      </c>
      <c r="E671" s="29" t="s">
        <v>671</v>
      </c>
      <c r="F671" s="30">
        <v>20</v>
      </c>
      <c r="G671" s="31">
        <v>4.96</v>
      </c>
      <c r="H671" s="31">
        <f t="shared" ref="H671:H678" si="119">+F671*G671</f>
        <v>99.2</v>
      </c>
      <c r="I671" s="170" t="s">
        <v>2842</v>
      </c>
      <c r="J671" t="s">
        <v>2853</v>
      </c>
      <c r="K671" s="188" t="s">
        <v>2853</v>
      </c>
    </row>
    <row r="672" spans="1:11" x14ac:dyDescent="0.25">
      <c r="A672" t="s">
        <v>5259</v>
      </c>
      <c r="B672" s="40" t="s">
        <v>705</v>
      </c>
      <c r="D672" s="28" t="s">
        <v>2907</v>
      </c>
      <c r="E672" s="29" t="s">
        <v>671</v>
      </c>
      <c r="F672" s="30">
        <v>20</v>
      </c>
      <c r="G672" s="31">
        <v>4.57</v>
      </c>
      <c r="H672" s="31">
        <f t="shared" si="119"/>
        <v>91.4</v>
      </c>
      <c r="I672" s="170" t="s">
        <v>2842</v>
      </c>
      <c r="J672" t="s">
        <v>2853</v>
      </c>
      <c r="K672" s="188" t="s">
        <v>2853</v>
      </c>
    </row>
    <row r="673" spans="1:11" x14ac:dyDescent="0.25">
      <c r="A673" t="s">
        <v>5260</v>
      </c>
      <c r="B673" s="40" t="s">
        <v>706</v>
      </c>
      <c r="D673" s="28" t="s">
        <v>2908</v>
      </c>
      <c r="E673" s="29" t="s">
        <v>671</v>
      </c>
      <c r="F673" s="30">
        <v>20</v>
      </c>
      <c r="G673" s="31">
        <v>4.1100000000000003</v>
      </c>
      <c r="H673" s="31">
        <f t="shared" si="119"/>
        <v>82.2</v>
      </c>
      <c r="I673" s="170" t="s">
        <v>2842</v>
      </c>
      <c r="J673" t="s">
        <v>2853</v>
      </c>
      <c r="K673" s="188" t="s">
        <v>2853</v>
      </c>
    </row>
    <row r="674" spans="1:11" x14ac:dyDescent="0.25">
      <c r="A674" t="s">
        <v>5261</v>
      </c>
      <c r="B674" s="27" t="s">
        <v>707</v>
      </c>
      <c r="D674" s="27" t="s">
        <v>602</v>
      </c>
      <c r="E674" s="29" t="s">
        <v>671</v>
      </c>
      <c r="F674" s="30">
        <v>25</v>
      </c>
      <c r="G674" s="31">
        <v>3.25</v>
      </c>
      <c r="H674" s="31">
        <f t="shared" si="119"/>
        <v>81.25</v>
      </c>
      <c r="I674" s="170" t="s">
        <v>2842</v>
      </c>
      <c r="J674" t="s">
        <v>2853</v>
      </c>
      <c r="K674" s="188" t="s">
        <v>2853</v>
      </c>
    </row>
    <row r="675" spans="1:11" x14ac:dyDescent="0.25">
      <c r="A675" t="s">
        <v>5262</v>
      </c>
      <c r="B675" s="27" t="s">
        <v>708</v>
      </c>
      <c r="D675" s="27" t="s">
        <v>604</v>
      </c>
      <c r="E675" s="29" t="s">
        <v>671</v>
      </c>
      <c r="F675" s="30">
        <v>25</v>
      </c>
      <c r="G675" s="31">
        <v>3.54</v>
      </c>
      <c r="H675" s="31">
        <f t="shared" si="119"/>
        <v>88.5</v>
      </c>
      <c r="I675" s="170" t="s">
        <v>2842</v>
      </c>
      <c r="J675" t="s">
        <v>2853</v>
      </c>
      <c r="K675" s="188" t="s">
        <v>2853</v>
      </c>
    </row>
    <row r="676" spans="1:11" x14ac:dyDescent="0.25">
      <c r="A676" t="s">
        <v>5263</v>
      </c>
      <c r="B676" s="27" t="s">
        <v>709</v>
      </c>
      <c r="D676" s="27" t="s">
        <v>606</v>
      </c>
      <c r="E676" s="29" t="s">
        <v>671</v>
      </c>
      <c r="F676" s="30">
        <v>20</v>
      </c>
      <c r="G676" s="31">
        <v>5.0599999999999996</v>
      </c>
      <c r="H676" s="31">
        <f t="shared" si="119"/>
        <v>101.19999999999999</v>
      </c>
      <c r="I676" s="170" t="s">
        <v>2842</v>
      </c>
      <c r="J676" t="s">
        <v>2853</v>
      </c>
      <c r="K676" s="188" t="s">
        <v>2853</v>
      </c>
    </row>
    <row r="677" spans="1:11" x14ac:dyDescent="0.25">
      <c r="A677" t="s">
        <v>5264</v>
      </c>
      <c r="B677" s="40" t="s">
        <v>710</v>
      </c>
      <c r="D677" s="28" t="s">
        <v>7378</v>
      </c>
      <c r="E677" s="29" t="s">
        <v>671</v>
      </c>
      <c r="F677" s="30">
        <v>20</v>
      </c>
      <c r="G677" s="31">
        <v>5.43</v>
      </c>
      <c r="H677" s="31">
        <f t="shared" si="119"/>
        <v>108.6</v>
      </c>
      <c r="I677" s="170" t="s">
        <v>2842</v>
      </c>
      <c r="J677" t="s">
        <v>2853</v>
      </c>
      <c r="K677" s="188" t="s">
        <v>2853</v>
      </c>
    </row>
    <row r="678" spans="1:11" x14ac:dyDescent="0.25">
      <c r="A678" t="s">
        <v>5265</v>
      </c>
      <c r="B678" s="40" t="s">
        <v>711</v>
      </c>
      <c r="D678" s="28" t="s">
        <v>2909</v>
      </c>
      <c r="E678" s="29" t="s">
        <v>671</v>
      </c>
      <c r="F678" s="30">
        <v>20</v>
      </c>
      <c r="G678" s="31">
        <v>5.95</v>
      </c>
      <c r="H678" s="31">
        <f t="shared" si="119"/>
        <v>119</v>
      </c>
      <c r="I678" s="170" t="s">
        <v>2842</v>
      </c>
      <c r="J678" t="s">
        <v>2853</v>
      </c>
      <c r="K678" s="188" t="s">
        <v>2853</v>
      </c>
    </row>
    <row r="679" spans="1:11" x14ac:dyDescent="0.25">
      <c r="B679" s="40"/>
      <c r="C679" s="42"/>
      <c r="D679" s="27"/>
      <c r="E679" s="29"/>
      <c r="F679" s="30"/>
      <c r="G679" s="31"/>
      <c r="H679" s="31"/>
      <c r="J679" t="s">
        <v>2853</v>
      </c>
      <c r="K679" s="188" t="s">
        <v>2853</v>
      </c>
    </row>
    <row r="680" spans="1:11" x14ac:dyDescent="0.25">
      <c r="A680" t="s">
        <v>5266</v>
      </c>
      <c r="B680" s="27" t="s">
        <v>712</v>
      </c>
      <c r="D680" s="27" t="s">
        <v>199</v>
      </c>
      <c r="E680" s="29" t="s">
        <v>671</v>
      </c>
      <c r="F680" s="30">
        <v>6</v>
      </c>
      <c r="G680" s="31">
        <v>18.47</v>
      </c>
      <c r="H680" s="31">
        <f t="shared" ref="H680:H687" si="120">+F680*G680</f>
        <v>110.82</v>
      </c>
      <c r="I680" s="170" t="s">
        <v>2842</v>
      </c>
      <c r="J680" t="s">
        <v>2853</v>
      </c>
      <c r="K680" s="188" t="s">
        <v>2853</v>
      </c>
    </row>
    <row r="681" spans="1:11" x14ac:dyDescent="0.25">
      <c r="A681" t="s">
        <v>5267</v>
      </c>
      <c r="B681" s="27" t="s">
        <v>713</v>
      </c>
      <c r="D681" s="27" t="s">
        <v>200</v>
      </c>
      <c r="E681" s="29" t="s">
        <v>671</v>
      </c>
      <c r="F681" s="30">
        <v>6</v>
      </c>
      <c r="G681" s="31">
        <v>16.75</v>
      </c>
      <c r="H681" s="31">
        <f t="shared" si="120"/>
        <v>100.5</v>
      </c>
      <c r="I681" s="170" t="s">
        <v>2842</v>
      </c>
      <c r="J681" t="s">
        <v>2853</v>
      </c>
      <c r="K681" s="188" t="s">
        <v>2853</v>
      </c>
    </row>
    <row r="682" spans="1:11" x14ac:dyDescent="0.25">
      <c r="A682" t="s">
        <v>5268</v>
      </c>
      <c r="B682" s="27" t="s">
        <v>714</v>
      </c>
      <c r="D682" s="27" t="s">
        <v>201</v>
      </c>
      <c r="E682" s="29" t="s">
        <v>671</v>
      </c>
      <c r="F682" s="30">
        <v>6</v>
      </c>
      <c r="G682" s="31">
        <v>12.57</v>
      </c>
      <c r="H682" s="31">
        <f t="shared" si="120"/>
        <v>75.42</v>
      </c>
      <c r="I682" s="170" t="s">
        <v>2842</v>
      </c>
      <c r="J682" t="s">
        <v>2853</v>
      </c>
      <c r="K682" s="188" t="s">
        <v>2853</v>
      </c>
    </row>
    <row r="683" spans="1:11" x14ac:dyDescent="0.25">
      <c r="A683" t="s">
        <v>5269</v>
      </c>
      <c r="B683" s="27" t="s">
        <v>715</v>
      </c>
      <c r="D683" s="27" t="s">
        <v>204</v>
      </c>
      <c r="E683" s="29" t="s">
        <v>671</v>
      </c>
      <c r="F683" s="30">
        <v>6</v>
      </c>
      <c r="G683" s="31">
        <v>20.82</v>
      </c>
      <c r="H683" s="31">
        <f t="shared" si="120"/>
        <v>124.92</v>
      </c>
      <c r="I683" s="170" t="s">
        <v>2842</v>
      </c>
      <c r="J683" t="s">
        <v>2853</v>
      </c>
      <c r="K683" s="188" t="s">
        <v>2853</v>
      </c>
    </row>
    <row r="684" spans="1:11" x14ac:dyDescent="0.25">
      <c r="A684" t="s">
        <v>5270</v>
      </c>
      <c r="B684" s="27" t="s">
        <v>716</v>
      </c>
      <c r="C684" s="38"/>
      <c r="D684" s="27" t="s">
        <v>208</v>
      </c>
      <c r="E684" s="29" t="s">
        <v>671</v>
      </c>
      <c r="F684" s="30">
        <v>6</v>
      </c>
      <c r="G684" s="31">
        <v>18.149999999999999</v>
      </c>
      <c r="H684" s="31">
        <f t="shared" si="120"/>
        <v>108.89999999999999</v>
      </c>
      <c r="J684" t="s">
        <v>2853</v>
      </c>
      <c r="K684" s="188" t="s">
        <v>2853</v>
      </c>
    </row>
    <row r="685" spans="1:11" x14ac:dyDescent="0.25">
      <c r="A685" t="s">
        <v>5271</v>
      </c>
      <c r="B685" s="27" t="s">
        <v>717</v>
      </c>
      <c r="D685" s="27" t="s">
        <v>211</v>
      </c>
      <c r="E685" s="29" t="s">
        <v>671</v>
      </c>
      <c r="F685" s="30">
        <v>6</v>
      </c>
      <c r="G685" s="31">
        <v>16.690000000000001</v>
      </c>
      <c r="H685" s="31">
        <f t="shared" si="120"/>
        <v>100.14000000000001</v>
      </c>
      <c r="I685" s="170" t="s">
        <v>2842</v>
      </c>
      <c r="J685" t="s">
        <v>2853</v>
      </c>
      <c r="K685" s="188" t="s">
        <v>2853</v>
      </c>
    </row>
    <row r="686" spans="1:11" x14ac:dyDescent="0.25">
      <c r="A686" t="s">
        <v>5272</v>
      </c>
      <c r="B686" s="27" t="s">
        <v>718</v>
      </c>
      <c r="C686" s="38"/>
      <c r="D686" s="27" t="s">
        <v>214</v>
      </c>
      <c r="E686" s="29" t="s">
        <v>671</v>
      </c>
      <c r="F686" s="30">
        <v>6</v>
      </c>
      <c r="G686" s="31">
        <v>18.149999999999999</v>
      </c>
      <c r="H686" s="31">
        <f t="shared" si="120"/>
        <v>108.89999999999999</v>
      </c>
      <c r="I686" s="170" t="s">
        <v>2842</v>
      </c>
      <c r="J686" t="s">
        <v>2853</v>
      </c>
      <c r="K686" s="188" t="s">
        <v>2853</v>
      </c>
    </row>
    <row r="687" spans="1:11" x14ac:dyDescent="0.25">
      <c r="A687" t="s">
        <v>5273</v>
      </c>
      <c r="B687" s="27" t="s">
        <v>719</v>
      </c>
      <c r="D687" s="27" t="s">
        <v>218</v>
      </c>
      <c r="E687" s="29" t="s">
        <v>671</v>
      </c>
      <c r="F687" s="30">
        <v>25</v>
      </c>
      <c r="G687" s="31">
        <v>5.18</v>
      </c>
      <c r="H687" s="31">
        <f t="shared" si="120"/>
        <v>129.5</v>
      </c>
      <c r="I687" s="170" t="s">
        <v>2842</v>
      </c>
      <c r="J687" t="s">
        <v>2853</v>
      </c>
      <c r="K687" s="188" t="s">
        <v>2853</v>
      </c>
    </row>
    <row r="688" spans="1:11" x14ac:dyDescent="0.25">
      <c r="B688" s="27"/>
      <c r="D688" s="27"/>
      <c r="E688" s="29"/>
      <c r="F688" s="30"/>
      <c r="G688" s="31"/>
      <c r="H688" s="31"/>
      <c r="I688" s="170" t="s">
        <v>2842</v>
      </c>
      <c r="J688" t="s">
        <v>2853</v>
      </c>
      <c r="K688" s="188" t="s">
        <v>2853</v>
      </c>
    </row>
    <row r="689" spans="1:11" x14ac:dyDescent="0.25">
      <c r="A689" t="s">
        <v>5274</v>
      </c>
      <c r="B689" s="27" t="s">
        <v>720</v>
      </c>
      <c r="D689" s="34" t="s">
        <v>401</v>
      </c>
      <c r="E689" s="29" t="s">
        <v>671</v>
      </c>
      <c r="F689" s="30">
        <v>1</v>
      </c>
      <c r="G689" s="31">
        <v>161.79</v>
      </c>
      <c r="H689" s="31">
        <f t="shared" ref="H689:H692" si="121">+F689*G689</f>
        <v>161.79</v>
      </c>
      <c r="I689" s="170" t="s">
        <v>2842</v>
      </c>
      <c r="J689" t="s">
        <v>2853</v>
      </c>
      <c r="K689" s="188" t="s">
        <v>2853</v>
      </c>
    </row>
    <row r="690" spans="1:11" x14ac:dyDescent="0.25">
      <c r="A690" t="s">
        <v>5275</v>
      </c>
      <c r="B690" s="27" t="s">
        <v>721</v>
      </c>
      <c r="D690" s="34" t="s">
        <v>7578</v>
      </c>
      <c r="E690" s="29" t="s">
        <v>671</v>
      </c>
      <c r="F690" s="30">
        <v>1</v>
      </c>
      <c r="G690" s="31">
        <v>153.97999999999999</v>
      </c>
      <c r="H690" s="31">
        <f t="shared" si="121"/>
        <v>153.97999999999999</v>
      </c>
      <c r="I690" s="170" t="s">
        <v>2842</v>
      </c>
      <c r="J690" t="s">
        <v>2853</v>
      </c>
      <c r="K690" s="188" t="s">
        <v>2853</v>
      </c>
    </row>
    <row r="691" spans="1:11" x14ac:dyDescent="0.25">
      <c r="A691" t="s">
        <v>7743</v>
      </c>
      <c r="B691" s="27" t="s">
        <v>5276</v>
      </c>
      <c r="D691" s="34" t="s">
        <v>7737</v>
      </c>
      <c r="E691" s="29" t="s">
        <v>671</v>
      </c>
      <c r="F691" s="30">
        <v>1</v>
      </c>
      <c r="G691" s="31">
        <v>70.48</v>
      </c>
      <c r="H691" s="31">
        <f t="shared" si="121"/>
        <v>70.48</v>
      </c>
      <c r="J691" t="s">
        <v>2853</v>
      </c>
      <c r="K691" s="188" t="s">
        <v>2853</v>
      </c>
    </row>
    <row r="692" spans="1:11" x14ac:dyDescent="0.25">
      <c r="A692" t="s">
        <v>7744</v>
      </c>
      <c r="B692" s="27" t="s">
        <v>5277</v>
      </c>
      <c r="D692" s="34" t="s">
        <v>7739</v>
      </c>
      <c r="E692" s="29" t="s">
        <v>671</v>
      </c>
      <c r="F692" s="30">
        <v>1</v>
      </c>
      <c r="G692" s="31">
        <v>63.3</v>
      </c>
      <c r="H692" s="31">
        <f t="shared" si="121"/>
        <v>63.3</v>
      </c>
      <c r="I692" s="170" t="s">
        <v>2842</v>
      </c>
      <c r="J692" t="s">
        <v>2853</v>
      </c>
      <c r="K692" s="188" t="s">
        <v>2853</v>
      </c>
    </row>
    <row r="693" spans="1:11" x14ac:dyDescent="0.25">
      <c r="B693" s="27"/>
      <c r="D693" s="27"/>
      <c r="E693" s="29"/>
      <c r="F693" s="30"/>
      <c r="G693" s="31"/>
      <c r="H693" s="31"/>
      <c r="I693" s="170" t="s">
        <v>2842</v>
      </c>
      <c r="J693" t="s">
        <v>2853</v>
      </c>
      <c r="K693" s="188" t="s">
        <v>2853</v>
      </c>
    </row>
    <row r="694" spans="1:11" x14ac:dyDescent="0.25">
      <c r="A694" t="s">
        <v>5278</v>
      </c>
      <c r="B694" s="27" t="s">
        <v>722</v>
      </c>
      <c r="D694" s="27" t="s">
        <v>622</v>
      </c>
      <c r="E694" s="29" t="s">
        <v>671</v>
      </c>
      <c r="F694" s="30">
        <v>25</v>
      </c>
      <c r="G694" s="31">
        <v>3.26</v>
      </c>
      <c r="H694" s="31">
        <f t="shared" ref="H694:H699" si="122">+F694*G694</f>
        <v>81.5</v>
      </c>
      <c r="I694" s="170" t="s">
        <v>2842</v>
      </c>
      <c r="J694" t="s">
        <v>2853</v>
      </c>
      <c r="K694" s="188" t="s">
        <v>2853</v>
      </c>
    </row>
    <row r="695" spans="1:11" x14ac:dyDescent="0.25">
      <c r="A695" t="s">
        <v>5279</v>
      </c>
      <c r="B695" s="27" t="s">
        <v>723</v>
      </c>
      <c r="D695" s="28" t="s">
        <v>2901</v>
      </c>
      <c r="E695" s="29" t="s">
        <v>671</v>
      </c>
      <c r="F695" s="30">
        <v>16</v>
      </c>
      <c r="G695" s="31">
        <v>5.8</v>
      </c>
      <c r="H695" s="31">
        <f t="shared" si="122"/>
        <v>92.8</v>
      </c>
      <c r="I695" s="170" t="s">
        <v>2842</v>
      </c>
      <c r="J695" t="s">
        <v>2853</v>
      </c>
      <c r="K695" s="188" t="s">
        <v>2853</v>
      </c>
    </row>
    <row r="696" spans="1:11" x14ac:dyDescent="0.25">
      <c r="A696" t="s">
        <v>5280</v>
      </c>
      <c r="B696" s="27" t="s">
        <v>724</v>
      </c>
      <c r="D696" s="27" t="s">
        <v>625</v>
      </c>
      <c r="E696" s="29" t="s">
        <v>671</v>
      </c>
      <c r="F696" s="30">
        <v>6</v>
      </c>
      <c r="G696" s="31">
        <v>9.3800000000000008</v>
      </c>
      <c r="H696" s="31">
        <f t="shared" si="122"/>
        <v>56.28</v>
      </c>
      <c r="I696" s="170" t="s">
        <v>2842</v>
      </c>
      <c r="J696" t="s">
        <v>2853</v>
      </c>
      <c r="K696" s="188" t="s">
        <v>2853</v>
      </c>
    </row>
    <row r="697" spans="1:11" x14ac:dyDescent="0.25">
      <c r="A697" t="s">
        <v>5281</v>
      </c>
      <c r="B697" s="27" t="s">
        <v>725</v>
      </c>
      <c r="D697" s="27" t="s">
        <v>627</v>
      </c>
      <c r="E697" s="29" t="s">
        <v>671</v>
      </c>
      <c r="F697" s="30">
        <v>6</v>
      </c>
      <c r="G697" s="31">
        <v>12.35</v>
      </c>
      <c r="H697" s="31">
        <f t="shared" si="122"/>
        <v>74.099999999999994</v>
      </c>
      <c r="I697" s="170" t="s">
        <v>2842</v>
      </c>
      <c r="J697" t="s">
        <v>2853</v>
      </c>
      <c r="K697" s="188" t="s">
        <v>2853</v>
      </c>
    </row>
    <row r="698" spans="1:11" x14ac:dyDescent="0.25">
      <c r="A698" t="s">
        <v>5282</v>
      </c>
      <c r="B698" s="27" t="s">
        <v>726</v>
      </c>
      <c r="D698" s="27" t="s">
        <v>727</v>
      </c>
      <c r="E698" s="29" t="s">
        <v>671</v>
      </c>
      <c r="F698" s="30">
        <v>6</v>
      </c>
      <c r="G698" s="31">
        <v>14.28</v>
      </c>
      <c r="H698" s="31">
        <f t="shared" si="122"/>
        <v>85.679999999999993</v>
      </c>
      <c r="I698" s="170" t="s">
        <v>2842</v>
      </c>
      <c r="J698" t="s">
        <v>2853</v>
      </c>
      <c r="K698" s="188" t="s">
        <v>2853</v>
      </c>
    </row>
    <row r="699" spans="1:11" x14ac:dyDescent="0.25">
      <c r="A699" t="s">
        <v>5283</v>
      </c>
      <c r="B699" s="27" t="s">
        <v>728</v>
      </c>
      <c r="D699" s="27" t="s">
        <v>729</v>
      </c>
      <c r="E699" s="29" t="s">
        <v>671</v>
      </c>
      <c r="F699" s="30">
        <v>6</v>
      </c>
      <c r="G699" s="31">
        <v>17.14</v>
      </c>
      <c r="H699" s="31">
        <f t="shared" si="122"/>
        <v>102.84</v>
      </c>
      <c r="I699" s="170" t="s">
        <v>2842</v>
      </c>
      <c r="J699" t="s">
        <v>2853</v>
      </c>
      <c r="K699" s="188" t="s">
        <v>2853</v>
      </c>
    </row>
    <row r="700" spans="1:11" x14ac:dyDescent="0.25">
      <c r="B700" s="27"/>
      <c r="D700" s="27"/>
      <c r="E700" s="29"/>
      <c r="F700" s="30"/>
      <c r="G700" s="31"/>
      <c r="H700" s="31"/>
      <c r="I700" s="170" t="s">
        <v>2842</v>
      </c>
      <c r="J700" t="s">
        <v>2853</v>
      </c>
      <c r="K700" s="188" t="s">
        <v>2853</v>
      </c>
    </row>
    <row r="701" spans="1:11" x14ac:dyDescent="0.25">
      <c r="A701" t="s">
        <v>5284</v>
      </c>
      <c r="B701" s="27" t="s">
        <v>730</v>
      </c>
      <c r="D701" s="27" t="s">
        <v>490</v>
      </c>
      <c r="E701" s="29" t="s">
        <v>671</v>
      </c>
      <c r="F701" s="30">
        <v>1</v>
      </c>
      <c r="G701" s="31">
        <v>79.069999999999993</v>
      </c>
      <c r="H701" s="31">
        <f t="shared" ref="H701:H713" si="123">+F701*G701</f>
        <v>79.069999999999993</v>
      </c>
      <c r="I701" s="170" t="s">
        <v>2842</v>
      </c>
      <c r="J701" t="s">
        <v>2853</v>
      </c>
      <c r="K701" s="188" t="s">
        <v>2853</v>
      </c>
    </row>
    <row r="702" spans="1:11" x14ac:dyDescent="0.25">
      <c r="A702" t="s">
        <v>5285</v>
      </c>
      <c r="B702" s="27" t="s">
        <v>731</v>
      </c>
      <c r="D702" s="27" t="s">
        <v>490</v>
      </c>
      <c r="E702" s="29" t="s">
        <v>671</v>
      </c>
      <c r="F702" s="30">
        <v>1</v>
      </c>
      <c r="G702" s="31">
        <v>79.069999999999993</v>
      </c>
      <c r="H702" s="31">
        <f t="shared" si="123"/>
        <v>79.069999999999993</v>
      </c>
      <c r="I702" s="170" t="s">
        <v>2842</v>
      </c>
      <c r="J702" t="s">
        <v>2853</v>
      </c>
      <c r="K702" s="188" t="s">
        <v>2853</v>
      </c>
    </row>
    <row r="703" spans="1:11" x14ac:dyDescent="0.25">
      <c r="A703" t="s">
        <v>5286</v>
      </c>
      <c r="B703" s="27" t="s">
        <v>732</v>
      </c>
      <c r="D703" s="27" t="s">
        <v>494</v>
      </c>
      <c r="E703" s="29" t="s">
        <v>671</v>
      </c>
      <c r="F703" s="30">
        <v>1</v>
      </c>
      <c r="G703" s="31">
        <v>85.52</v>
      </c>
      <c r="H703" s="31">
        <f t="shared" si="123"/>
        <v>85.52</v>
      </c>
      <c r="I703" s="170" t="s">
        <v>2842</v>
      </c>
      <c r="J703" t="s">
        <v>2853</v>
      </c>
      <c r="K703" s="188" t="s">
        <v>2853</v>
      </c>
    </row>
    <row r="704" spans="1:11" x14ac:dyDescent="0.25">
      <c r="A704" t="s">
        <v>5287</v>
      </c>
      <c r="B704" s="27" t="s">
        <v>733</v>
      </c>
      <c r="D704" s="27" t="s">
        <v>494</v>
      </c>
      <c r="E704" s="29" t="s">
        <v>671</v>
      </c>
      <c r="F704" s="30">
        <v>1</v>
      </c>
      <c r="G704" s="31">
        <v>85.52</v>
      </c>
      <c r="H704" s="31">
        <f t="shared" si="123"/>
        <v>85.52</v>
      </c>
      <c r="I704" s="170" t="s">
        <v>2842</v>
      </c>
      <c r="J704" t="s">
        <v>2853</v>
      </c>
      <c r="K704" s="188" t="s">
        <v>2853</v>
      </c>
    </row>
    <row r="705" spans="1:11" x14ac:dyDescent="0.25">
      <c r="A705" t="s">
        <v>5288</v>
      </c>
      <c r="B705" s="27" t="s">
        <v>734</v>
      </c>
      <c r="D705" s="27" t="s">
        <v>497</v>
      </c>
      <c r="E705" s="29" t="s">
        <v>671</v>
      </c>
      <c r="F705" s="30">
        <v>1</v>
      </c>
      <c r="G705" s="31">
        <v>92.03</v>
      </c>
      <c r="H705" s="31">
        <f t="shared" si="123"/>
        <v>92.03</v>
      </c>
      <c r="J705" t="s">
        <v>2853</v>
      </c>
      <c r="K705" s="188" t="s">
        <v>2853</v>
      </c>
    </row>
    <row r="706" spans="1:11" x14ac:dyDescent="0.25">
      <c r="A706" t="s">
        <v>5289</v>
      </c>
      <c r="B706" s="27" t="s">
        <v>735</v>
      </c>
      <c r="D706" s="27" t="s">
        <v>497</v>
      </c>
      <c r="E706" s="29" t="s">
        <v>671</v>
      </c>
      <c r="F706" s="30">
        <v>1</v>
      </c>
      <c r="G706" s="31">
        <v>92.03</v>
      </c>
      <c r="H706" s="31">
        <f t="shared" si="123"/>
        <v>92.03</v>
      </c>
      <c r="I706" s="170" t="s">
        <v>2842</v>
      </c>
      <c r="J706" t="s">
        <v>2853</v>
      </c>
      <c r="K706" s="188" t="s">
        <v>2853</v>
      </c>
    </row>
    <row r="707" spans="1:11" x14ac:dyDescent="0.25">
      <c r="A707" t="s">
        <v>5290</v>
      </c>
      <c r="B707" s="27" t="s">
        <v>736</v>
      </c>
      <c r="D707" s="27" t="s">
        <v>498</v>
      </c>
      <c r="E707" s="29" t="s">
        <v>671</v>
      </c>
      <c r="F707" s="30">
        <v>1</v>
      </c>
      <c r="G707" s="31">
        <v>98.51</v>
      </c>
      <c r="H707" s="31">
        <f t="shared" si="123"/>
        <v>98.51</v>
      </c>
      <c r="I707" s="170" t="s">
        <v>2842</v>
      </c>
      <c r="J707" t="s">
        <v>2853</v>
      </c>
      <c r="K707" s="188" t="s">
        <v>2853</v>
      </c>
    </row>
    <row r="708" spans="1:11" x14ac:dyDescent="0.25">
      <c r="A708" t="s">
        <v>5291</v>
      </c>
      <c r="B708" s="27" t="s">
        <v>737</v>
      </c>
      <c r="D708" s="27" t="s">
        <v>498</v>
      </c>
      <c r="E708" s="29" t="s">
        <v>671</v>
      </c>
      <c r="F708" s="30">
        <v>1</v>
      </c>
      <c r="G708" s="31">
        <v>98.51</v>
      </c>
      <c r="H708" s="31">
        <f t="shared" si="123"/>
        <v>98.51</v>
      </c>
      <c r="I708" s="170" t="s">
        <v>2842</v>
      </c>
      <c r="J708" t="s">
        <v>2853</v>
      </c>
      <c r="K708" s="188" t="s">
        <v>2853</v>
      </c>
    </row>
    <row r="709" spans="1:11" x14ac:dyDescent="0.25">
      <c r="A709" t="s">
        <v>5292</v>
      </c>
      <c r="B709" s="27" t="s">
        <v>738</v>
      </c>
      <c r="D709" s="27" t="s">
        <v>500</v>
      </c>
      <c r="E709" s="29" t="s">
        <v>671</v>
      </c>
      <c r="F709" s="30">
        <v>1</v>
      </c>
      <c r="G709" s="31">
        <v>28.94</v>
      </c>
      <c r="H709" s="31">
        <f t="shared" si="123"/>
        <v>28.94</v>
      </c>
      <c r="I709" s="170" t="s">
        <v>2842</v>
      </c>
      <c r="J709" t="s">
        <v>2853</v>
      </c>
      <c r="K709" s="188" t="s">
        <v>2853</v>
      </c>
    </row>
    <row r="710" spans="1:11" x14ac:dyDescent="0.25">
      <c r="A710" t="s">
        <v>5293</v>
      </c>
      <c r="B710" s="27" t="s">
        <v>739</v>
      </c>
      <c r="D710" s="27" t="s">
        <v>501</v>
      </c>
      <c r="E710" s="29" t="s">
        <v>671</v>
      </c>
      <c r="F710" s="30">
        <v>1</v>
      </c>
      <c r="G710" s="31">
        <v>37.75</v>
      </c>
      <c r="H710" s="31">
        <f t="shared" si="123"/>
        <v>37.75</v>
      </c>
      <c r="I710" s="170" t="s">
        <v>2842</v>
      </c>
      <c r="J710" t="s">
        <v>2853</v>
      </c>
      <c r="K710" s="188" t="s">
        <v>2853</v>
      </c>
    </row>
    <row r="711" spans="1:11" x14ac:dyDescent="0.25">
      <c r="A711" t="s">
        <v>5294</v>
      </c>
      <c r="B711" s="27" t="s">
        <v>740</v>
      </c>
      <c r="D711" s="27" t="s">
        <v>502</v>
      </c>
      <c r="E711" s="29" t="s">
        <v>671</v>
      </c>
      <c r="F711" s="30">
        <v>1</v>
      </c>
      <c r="G711" s="31">
        <v>46.48</v>
      </c>
      <c r="H711" s="31">
        <f t="shared" si="123"/>
        <v>46.48</v>
      </c>
      <c r="I711" s="170" t="s">
        <v>2842</v>
      </c>
      <c r="J711" t="s">
        <v>2853</v>
      </c>
      <c r="K711" s="188" t="s">
        <v>2853</v>
      </c>
    </row>
    <row r="712" spans="1:11" x14ac:dyDescent="0.25">
      <c r="A712" t="s">
        <v>5295</v>
      </c>
      <c r="B712" s="27" t="s">
        <v>741</v>
      </c>
      <c r="D712" s="27" t="s">
        <v>503</v>
      </c>
      <c r="E712" s="29" t="s">
        <v>671</v>
      </c>
      <c r="F712" s="30">
        <v>1</v>
      </c>
      <c r="G712" s="31">
        <v>55.21</v>
      </c>
      <c r="H712" s="31">
        <f t="shared" si="123"/>
        <v>55.21</v>
      </c>
      <c r="I712" s="170" t="s">
        <v>2842</v>
      </c>
      <c r="J712" t="s">
        <v>2853</v>
      </c>
      <c r="K712" s="188" t="s">
        <v>2853</v>
      </c>
    </row>
    <row r="713" spans="1:11" x14ac:dyDescent="0.25">
      <c r="A713" t="s">
        <v>5296</v>
      </c>
      <c r="B713" s="27" t="s">
        <v>742</v>
      </c>
      <c r="D713" s="27" t="s">
        <v>504</v>
      </c>
      <c r="E713" s="29" t="s">
        <v>671</v>
      </c>
      <c r="F713" s="30">
        <v>6</v>
      </c>
      <c r="G713" s="31">
        <v>12.68</v>
      </c>
      <c r="H713" s="31">
        <f t="shared" si="123"/>
        <v>76.08</v>
      </c>
      <c r="I713" s="170" t="s">
        <v>2842</v>
      </c>
      <c r="J713" t="s">
        <v>2853</v>
      </c>
      <c r="K713" s="188" t="s">
        <v>2853</v>
      </c>
    </row>
    <row r="714" spans="1:11" x14ac:dyDescent="0.25">
      <c r="B714" s="27"/>
      <c r="D714" s="27"/>
      <c r="E714" s="29"/>
      <c r="F714" s="30"/>
      <c r="G714" s="31"/>
      <c r="H714" s="31"/>
      <c r="I714" s="170" t="s">
        <v>2842</v>
      </c>
      <c r="J714" t="s">
        <v>2853</v>
      </c>
      <c r="K714" s="188" t="s">
        <v>2853</v>
      </c>
    </row>
    <row r="715" spans="1:11" x14ac:dyDescent="0.25">
      <c r="A715" t="s">
        <v>5297</v>
      </c>
      <c r="B715" s="27" t="s">
        <v>743</v>
      </c>
      <c r="D715" s="27" t="s">
        <v>507</v>
      </c>
      <c r="E715" s="29" t="s">
        <v>671</v>
      </c>
      <c r="F715" s="30">
        <v>1</v>
      </c>
      <c r="G715" s="31">
        <v>98.13</v>
      </c>
      <c r="H715" s="31">
        <f t="shared" ref="H715:H730" si="124">+F715*G715</f>
        <v>98.13</v>
      </c>
      <c r="I715" s="170" t="s">
        <v>2842</v>
      </c>
      <c r="J715" t="s">
        <v>2853</v>
      </c>
      <c r="K715" s="188" t="s">
        <v>2853</v>
      </c>
    </row>
    <row r="716" spans="1:11" x14ac:dyDescent="0.25">
      <c r="A716" t="s">
        <v>5298</v>
      </c>
      <c r="B716" s="27" t="s">
        <v>744</v>
      </c>
      <c r="D716" s="27" t="s">
        <v>507</v>
      </c>
      <c r="E716" s="29" t="s">
        <v>671</v>
      </c>
      <c r="F716" s="30">
        <v>1</v>
      </c>
      <c r="G716" s="31">
        <v>98.13</v>
      </c>
      <c r="H716" s="31">
        <f t="shared" si="124"/>
        <v>98.13</v>
      </c>
      <c r="I716" s="170" t="s">
        <v>2842</v>
      </c>
      <c r="J716" t="s">
        <v>2853</v>
      </c>
      <c r="K716" s="188" t="s">
        <v>2853</v>
      </c>
    </row>
    <row r="717" spans="1:11" x14ac:dyDescent="0.25">
      <c r="A717" t="s">
        <v>5299</v>
      </c>
      <c r="B717" s="27" t="s">
        <v>745</v>
      </c>
      <c r="D717" s="27" t="s">
        <v>510</v>
      </c>
      <c r="E717" s="29" t="s">
        <v>671</v>
      </c>
      <c r="F717" s="30">
        <v>1</v>
      </c>
      <c r="G717" s="31">
        <v>108.43</v>
      </c>
      <c r="H717" s="31">
        <f t="shared" si="124"/>
        <v>108.43</v>
      </c>
      <c r="I717" s="170" t="s">
        <v>2842</v>
      </c>
      <c r="J717" t="s">
        <v>2853</v>
      </c>
      <c r="K717" s="188" t="s">
        <v>2853</v>
      </c>
    </row>
    <row r="718" spans="1:11" x14ac:dyDescent="0.25">
      <c r="A718" t="s">
        <v>5300</v>
      </c>
      <c r="B718" s="27" t="s">
        <v>746</v>
      </c>
      <c r="D718" s="27" t="s">
        <v>510</v>
      </c>
      <c r="E718" s="29" t="s">
        <v>671</v>
      </c>
      <c r="F718" s="30">
        <v>1</v>
      </c>
      <c r="G718" s="31">
        <v>108.43</v>
      </c>
      <c r="H718" s="31">
        <f t="shared" si="124"/>
        <v>108.43</v>
      </c>
      <c r="I718" s="170" t="s">
        <v>2842</v>
      </c>
      <c r="J718" t="s">
        <v>2853</v>
      </c>
      <c r="K718" s="188" t="s">
        <v>2853</v>
      </c>
    </row>
    <row r="719" spans="1:11" x14ac:dyDescent="0.25">
      <c r="A719" t="s">
        <v>5301</v>
      </c>
      <c r="B719" s="27" t="s">
        <v>747</v>
      </c>
      <c r="D719" s="27" t="s">
        <v>513</v>
      </c>
      <c r="E719" s="29" t="s">
        <v>671</v>
      </c>
      <c r="F719" s="30">
        <v>1</v>
      </c>
      <c r="G719" s="31">
        <v>118.72</v>
      </c>
      <c r="H719" s="31">
        <f t="shared" si="124"/>
        <v>118.72</v>
      </c>
      <c r="I719" s="170" t="s">
        <v>2842</v>
      </c>
      <c r="J719" t="s">
        <v>2853</v>
      </c>
      <c r="K719" s="188" t="s">
        <v>2853</v>
      </c>
    </row>
    <row r="720" spans="1:11" x14ac:dyDescent="0.25">
      <c r="A720" t="s">
        <v>5302</v>
      </c>
      <c r="B720" s="27" t="s">
        <v>748</v>
      </c>
      <c r="D720" s="27" t="s">
        <v>513</v>
      </c>
      <c r="E720" s="29" t="s">
        <v>671</v>
      </c>
      <c r="F720" s="30">
        <v>1</v>
      </c>
      <c r="G720" s="31">
        <v>118.72</v>
      </c>
      <c r="H720" s="31">
        <f t="shared" si="124"/>
        <v>118.72</v>
      </c>
      <c r="I720" s="170" t="s">
        <v>2842</v>
      </c>
      <c r="J720" t="s">
        <v>2853</v>
      </c>
      <c r="K720" s="188" t="s">
        <v>2853</v>
      </c>
    </row>
    <row r="721" spans="1:11" x14ac:dyDescent="0.25">
      <c r="A721" t="s">
        <v>5303</v>
      </c>
      <c r="B721" s="27" t="s">
        <v>749</v>
      </c>
      <c r="D721" s="27" t="s">
        <v>516</v>
      </c>
      <c r="E721" s="29" t="s">
        <v>671</v>
      </c>
      <c r="F721" s="30">
        <v>1</v>
      </c>
      <c r="G721" s="31">
        <v>129.01</v>
      </c>
      <c r="H721" s="31">
        <f t="shared" si="124"/>
        <v>129.01</v>
      </c>
      <c r="I721" s="170" t="s">
        <v>2842</v>
      </c>
      <c r="J721" t="s">
        <v>2853</v>
      </c>
      <c r="K721" s="188" t="s">
        <v>2853</v>
      </c>
    </row>
    <row r="722" spans="1:11" x14ac:dyDescent="0.25">
      <c r="A722" t="s">
        <v>5304</v>
      </c>
      <c r="B722" s="27" t="s">
        <v>750</v>
      </c>
      <c r="D722" s="27" t="s">
        <v>516</v>
      </c>
      <c r="E722" s="29" t="s">
        <v>671</v>
      </c>
      <c r="F722" s="30">
        <v>1</v>
      </c>
      <c r="G722" s="31">
        <v>129.01</v>
      </c>
      <c r="H722" s="31">
        <f t="shared" si="124"/>
        <v>129.01</v>
      </c>
      <c r="J722" t="s">
        <v>2853</v>
      </c>
      <c r="K722" s="188" t="s">
        <v>2853</v>
      </c>
    </row>
    <row r="723" spans="1:11" x14ac:dyDescent="0.25">
      <c r="A723" t="s">
        <v>5305</v>
      </c>
      <c r="B723" s="27" t="s">
        <v>751</v>
      </c>
      <c r="D723" s="27" t="s">
        <v>519</v>
      </c>
      <c r="E723" s="29" t="s">
        <v>671</v>
      </c>
      <c r="F723" s="30">
        <v>1</v>
      </c>
      <c r="G723" s="31">
        <v>96.87</v>
      </c>
      <c r="H723" s="31">
        <f t="shared" si="124"/>
        <v>96.87</v>
      </c>
      <c r="I723" s="170" t="s">
        <v>2842</v>
      </c>
      <c r="J723" t="s">
        <v>2853</v>
      </c>
      <c r="K723" s="188" t="s">
        <v>2853</v>
      </c>
    </row>
    <row r="724" spans="1:11" x14ac:dyDescent="0.25">
      <c r="A724" t="s">
        <v>5306</v>
      </c>
      <c r="B724" s="27" t="s">
        <v>752</v>
      </c>
      <c r="D724" s="27" t="s">
        <v>519</v>
      </c>
      <c r="E724" s="29" t="s">
        <v>671</v>
      </c>
      <c r="F724" s="30">
        <v>1</v>
      </c>
      <c r="G724" s="31">
        <v>96.87</v>
      </c>
      <c r="H724" s="31">
        <f t="shared" si="124"/>
        <v>96.87</v>
      </c>
      <c r="I724" s="170" t="s">
        <v>2842</v>
      </c>
      <c r="J724" t="s">
        <v>2853</v>
      </c>
      <c r="K724" s="188" t="s">
        <v>2853</v>
      </c>
    </row>
    <row r="725" spans="1:11" x14ac:dyDescent="0.25">
      <c r="A725" t="s">
        <v>5307</v>
      </c>
      <c r="B725" s="27" t="s">
        <v>753</v>
      </c>
      <c r="D725" s="27" t="s">
        <v>524</v>
      </c>
      <c r="E725" s="29" t="s">
        <v>671</v>
      </c>
      <c r="F725" s="30">
        <v>1</v>
      </c>
      <c r="G725" s="31">
        <v>110.96</v>
      </c>
      <c r="H725" s="31">
        <f t="shared" si="124"/>
        <v>110.96</v>
      </c>
      <c r="I725" s="170" t="s">
        <v>2842</v>
      </c>
      <c r="J725" t="s">
        <v>2853</v>
      </c>
      <c r="K725" s="188" t="s">
        <v>2853</v>
      </c>
    </row>
    <row r="726" spans="1:11" x14ac:dyDescent="0.25">
      <c r="A726" t="s">
        <v>5308</v>
      </c>
      <c r="B726" s="27" t="s">
        <v>754</v>
      </c>
      <c r="D726" s="27" t="s">
        <v>524</v>
      </c>
      <c r="E726" s="29" t="s">
        <v>671</v>
      </c>
      <c r="F726" s="30">
        <v>1</v>
      </c>
      <c r="G726" s="31">
        <v>110.96</v>
      </c>
      <c r="H726" s="31">
        <f t="shared" si="124"/>
        <v>110.96</v>
      </c>
      <c r="I726" s="170" t="s">
        <v>2842</v>
      </c>
      <c r="J726" t="s">
        <v>2853</v>
      </c>
      <c r="K726" s="188" t="s">
        <v>2853</v>
      </c>
    </row>
    <row r="727" spans="1:11" x14ac:dyDescent="0.25">
      <c r="A727" t="s">
        <v>5309</v>
      </c>
      <c r="B727" s="27" t="s">
        <v>755</v>
      </c>
      <c r="D727" s="27" t="s">
        <v>527</v>
      </c>
      <c r="E727" s="29" t="s">
        <v>671</v>
      </c>
      <c r="F727" s="30">
        <v>1</v>
      </c>
      <c r="G727" s="31">
        <v>118.72</v>
      </c>
      <c r="H727" s="31">
        <f t="shared" si="124"/>
        <v>118.72</v>
      </c>
      <c r="I727" s="170" t="s">
        <v>2842</v>
      </c>
      <c r="J727" t="s">
        <v>2853</v>
      </c>
      <c r="K727" s="188" t="s">
        <v>2853</v>
      </c>
    </row>
    <row r="728" spans="1:11" x14ac:dyDescent="0.25">
      <c r="A728" t="s">
        <v>5310</v>
      </c>
      <c r="B728" s="27" t="s">
        <v>756</v>
      </c>
      <c r="D728" s="27" t="s">
        <v>527</v>
      </c>
      <c r="E728" s="29" t="s">
        <v>671</v>
      </c>
      <c r="F728" s="30">
        <v>1</v>
      </c>
      <c r="G728" s="31">
        <v>118.72</v>
      </c>
      <c r="H728" s="31">
        <f t="shared" si="124"/>
        <v>118.72</v>
      </c>
      <c r="I728" s="170" t="s">
        <v>2842</v>
      </c>
      <c r="J728" t="s">
        <v>2853</v>
      </c>
      <c r="K728" s="188" t="s">
        <v>2853</v>
      </c>
    </row>
    <row r="729" spans="1:11" x14ac:dyDescent="0.25">
      <c r="A729" t="s">
        <v>5311</v>
      </c>
      <c r="B729" s="27" t="s">
        <v>757</v>
      </c>
      <c r="D729" s="27" t="s">
        <v>530</v>
      </c>
      <c r="E729" s="29" t="s">
        <v>671</v>
      </c>
      <c r="F729" s="30">
        <v>1</v>
      </c>
      <c r="G729" s="31">
        <v>126.47</v>
      </c>
      <c r="H729" s="31">
        <f t="shared" si="124"/>
        <v>126.47</v>
      </c>
      <c r="I729" s="170" t="s">
        <v>2842</v>
      </c>
      <c r="J729" t="s">
        <v>2853</v>
      </c>
      <c r="K729" s="188" t="s">
        <v>2853</v>
      </c>
    </row>
    <row r="730" spans="1:11" x14ac:dyDescent="0.25">
      <c r="A730" t="s">
        <v>5312</v>
      </c>
      <c r="B730" s="27" t="s">
        <v>758</v>
      </c>
      <c r="D730" s="27" t="s">
        <v>530</v>
      </c>
      <c r="E730" s="29" t="s">
        <v>671</v>
      </c>
      <c r="F730" s="30">
        <v>1</v>
      </c>
      <c r="G730" s="31">
        <v>126.47</v>
      </c>
      <c r="H730" s="31">
        <f t="shared" si="124"/>
        <v>126.47</v>
      </c>
      <c r="I730" s="170" t="s">
        <v>2842</v>
      </c>
      <c r="J730" t="s">
        <v>2853</v>
      </c>
      <c r="K730" s="188" t="s">
        <v>2853</v>
      </c>
    </row>
    <row r="731" spans="1:11" x14ac:dyDescent="0.25">
      <c r="B731" s="27"/>
      <c r="D731" s="27"/>
      <c r="E731" s="29"/>
      <c r="F731" s="30"/>
      <c r="G731" s="31"/>
      <c r="H731" s="31"/>
      <c r="J731" t="s">
        <v>2853</v>
      </c>
      <c r="K731" s="188" t="s">
        <v>2853</v>
      </c>
    </row>
    <row r="732" spans="1:11" x14ac:dyDescent="0.25">
      <c r="A732" t="s">
        <v>5313</v>
      </c>
      <c r="B732" s="27" t="s">
        <v>759</v>
      </c>
      <c r="D732" s="27" t="s">
        <v>540</v>
      </c>
      <c r="E732" s="29" t="s">
        <v>671</v>
      </c>
      <c r="F732" s="30">
        <v>1</v>
      </c>
      <c r="G732" s="31">
        <v>107.64</v>
      </c>
      <c r="H732" s="31">
        <f t="shared" ref="H732:H739" si="125">+F732*G732</f>
        <v>107.64</v>
      </c>
      <c r="J732" t="s">
        <v>2853</v>
      </c>
      <c r="K732" s="188" t="s">
        <v>2853</v>
      </c>
    </row>
    <row r="733" spans="1:11" x14ac:dyDescent="0.25">
      <c r="A733" t="s">
        <v>5314</v>
      </c>
      <c r="B733" s="27" t="s">
        <v>760</v>
      </c>
      <c r="D733" s="27" t="s">
        <v>540</v>
      </c>
      <c r="E733" s="29" t="s">
        <v>671</v>
      </c>
      <c r="F733" s="30">
        <v>1</v>
      </c>
      <c r="G733" s="31">
        <v>107.64</v>
      </c>
      <c r="H733" s="31">
        <f t="shared" si="125"/>
        <v>107.64</v>
      </c>
      <c r="J733" t="s">
        <v>2853</v>
      </c>
      <c r="K733" s="188" t="s">
        <v>2853</v>
      </c>
    </row>
    <row r="734" spans="1:11" x14ac:dyDescent="0.25">
      <c r="A734" t="s">
        <v>5315</v>
      </c>
      <c r="B734" s="27" t="s">
        <v>761</v>
      </c>
      <c r="D734" s="27" t="s">
        <v>543</v>
      </c>
      <c r="E734" s="29" t="s">
        <v>671</v>
      </c>
      <c r="F734" s="30">
        <v>1</v>
      </c>
      <c r="G734" s="31">
        <v>120.91</v>
      </c>
      <c r="H734" s="31">
        <f t="shared" si="125"/>
        <v>120.91</v>
      </c>
      <c r="J734" t="s">
        <v>2853</v>
      </c>
      <c r="K734" s="188" t="s">
        <v>2853</v>
      </c>
    </row>
    <row r="735" spans="1:11" x14ac:dyDescent="0.25">
      <c r="A735" t="s">
        <v>5316</v>
      </c>
      <c r="B735" s="27" t="s">
        <v>762</v>
      </c>
      <c r="D735" s="27" t="s">
        <v>543</v>
      </c>
      <c r="E735" s="29" t="s">
        <v>671</v>
      </c>
      <c r="F735" s="30">
        <v>1</v>
      </c>
      <c r="G735" s="31">
        <v>120.91</v>
      </c>
      <c r="H735" s="31">
        <f t="shared" si="125"/>
        <v>120.91</v>
      </c>
      <c r="J735" t="s">
        <v>2853</v>
      </c>
      <c r="K735" s="188" t="s">
        <v>2853</v>
      </c>
    </row>
    <row r="736" spans="1:11" x14ac:dyDescent="0.25">
      <c r="A736" t="s">
        <v>5317</v>
      </c>
      <c r="B736" s="27" t="s">
        <v>763</v>
      </c>
      <c r="D736" s="27" t="s">
        <v>546</v>
      </c>
      <c r="E736" s="29" t="s">
        <v>671</v>
      </c>
      <c r="F736" s="30">
        <v>1</v>
      </c>
      <c r="G736" s="31">
        <v>134.13999999999999</v>
      </c>
      <c r="H736" s="31">
        <f t="shared" si="125"/>
        <v>134.13999999999999</v>
      </c>
      <c r="J736" t="s">
        <v>2853</v>
      </c>
      <c r="K736" s="188" t="s">
        <v>2853</v>
      </c>
    </row>
    <row r="737" spans="1:11" x14ac:dyDescent="0.25">
      <c r="A737" t="s">
        <v>5318</v>
      </c>
      <c r="B737" s="27" t="s">
        <v>764</v>
      </c>
      <c r="D737" s="27" t="s">
        <v>546</v>
      </c>
      <c r="E737" s="29" t="s">
        <v>671</v>
      </c>
      <c r="F737" s="30">
        <v>1</v>
      </c>
      <c r="G737" s="31">
        <v>134.13999999999999</v>
      </c>
      <c r="H737" s="31">
        <f t="shared" si="125"/>
        <v>134.13999999999999</v>
      </c>
      <c r="I737" s="170" t="s">
        <v>2842</v>
      </c>
      <c r="J737" t="s">
        <v>2853</v>
      </c>
      <c r="K737" s="188" t="s">
        <v>2853</v>
      </c>
    </row>
    <row r="738" spans="1:11" x14ac:dyDescent="0.25">
      <c r="A738" t="s">
        <v>5319</v>
      </c>
      <c r="B738" s="27" t="s">
        <v>765</v>
      </c>
      <c r="D738" s="27" t="s">
        <v>549</v>
      </c>
      <c r="E738" s="29" t="s">
        <v>671</v>
      </c>
      <c r="F738" s="30">
        <v>1</v>
      </c>
      <c r="G738" s="31">
        <v>147.4</v>
      </c>
      <c r="H738" s="31">
        <f t="shared" si="125"/>
        <v>147.4</v>
      </c>
      <c r="I738" s="170" t="s">
        <v>2842</v>
      </c>
      <c r="J738" t="s">
        <v>2853</v>
      </c>
      <c r="K738" s="188" t="s">
        <v>2853</v>
      </c>
    </row>
    <row r="739" spans="1:11" x14ac:dyDescent="0.25">
      <c r="A739" t="s">
        <v>5320</v>
      </c>
      <c r="B739" s="27" t="s">
        <v>766</v>
      </c>
      <c r="D739" s="27" t="s">
        <v>549</v>
      </c>
      <c r="E739" s="29" t="s">
        <v>671</v>
      </c>
      <c r="F739" s="30">
        <v>1</v>
      </c>
      <c r="G739" s="31">
        <v>147.4</v>
      </c>
      <c r="H739" s="31">
        <f t="shared" si="125"/>
        <v>147.4</v>
      </c>
      <c r="I739" s="170" t="s">
        <v>2842</v>
      </c>
      <c r="J739" t="s">
        <v>2853</v>
      </c>
      <c r="K739" s="188" t="s">
        <v>2853</v>
      </c>
    </row>
    <row r="740" spans="1:11" x14ac:dyDescent="0.25">
      <c r="B740" s="27"/>
      <c r="D740" s="27"/>
      <c r="E740" s="29"/>
      <c r="F740" s="30"/>
      <c r="G740" s="31"/>
      <c r="H740" s="31"/>
      <c r="I740" s="170" t="s">
        <v>2842</v>
      </c>
      <c r="J740" t="s">
        <v>2853</v>
      </c>
      <c r="K740" s="188" t="s">
        <v>2853</v>
      </c>
    </row>
    <row r="741" spans="1:11" x14ac:dyDescent="0.25">
      <c r="I741" s="170" t="s">
        <v>2842</v>
      </c>
      <c r="J741" t="s">
        <v>2853</v>
      </c>
      <c r="K741" s="188" t="s">
        <v>2853</v>
      </c>
    </row>
    <row r="742" spans="1:11" ht="30" x14ac:dyDescent="0.4">
      <c r="B742" s="171" t="s">
        <v>5321</v>
      </c>
      <c r="C742" s="25"/>
      <c r="D742" s="25"/>
      <c r="E742" s="25"/>
      <c r="F742" s="25"/>
      <c r="G742" s="25"/>
      <c r="H742" s="25"/>
      <c r="I742" s="170" t="s">
        <v>2842</v>
      </c>
      <c r="J742" t="s">
        <v>2853</v>
      </c>
      <c r="K742" s="188" t="s">
        <v>2853</v>
      </c>
    </row>
    <row r="743" spans="1:11" x14ac:dyDescent="0.25">
      <c r="B743" s="50"/>
      <c r="C743" s="50"/>
      <c r="D743" s="46"/>
      <c r="E743" s="53"/>
      <c r="F743" s="52"/>
      <c r="G743" s="24"/>
      <c r="H743" s="24"/>
      <c r="I743" s="170" t="s">
        <v>2842</v>
      </c>
      <c r="J743" t="s">
        <v>2853</v>
      </c>
      <c r="K743" s="188" t="s">
        <v>2853</v>
      </c>
    </row>
    <row r="744" spans="1:11" x14ac:dyDescent="0.25">
      <c r="B744" s="27" t="s">
        <v>767</v>
      </c>
      <c r="C744" s="50"/>
      <c r="D744" s="46"/>
      <c r="E744" s="53"/>
      <c r="F744" s="52"/>
      <c r="G744" s="24"/>
      <c r="H744" s="24"/>
      <c r="I744" s="170" t="s">
        <v>2842</v>
      </c>
      <c r="J744" t="s">
        <v>2853</v>
      </c>
      <c r="K744" s="188" t="s">
        <v>2853</v>
      </c>
    </row>
    <row r="745" spans="1:11" x14ac:dyDescent="0.25">
      <c r="B745" s="50"/>
      <c r="C745" s="50"/>
      <c r="D745" s="46"/>
      <c r="E745" s="53"/>
      <c r="F745" s="52"/>
      <c r="G745" s="24"/>
      <c r="H745" s="24"/>
      <c r="I745" s="170" t="s">
        <v>2842</v>
      </c>
      <c r="J745" t="s">
        <v>2853</v>
      </c>
      <c r="K745" s="188" t="s">
        <v>2853</v>
      </c>
    </row>
    <row r="746" spans="1:11" x14ac:dyDescent="0.25">
      <c r="A746" t="s">
        <v>5322</v>
      </c>
      <c r="B746" s="27" t="s">
        <v>768</v>
      </c>
      <c r="D746" s="28" t="s">
        <v>769</v>
      </c>
      <c r="E746" s="29" t="s">
        <v>21</v>
      </c>
      <c r="F746" s="30">
        <v>1</v>
      </c>
      <c r="G746" s="31">
        <v>108.29</v>
      </c>
      <c r="H746" s="31">
        <f t="shared" ref="H746:H769" si="126">+F746*G746</f>
        <v>108.29</v>
      </c>
      <c r="I746" s="170" t="s">
        <v>2842</v>
      </c>
      <c r="J746" t="s">
        <v>2853</v>
      </c>
      <c r="K746" s="188" t="s">
        <v>2853</v>
      </c>
    </row>
    <row r="747" spans="1:11" x14ac:dyDescent="0.25">
      <c r="A747" t="s">
        <v>5323</v>
      </c>
      <c r="B747" s="27" t="s">
        <v>770</v>
      </c>
      <c r="D747" s="28" t="s">
        <v>769</v>
      </c>
      <c r="E747" s="29" t="s">
        <v>21</v>
      </c>
      <c r="F747" s="30">
        <v>1</v>
      </c>
      <c r="G747" s="31">
        <v>108.29</v>
      </c>
      <c r="H747" s="31">
        <f t="shared" si="126"/>
        <v>108.29</v>
      </c>
      <c r="I747" s="170" t="s">
        <v>2842</v>
      </c>
      <c r="J747" t="s">
        <v>2853</v>
      </c>
      <c r="K747" s="188" t="s">
        <v>2853</v>
      </c>
    </row>
    <row r="748" spans="1:11" x14ac:dyDescent="0.25">
      <c r="A748" t="s">
        <v>5324</v>
      </c>
      <c r="B748" s="27" t="s">
        <v>771</v>
      </c>
      <c r="D748" s="28" t="s">
        <v>772</v>
      </c>
      <c r="E748" s="29" t="s">
        <v>21</v>
      </c>
      <c r="F748" s="30">
        <v>1</v>
      </c>
      <c r="G748" s="31">
        <v>144.05000000000001</v>
      </c>
      <c r="H748" s="31">
        <f t="shared" si="126"/>
        <v>144.05000000000001</v>
      </c>
      <c r="I748" s="170" t="s">
        <v>2842</v>
      </c>
      <c r="J748" t="s">
        <v>2853</v>
      </c>
      <c r="K748" s="188" t="s">
        <v>2853</v>
      </c>
    </row>
    <row r="749" spans="1:11" x14ac:dyDescent="0.25">
      <c r="A749" t="s">
        <v>5325</v>
      </c>
      <c r="B749" s="27" t="s">
        <v>773</v>
      </c>
      <c r="D749" s="28" t="s">
        <v>772</v>
      </c>
      <c r="E749" s="29" t="s">
        <v>21</v>
      </c>
      <c r="F749" s="30">
        <v>1</v>
      </c>
      <c r="G749" s="31">
        <v>144.05000000000001</v>
      </c>
      <c r="H749" s="31">
        <f t="shared" si="126"/>
        <v>144.05000000000001</v>
      </c>
      <c r="I749" s="170" t="s">
        <v>2842</v>
      </c>
      <c r="J749" t="s">
        <v>2853</v>
      </c>
      <c r="K749" s="188" t="s">
        <v>2853</v>
      </c>
    </row>
    <row r="750" spans="1:11" x14ac:dyDescent="0.25">
      <c r="A750" t="s">
        <v>5326</v>
      </c>
      <c r="B750" s="27" t="s">
        <v>774</v>
      </c>
      <c r="D750" s="28" t="s">
        <v>775</v>
      </c>
      <c r="E750" s="29" t="s">
        <v>21</v>
      </c>
      <c r="F750" s="30">
        <v>1</v>
      </c>
      <c r="G750" s="31">
        <v>147.96</v>
      </c>
      <c r="H750" s="31">
        <f t="shared" si="126"/>
        <v>147.96</v>
      </c>
      <c r="I750" s="170" t="s">
        <v>2842</v>
      </c>
      <c r="J750" t="s">
        <v>2853</v>
      </c>
      <c r="K750" s="188" t="s">
        <v>2853</v>
      </c>
    </row>
    <row r="751" spans="1:11" x14ac:dyDescent="0.25">
      <c r="A751" t="s">
        <v>5327</v>
      </c>
      <c r="B751" s="27" t="s">
        <v>776</v>
      </c>
      <c r="D751" s="28" t="s">
        <v>775</v>
      </c>
      <c r="E751" s="29" t="s">
        <v>21</v>
      </c>
      <c r="F751" s="30">
        <v>1</v>
      </c>
      <c r="G751" s="31">
        <v>147.96</v>
      </c>
      <c r="H751" s="31">
        <f t="shared" si="126"/>
        <v>147.96</v>
      </c>
      <c r="I751" s="170" t="s">
        <v>2842</v>
      </c>
      <c r="J751" t="s">
        <v>2853</v>
      </c>
      <c r="K751" s="188" t="s">
        <v>2853</v>
      </c>
    </row>
    <row r="752" spans="1:11" x14ac:dyDescent="0.25">
      <c r="A752" t="s">
        <v>5328</v>
      </c>
      <c r="B752" s="27" t="s">
        <v>777</v>
      </c>
      <c r="D752" s="28" t="s">
        <v>778</v>
      </c>
      <c r="E752" s="29" t="s">
        <v>21</v>
      </c>
      <c r="F752" s="30">
        <v>1</v>
      </c>
      <c r="G752" s="31">
        <v>151.88</v>
      </c>
      <c r="H752" s="31">
        <f t="shared" si="126"/>
        <v>151.88</v>
      </c>
      <c r="I752" s="170" t="s">
        <v>2842</v>
      </c>
      <c r="J752" t="s">
        <v>2853</v>
      </c>
      <c r="K752" s="188" t="s">
        <v>2853</v>
      </c>
    </row>
    <row r="753" spans="1:11" x14ac:dyDescent="0.25">
      <c r="A753" t="s">
        <v>5329</v>
      </c>
      <c r="B753" s="27" t="s">
        <v>779</v>
      </c>
      <c r="D753" s="28" t="s">
        <v>778</v>
      </c>
      <c r="E753" s="29" t="s">
        <v>21</v>
      </c>
      <c r="F753" s="30">
        <v>1</v>
      </c>
      <c r="G753" s="31">
        <v>151.88</v>
      </c>
      <c r="H753" s="31">
        <f t="shared" si="126"/>
        <v>151.88</v>
      </c>
      <c r="I753" s="170" t="s">
        <v>2842</v>
      </c>
      <c r="J753" t="s">
        <v>2853</v>
      </c>
      <c r="K753" s="188" t="s">
        <v>2853</v>
      </c>
    </row>
    <row r="754" spans="1:11" x14ac:dyDescent="0.25">
      <c r="A754" t="s">
        <v>5330</v>
      </c>
      <c r="B754" s="27" t="s">
        <v>780</v>
      </c>
      <c r="D754" s="28" t="s">
        <v>769</v>
      </c>
      <c r="E754" s="29" t="s">
        <v>563</v>
      </c>
      <c r="F754" s="30">
        <v>1</v>
      </c>
      <c r="G754" s="31">
        <v>115.95</v>
      </c>
      <c r="H754" s="31">
        <f t="shared" si="126"/>
        <v>115.95</v>
      </c>
      <c r="I754" s="170" t="s">
        <v>2842</v>
      </c>
      <c r="J754" t="s">
        <v>2853</v>
      </c>
      <c r="K754" s="188" t="s">
        <v>2853</v>
      </c>
    </row>
    <row r="755" spans="1:11" x14ac:dyDescent="0.25">
      <c r="A755" t="s">
        <v>5331</v>
      </c>
      <c r="B755" s="27" t="s">
        <v>781</v>
      </c>
      <c r="D755" s="28" t="s">
        <v>769</v>
      </c>
      <c r="E755" s="29" t="s">
        <v>563</v>
      </c>
      <c r="F755" s="30">
        <v>1</v>
      </c>
      <c r="G755" s="31">
        <v>115.95</v>
      </c>
      <c r="H755" s="31">
        <f t="shared" si="126"/>
        <v>115.95</v>
      </c>
      <c r="I755" s="170" t="s">
        <v>2842</v>
      </c>
      <c r="J755" t="s">
        <v>2853</v>
      </c>
      <c r="K755" s="188" t="s">
        <v>2853</v>
      </c>
    </row>
    <row r="756" spans="1:11" x14ac:dyDescent="0.25">
      <c r="A756" t="s">
        <v>5332</v>
      </c>
      <c r="B756" s="27" t="s">
        <v>782</v>
      </c>
      <c r="D756" s="28" t="s">
        <v>772</v>
      </c>
      <c r="E756" s="29" t="s">
        <v>563</v>
      </c>
      <c r="F756" s="30">
        <v>1</v>
      </c>
      <c r="G756" s="31">
        <v>151.75</v>
      </c>
      <c r="H756" s="31">
        <f t="shared" si="126"/>
        <v>151.75</v>
      </c>
      <c r="I756" s="170" t="s">
        <v>2842</v>
      </c>
      <c r="J756" t="s">
        <v>2853</v>
      </c>
      <c r="K756" s="188" t="s">
        <v>2853</v>
      </c>
    </row>
    <row r="757" spans="1:11" x14ac:dyDescent="0.25">
      <c r="A757" t="s">
        <v>5333</v>
      </c>
      <c r="B757" s="27" t="s">
        <v>783</v>
      </c>
      <c r="D757" s="28" t="s">
        <v>772</v>
      </c>
      <c r="E757" s="29" t="s">
        <v>563</v>
      </c>
      <c r="F757" s="30">
        <v>1</v>
      </c>
      <c r="G757" s="31">
        <v>151.75</v>
      </c>
      <c r="H757" s="31">
        <f t="shared" si="126"/>
        <v>151.75</v>
      </c>
      <c r="I757" s="170" t="s">
        <v>2842</v>
      </c>
      <c r="J757" t="s">
        <v>2853</v>
      </c>
      <c r="K757" s="188" t="s">
        <v>2853</v>
      </c>
    </row>
    <row r="758" spans="1:11" x14ac:dyDescent="0.25">
      <c r="A758" t="s">
        <v>5334</v>
      </c>
      <c r="B758" s="27" t="s">
        <v>784</v>
      </c>
      <c r="D758" s="28" t="s">
        <v>775</v>
      </c>
      <c r="E758" s="29" t="s">
        <v>563</v>
      </c>
      <c r="F758" s="30">
        <v>1</v>
      </c>
      <c r="G758" s="31">
        <v>155.65</v>
      </c>
      <c r="H758" s="31">
        <f t="shared" si="126"/>
        <v>155.65</v>
      </c>
      <c r="I758" s="170" t="s">
        <v>2842</v>
      </c>
      <c r="J758" t="s">
        <v>2853</v>
      </c>
      <c r="K758" s="188" t="s">
        <v>2853</v>
      </c>
    </row>
    <row r="759" spans="1:11" x14ac:dyDescent="0.25">
      <c r="A759" t="s">
        <v>5335</v>
      </c>
      <c r="B759" s="27" t="s">
        <v>785</v>
      </c>
      <c r="D759" s="28" t="s">
        <v>775</v>
      </c>
      <c r="E759" s="29" t="s">
        <v>563</v>
      </c>
      <c r="F759" s="30">
        <v>1</v>
      </c>
      <c r="G759" s="31">
        <v>155.65</v>
      </c>
      <c r="H759" s="31">
        <f t="shared" si="126"/>
        <v>155.65</v>
      </c>
      <c r="I759" s="170" t="s">
        <v>2842</v>
      </c>
      <c r="J759" t="s">
        <v>2853</v>
      </c>
      <c r="K759" s="188" t="s">
        <v>2853</v>
      </c>
    </row>
    <row r="760" spans="1:11" x14ac:dyDescent="0.25">
      <c r="A760" t="s">
        <v>5336</v>
      </c>
      <c r="B760" s="27" t="s">
        <v>786</v>
      </c>
      <c r="D760" s="28" t="s">
        <v>778</v>
      </c>
      <c r="E760" s="29" t="s">
        <v>563</v>
      </c>
      <c r="F760" s="30">
        <v>1</v>
      </c>
      <c r="G760" s="31">
        <v>159.59</v>
      </c>
      <c r="H760" s="31">
        <f t="shared" si="126"/>
        <v>159.59</v>
      </c>
      <c r="I760" s="170" t="s">
        <v>2842</v>
      </c>
      <c r="J760" t="s">
        <v>2853</v>
      </c>
      <c r="K760" s="188" t="s">
        <v>2853</v>
      </c>
    </row>
    <row r="761" spans="1:11" x14ac:dyDescent="0.25">
      <c r="A761" t="s">
        <v>5337</v>
      </c>
      <c r="B761" s="27" t="s">
        <v>787</v>
      </c>
      <c r="D761" s="28" t="s">
        <v>778</v>
      </c>
      <c r="E761" s="29" t="s">
        <v>563</v>
      </c>
      <c r="F761" s="30">
        <v>1</v>
      </c>
      <c r="G761" s="31">
        <v>159.59</v>
      </c>
      <c r="H761" s="31">
        <f t="shared" si="126"/>
        <v>159.59</v>
      </c>
      <c r="J761" t="s">
        <v>2853</v>
      </c>
      <c r="K761" s="188" t="s">
        <v>2853</v>
      </c>
    </row>
    <row r="762" spans="1:11" x14ac:dyDescent="0.25">
      <c r="A762" t="s">
        <v>5338</v>
      </c>
      <c r="B762" s="27" t="s">
        <v>788</v>
      </c>
      <c r="D762" s="28" t="s">
        <v>769</v>
      </c>
      <c r="E762" s="29" t="s">
        <v>671</v>
      </c>
      <c r="F762" s="30">
        <v>1</v>
      </c>
      <c r="G762" s="31">
        <v>115.95</v>
      </c>
      <c r="H762" s="31">
        <f t="shared" si="126"/>
        <v>115.95</v>
      </c>
      <c r="J762" t="s">
        <v>2853</v>
      </c>
      <c r="K762" s="188" t="s">
        <v>2853</v>
      </c>
    </row>
    <row r="763" spans="1:11" x14ac:dyDescent="0.25">
      <c r="A763" t="s">
        <v>5339</v>
      </c>
      <c r="B763" s="27" t="s">
        <v>789</v>
      </c>
      <c r="D763" s="28" t="s">
        <v>769</v>
      </c>
      <c r="E763" s="29" t="s">
        <v>671</v>
      </c>
      <c r="F763" s="30">
        <v>1</v>
      </c>
      <c r="G763" s="31">
        <v>115.95</v>
      </c>
      <c r="H763" s="31">
        <f t="shared" si="126"/>
        <v>115.95</v>
      </c>
      <c r="J763" t="s">
        <v>2853</v>
      </c>
      <c r="K763" s="188" t="s">
        <v>2853</v>
      </c>
    </row>
    <row r="764" spans="1:11" x14ac:dyDescent="0.25">
      <c r="A764" t="s">
        <v>5340</v>
      </c>
      <c r="B764" s="27" t="s">
        <v>790</v>
      </c>
      <c r="D764" s="28" t="s">
        <v>772</v>
      </c>
      <c r="E764" s="29" t="s">
        <v>671</v>
      </c>
      <c r="F764" s="30">
        <v>1</v>
      </c>
      <c r="G764" s="31">
        <v>151.75</v>
      </c>
      <c r="H764" s="31">
        <f t="shared" si="126"/>
        <v>151.75</v>
      </c>
      <c r="I764" s="170" t="s">
        <v>2842</v>
      </c>
      <c r="J764" t="s">
        <v>2853</v>
      </c>
      <c r="K764" s="188" t="s">
        <v>2853</v>
      </c>
    </row>
    <row r="765" spans="1:11" x14ac:dyDescent="0.25">
      <c r="A765" t="s">
        <v>5341</v>
      </c>
      <c r="B765" s="27" t="s">
        <v>791</v>
      </c>
      <c r="D765" s="28" t="s">
        <v>772</v>
      </c>
      <c r="E765" s="29" t="s">
        <v>671</v>
      </c>
      <c r="F765" s="30">
        <v>1</v>
      </c>
      <c r="G765" s="31">
        <v>151.75</v>
      </c>
      <c r="H765" s="31">
        <f t="shared" si="126"/>
        <v>151.75</v>
      </c>
      <c r="I765" s="170" t="s">
        <v>2842</v>
      </c>
      <c r="J765" t="s">
        <v>2853</v>
      </c>
      <c r="K765" s="188" t="s">
        <v>2853</v>
      </c>
    </row>
    <row r="766" spans="1:11" x14ac:dyDescent="0.25">
      <c r="A766" t="s">
        <v>5342</v>
      </c>
      <c r="B766" s="27" t="s">
        <v>792</v>
      </c>
      <c r="D766" s="28" t="s">
        <v>775</v>
      </c>
      <c r="E766" s="29" t="s">
        <v>671</v>
      </c>
      <c r="F766" s="30">
        <v>1</v>
      </c>
      <c r="G766" s="31">
        <v>155.65</v>
      </c>
      <c r="H766" s="31">
        <f t="shared" si="126"/>
        <v>155.65</v>
      </c>
      <c r="I766" s="170" t="s">
        <v>2842</v>
      </c>
      <c r="J766" t="s">
        <v>2853</v>
      </c>
      <c r="K766" s="188" t="s">
        <v>2853</v>
      </c>
    </row>
    <row r="767" spans="1:11" x14ac:dyDescent="0.25">
      <c r="A767" t="s">
        <v>5343</v>
      </c>
      <c r="B767" s="27" t="s">
        <v>793</v>
      </c>
      <c r="D767" s="28" t="s">
        <v>775</v>
      </c>
      <c r="E767" s="29" t="s">
        <v>671</v>
      </c>
      <c r="F767" s="30">
        <v>1</v>
      </c>
      <c r="G767" s="31">
        <v>155.65</v>
      </c>
      <c r="H767" s="31">
        <f t="shared" si="126"/>
        <v>155.65</v>
      </c>
      <c r="I767" s="170" t="s">
        <v>2842</v>
      </c>
      <c r="J767" t="s">
        <v>2853</v>
      </c>
      <c r="K767" s="188" t="s">
        <v>2853</v>
      </c>
    </row>
    <row r="768" spans="1:11" x14ac:dyDescent="0.25">
      <c r="A768" t="s">
        <v>5344</v>
      </c>
      <c r="B768" s="27" t="s">
        <v>794</v>
      </c>
      <c r="D768" s="28" t="s">
        <v>778</v>
      </c>
      <c r="E768" s="29" t="s">
        <v>671</v>
      </c>
      <c r="F768" s="30">
        <v>1</v>
      </c>
      <c r="G768" s="31">
        <v>159.59</v>
      </c>
      <c r="H768" s="31">
        <f t="shared" si="126"/>
        <v>159.59</v>
      </c>
      <c r="I768" s="170" t="s">
        <v>2842</v>
      </c>
      <c r="J768" t="s">
        <v>2853</v>
      </c>
      <c r="K768" s="188" t="s">
        <v>2853</v>
      </c>
    </row>
    <row r="769" spans="1:11" x14ac:dyDescent="0.25">
      <c r="A769" t="s">
        <v>5345</v>
      </c>
      <c r="B769" s="27" t="s">
        <v>795</v>
      </c>
      <c r="D769" s="28" t="s">
        <v>778</v>
      </c>
      <c r="E769" s="29" t="s">
        <v>671</v>
      </c>
      <c r="F769" s="30">
        <v>1</v>
      </c>
      <c r="G769" s="31">
        <v>159.59</v>
      </c>
      <c r="H769" s="31">
        <f t="shared" si="126"/>
        <v>159.59</v>
      </c>
      <c r="I769" s="170" t="s">
        <v>2842</v>
      </c>
      <c r="J769" t="s">
        <v>2853</v>
      </c>
      <c r="K769" s="188" t="s">
        <v>2853</v>
      </c>
    </row>
    <row r="770" spans="1:11" x14ac:dyDescent="0.25">
      <c r="I770" s="170" t="s">
        <v>2842</v>
      </c>
      <c r="J770" t="s">
        <v>2853</v>
      </c>
      <c r="K770" s="188" t="s">
        <v>2853</v>
      </c>
    </row>
    <row r="771" spans="1:11" x14ac:dyDescent="0.25">
      <c r="B771" s="27" t="s">
        <v>796</v>
      </c>
      <c r="C771" s="50"/>
      <c r="D771" s="46"/>
      <c r="E771" s="53"/>
      <c r="F771" s="52"/>
      <c r="G771" s="24"/>
      <c r="H771" s="24"/>
      <c r="I771" s="170" t="s">
        <v>2842</v>
      </c>
      <c r="J771" t="s">
        <v>2853</v>
      </c>
      <c r="K771" s="188" t="s">
        <v>2853</v>
      </c>
    </row>
    <row r="772" spans="1:11" x14ac:dyDescent="0.25">
      <c r="I772" s="170" t="s">
        <v>2842</v>
      </c>
      <c r="J772" t="s">
        <v>2853</v>
      </c>
      <c r="K772" s="188" t="s">
        <v>2853</v>
      </c>
    </row>
    <row r="773" spans="1:11" x14ac:dyDescent="0.25">
      <c r="A773" t="s">
        <v>5346</v>
      </c>
      <c r="B773" s="27" t="s">
        <v>797</v>
      </c>
      <c r="D773" s="28" t="s">
        <v>798</v>
      </c>
      <c r="E773" s="29" t="s">
        <v>21</v>
      </c>
      <c r="F773" s="30">
        <v>1</v>
      </c>
      <c r="G773" s="31">
        <v>100.63</v>
      </c>
      <c r="H773" s="31">
        <f t="shared" ref="H773:H796" si="127">+F773*G773</f>
        <v>100.63</v>
      </c>
      <c r="I773" s="170" t="s">
        <v>2842</v>
      </c>
      <c r="J773" t="s">
        <v>2853</v>
      </c>
      <c r="K773" s="188" t="s">
        <v>2853</v>
      </c>
    </row>
    <row r="774" spans="1:11" x14ac:dyDescent="0.25">
      <c r="A774" t="s">
        <v>5347</v>
      </c>
      <c r="B774" s="27" t="s">
        <v>799</v>
      </c>
      <c r="D774" s="28" t="s">
        <v>798</v>
      </c>
      <c r="E774" s="29" t="s">
        <v>21</v>
      </c>
      <c r="F774" s="30">
        <v>1</v>
      </c>
      <c r="G774" s="31">
        <v>100.63</v>
      </c>
      <c r="H774" s="31">
        <f t="shared" si="127"/>
        <v>100.63</v>
      </c>
      <c r="I774" s="170" t="s">
        <v>2842</v>
      </c>
      <c r="J774" t="s">
        <v>2853</v>
      </c>
      <c r="K774" s="188" t="s">
        <v>2853</v>
      </c>
    </row>
    <row r="775" spans="1:11" x14ac:dyDescent="0.25">
      <c r="A775" t="s">
        <v>5348</v>
      </c>
      <c r="B775" s="27" t="s">
        <v>800</v>
      </c>
      <c r="D775" s="28" t="s">
        <v>801</v>
      </c>
      <c r="E775" s="29" t="s">
        <v>21</v>
      </c>
      <c r="F775" s="30">
        <v>1</v>
      </c>
      <c r="G775" s="31">
        <v>119.82</v>
      </c>
      <c r="H775" s="31">
        <f t="shared" si="127"/>
        <v>119.82</v>
      </c>
      <c r="I775" s="170" t="s">
        <v>2842</v>
      </c>
      <c r="J775" t="s">
        <v>2853</v>
      </c>
      <c r="K775" s="188" t="s">
        <v>2853</v>
      </c>
    </row>
    <row r="776" spans="1:11" x14ac:dyDescent="0.25">
      <c r="A776" t="s">
        <v>5349</v>
      </c>
      <c r="B776" s="27" t="s">
        <v>802</v>
      </c>
      <c r="D776" s="28" t="s">
        <v>801</v>
      </c>
      <c r="E776" s="29" t="s">
        <v>21</v>
      </c>
      <c r="F776" s="30">
        <v>1</v>
      </c>
      <c r="G776" s="31">
        <v>119.82</v>
      </c>
      <c r="H776" s="31">
        <f t="shared" si="127"/>
        <v>119.82</v>
      </c>
      <c r="I776" s="170" t="s">
        <v>2842</v>
      </c>
      <c r="J776" t="s">
        <v>2853</v>
      </c>
      <c r="K776" s="188" t="s">
        <v>2853</v>
      </c>
    </row>
    <row r="777" spans="1:11" x14ac:dyDescent="0.25">
      <c r="A777" t="s">
        <v>5350</v>
      </c>
      <c r="B777" s="27" t="s">
        <v>803</v>
      </c>
      <c r="D777" s="28" t="s">
        <v>804</v>
      </c>
      <c r="E777" s="29" t="s">
        <v>21</v>
      </c>
      <c r="F777" s="30">
        <v>1</v>
      </c>
      <c r="G777" s="31">
        <v>138.96</v>
      </c>
      <c r="H777" s="31">
        <f t="shared" si="127"/>
        <v>138.96</v>
      </c>
      <c r="I777" s="170" t="s">
        <v>2842</v>
      </c>
      <c r="J777" t="s">
        <v>2853</v>
      </c>
      <c r="K777" s="188" t="s">
        <v>2853</v>
      </c>
    </row>
    <row r="778" spans="1:11" x14ac:dyDescent="0.25">
      <c r="A778" t="s">
        <v>5351</v>
      </c>
      <c r="B778" s="27" t="s">
        <v>805</v>
      </c>
      <c r="D778" s="28" t="s">
        <v>804</v>
      </c>
      <c r="E778" s="29" t="s">
        <v>21</v>
      </c>
      <c r="F778" s="30">
        <v>1</v>
      </c>
      <c r="G778" s="31">
        <v>138.96</v>
      </c>
      <c r="H778" s="31">
        <f t="shared" si="127"/>
        <v>138.96</v>
      </c>
      <c r="I778" s="170" t="s">
        <v>2842</v>
      </c>
      <c r="J778" t="s">
        <v>2853</v>
      </c>
      <c r="K778" s="188" t="s">
        <v>2853</v>
      </c>
    </row>
    <row r="779" spans="1:11" x14ac:dyDescent="0.25">
      <c r="A779" t="s">
        <v>5352</v>
      </c>
      <c r="B779" s="27" t="s">
        <v>806</v>
      </c>
      <c r="D779" s="28" t="s">
        <v>807</v>
      </c>
      <c r="E779" s="29" t="s">
        <v>21</v>
      </c>
      <c r="F779" s="30">
        <v>1</v>
      </c>
      <c r="G779" s="31">
        <v>158.11000000000001</v>
      </c>
      <c r="H779" s="31">
        <f t="shared" si="127"/>
        <v>158.11000000000001</v>
      </c>
      <c r="I779" s="170" t="s">
        <v>2842</v>
      </c>
      <c r="J779" t="s">
        <v>2853</v>
      </c>
      <c r="K779" s="188" t="s">
        <v>2853</v>
      </c>
    </row>
    <row r="780" spans="1:11" x14ac:dyDescent="0.25">
      <c r="A780" t="s">
        <v>5353</v>
      </c>
      <c r="B780" s="27" t="s">
        <v>808</v>
      </c>
      <c r="D780" s="28" t="s">
        <v>807</v>
      </c>
      <c r="E780" s="29" t="s">
        <v>21</v>
      </c>
      <c r="F780" s="30">
        <v>1</v>
      </c>
      <c r="G780" s="31">
        <v>158.11000000000001</v>
      </c>
      <c r="H780" s="31">
        <f t="shared" si="127"/>
        <v>158.11000000000001</v>
      </c>
      <c r="I780" s="170" t="s">
        <v>2842</v>
      </c>
      <c r="J780" t="s">
        <v>2853</v>
      </c>
      <c r="K780" s="188" t="s">
        <v>2853</v>
      </c>
    </row>
    <row r="781" spans="1:11" x14ac:dyDescent="0.25">
      <c r="A781" t="s">
        <v>5354</v>
      </c>
      <c r="B781" s="27" t="s">
        <v>809</v>
      </c>
      <c r="D781" s="28" t="s">
        <v>798</v>
      </c>
      <c r="E781" s="29" t="s">
        <v>563</v>
      </c>
      <c r="F781" s="30">
        <v>1</v>
      </c>
      <c r="G781" s="31">
        <v>108.82</v>
      </c>
      <c r="H781" s="31">
        <f t="shared" si="127"/>
        <v>108.82</v>
      </c>
      <c r="I781" s="170" t="s">
        <v>2842</v>
      </c>
      <c r="J781" t="s">
        <v>2853</v>
      </c>
      <c r="K781" s="188" t="s">
        <v>2853</v>
      </c>
    </row>
    <row r="782" spans="1:11" x14ac:dyDescent="0.25">
      <c r="A782" t="s">
        <v>5355</v>
      </c>
      <c r="B782" s="27" t="s">
        <v>810</v>
      </c>
      <c r="D782" s="28" t="s">
        <v>798</v>
      </c>
      <c r="E782" s="29" t="s">
        <v>563</v>
      </c>
      <c r="F782" s="30">
        <v>1</v>
      </c>
      <c r="G782" s="31">
        <v>108.82</v>
      </c>
      <c r="H782" s="31">
        <f t="shared" si="127"/>
        <v>108.82</v>
      </c>
      <c r="I782" s="170" t="s">
        <v>2842</v>
      </c>
      <c r="J782" t="s">
        <v>2853</v>
      </c>
      <c r="K782" s="188" t="s">
        <v>2853</v>
      </c>
    </row>
    <row r="783" spans="1:11" x14ac:dyDescent="0.25">
      <c r="A783" t="s">
        <v>5356</v>
      </c>
      <c r="B783" s="27" t="s">
        <v>811</v>
      </c>
      <c r="D783" s="28" t="s">
        <v>801</v>
      </c>
      <c r="E783" s="29" t="s">
        <v>563</v>
      </c>
      <c r="F783" s="30">
        <v>1</v>
      </c>
      <c r="G783" s="31">
        <v>128.01</v>
      </c>
      <c r="H783" s="31">
        <f t="shared" si="127"/>
        <v>128.01</v>
      </c>
      <c r="I783" s="170" t="s">
        <v>2842</v>
      </c>
      <c r="J783" t="s">
        <v>2853</v>
      </c>
      <c r="K783" s="188" t="s">
        <v>2853</v>
      </c>
    </row>
    <row r="784" spans="1:11" x14ac:dyDescent="0.25">
      <c r="A784" t="s">
        <v>5357</v>
      </c>
      <c r="B784" s="27" t="s">
        <v>812</v>
      </c>
      <c r="D784" s="28" t="s">
        <v>801</v>
      </c>
      <c r="E784" s="29" t="s">
        <v>563</v>
      </c>
      <c r="F784" s="30">
        <v>1</v>
      </c>
      <c r="G784" s="31">
        <v>128.01</v>
      </c>
      <c r="H784" s="31">
        <f t="shared" si="127"/>
        <v>128.01</v>
      </c>
      <c r="I784" s="170" t="s">
        <v>2842</v>
      </c>
      <c r="J784" t="s">
        <v>2853</v>
      </c>
      <c r="K784" s="188" t="s">
        <v>2853</v>
      </c>
    </row>
    <row r="785" spans="1:11" x14ac:dyDescent="0.25">
      <c r="A785" t="s">
        <v>5358</v>
      </c>
      <c r="B785" s="27" t="s">
        <v>813</v>
      </c>
      <c r="D785" s="28" t="s">
        <v>804</v>
      </c>
      <c r="E785" s="29" t="s">
        <v>563</v>
      </c>
      <c r="F785" s="30">
        <v>1</v>
      </c>
      <c r="G785" s="31">
        <v>147.16</v>
      </c>
      <c r="H785" s="31">
        <f t="shared" si="127"/>
        <v>147.16</v>
      </c>
      <c r="I785" s="170" t="s">
        <v>2842</v>
      </c>
      <c r="J785" t="s">
        <v>2853</v>
      </c>
      <c r="K785" s="188" t="s">
        <v>2853</v>
      </c>
    </row>
    <row r="786" spans="1:11" x14ac:dyDescent="0.25">
      <c r="A786" t="s">
        <v>5359</v>
      </c>
      <c r="B786" s="27" t="s">
        <v>814</v>
      </c>
      <c r="D786" s="28" t="s">
        <v>804</v>
      </c>
      <c r="E786" s="29" t="s">
        <v>563</v>
      </c>
      <c r="F786" s="30">
        <v>1</v>
      </c>
      <c r="G786" s="31">
        <v>147.16</v>
      </c>
      <c r="H786" s="31">
        <f t="shared" si="127"/>
        <v>147.16</v>
      </c>
      <c r="I786" s="170" t="s">
        <v>2842</v>
      </c>
      <c r="J786" t="s">
        <v>2853</v>
      </c>
      <c r="K786" s="188" t="s">
        <v>2853</v>
      </c>
    </row>
    <row r="787" spans="1:11" x14ac:dyDescent="0.25">
      <c r="A787" t="s">
        <v>5360</v>
      </c>
      <c r="B787" s="27" t="s">
        <v>815</v>
      </c>
      <c r="D787" s="28" t="s">
        <v>807</v>
      </c>
      <c r="E787" s="29" t="s">
        <v>563</v>
      </c>
      <c r="F787" s="30">
        <v>1</v>
      </c>
      <c r="G787" s="31">
        <v>166.32</v>
      </c>
      <c r="H787" s="31">
        <f t="shared" si="127"/>
        <v>166.32</v>
      </c>
      <c r="I787" s="170" t="s">
        <v>2842</v>
      </c>
      <c r="J787" t="s">
        <v>2853</v>
      </c>
      <c r="K787" s="188" t="s">
        <v>2853</v>
      </c>
    </row>
    <row r="788" spans="1:11" x14ac:dyDescent="0.25">
      <c r="A788" t="s">
        <v>5361</v>
      </c>
      <c r="B788" s="27" t="s">
        <v>816</v>
      </c>
      <c r="D788" s="28" t="s">
        <v>807</v>
      </c>
      <c r="E788" s="29" t="s">
        <v>563</v>
      </c>
      <c r="F788" s="30">
        <v>1</v>
      </c>
      <c r="G788" s="31">
        <v>166.32</v>
      </c>
      <c r="H788" s="31">
        <f t="shared" si="127"/>
        <v>166.32</v>
      </c>
      <c r="J788" t="s">
        <v>2853</v>
      </c>
      <c r="K788" s="188" t="s">
        <v>2853</v>
      </c>
    </row>
    <row r="789" spans="1:11" x14ac:dyDescent="0.25">
      <c r="A789" t="s">
        <v>5362</v>
      </c>
      <c r="B789" s="27" t="s">
        <v>817</v>
      </c>
      <c r="D789" s="28" t="s">
        <v>798</v>
      </c>
      <c r="E789" s="29" t="s">
        <v>671</v>
      </c>
      <c r="F789" s="30">
        <v>1</v>
      </c>
      <c r="G789" s="31">
        <v>108.82</v>
      </c>
      <c r="H789" s="31">
        <f t="shared" si="127"/>
        <v>108.82</v>
      </c>
      <c r="J789" t="s">
        <v>2853</v>
      </c>
      <c r="K789" s="188" t="s">
        <v>2853</v>
      </c>
    </row>
    <row r="790" spans="1:11" x14ac:dyDescent="0.25">
      <c r="A790" t="s">
        <v>5363</v>
      </c>
      <c r="B790" s="27" t="s">
        <v>818</v>
      </c>
      <c r="D790" s="28" t="s">
        <v>798</v>
      </c>
      <c r="E790" s="29" t="s">
        <v>671</v>
      </c>
      <c r="F790" s="30">
        <v>1</v>
      </c>
      <c r="G790" s="31">
        <v>108.82</v>
      </c>
      <c r="H790" s="31">
        <f t="shared" si="127"/>
        <v>108.82</v>
      </c>
      <c r="J790" t="s">
        <v>2853</v>
      </c>
      <c r="K790" s="188" t="s">
        <v>2853</v>
      </c>
    </row>
    <row r="791" spans="1:11" x14ac:dyDescent="0.25">
      <c r="A791" t="s">
        <v>5364</v>
      </c>
      <c r="B791" s="27" t="s">
        <v>819</v>
      </c>
      <c r="D791" s="28" t="s">
        <v>801</v>
      </c>
      <c r="E791" s="29" t="s">
        <v>671</v>
      </c>
      <c r="F791" s="30">
        <v>1</v>
      </c>
      <c r="G791" s="31">
        <v>128.01</v>
      </c>
      <c r="H791" s="31">
        <f t="shared" si="127"/>
        <v>128.01</v>
      </c>
      <c r="I791" s="170" t="s">
        <v>2842</v>
      </c>
      <c r="J791" t="s">
        <v>2853</v>
      </c>
      <c r="K791" s="188" t="s">
        <v>2853</v>
      </c>
    </row>
    <row r="792" spans="1:11" x14ac:dyDescent="0.25">
      <c r="A792" t="s">
        <v>5365</v>
      </c>
      <c r="B792" s="27" t="s">
        <v>820</v>
      </c>
      <c r="D792" s="28" t="s">
        <v>801</v>
      </c>
      <c r="E792" s="29" t="s">
        <v>671</v>
      </c>
      <c r="F792" s="30">
        <v>1</v>
      </c>
      <c r="G792" s="31">
        <v>128.01</v>
      </c>
      <c r="H792" s="31">
        <f t="shared" si="127"/>
        <v>128.01</v>
      </c>
      <c r="I792" s="170" t="s">
        <v>2842</v>
      </c>
      <c r="J792" t="s">
        <v>2853</v>
      </c>
      <c r="K792" s="188" t="s">
        <v>2853</v>
      </c>
    </row>
    <row r="793" spans="1:11" x14ac:dyDescent="0.25">
      <c r="A793" t="s">
        <v>5366</v>
      </c>
      <c r="B793" s="27" t="s">
        <v>821</v>
      </c>
      <c r="D793" s="28" t="s">
        <v>804</v>
      </c>
      <c r="E793" s="29" t="s">
        <v>671</v>
      </c>
      <c r="F793" s="30">
        <v>1</v>
      </c>
      <c r="G793" s="31">
        <v>147.16</v>
      </c>
      <c r="H793" s="31">
        <f t="shared" si="127"/>
        <v>147.16</v>
      </c>
      <c r="I793" s="170" t="s">
        <v>2842</v>
      </c>
      <c r="J793" t="s">
        <v>2853</v>
      </c>
      <c r="K793" s="188" t="s">
        <v>2853</v>
      </c>
    </row>
    <row r="794" spans="1:11" x14ac:dyDescent="0.25">
      <c r="A794" t="s">
        <v>5367</v>
      </c>
      <c r="B794" s="27" t="s">
        <v>822</v>
      </c>
      <c r="D794" s="28" t="s">
        <v>804</v>
      </c>
      <c r="E794" s="29" t="s">
        <v>671</v>
      </c>
      <c r="F794" s="30">
        <v>1</v>
      </c>
      <c r="G794" s="31">
        <v>147.16</v>
      </c>
      <c r="H794" s="31">
        <f t="shared" si="127"/>
        <v>147.16</v>
      </c>
      <c r="I794" s="170" t="s">
        <v>2842</v>
      </c>
      <c r="J794" t="s">
        <v>2853</v>
      </c>
      <c r="K794" s="188" t="s">
        <v>2853</v>
      </c>
    </row>
    <row r="795" spans="1:11" x14ac:dyDescent="0.25">
      <c r="A795" t="s">
        <v>5368</v>
      </c>
      <c r="B795" s="27" t="s">
        <v>823</v>
      </c>
      <c r="D795" s="28" t="s">
        <v>807</v>
      </c>
      <c r="E795" s="29" t="s">
        <v>671</v>
      </c>
      <c r="F795" s="30">
        <v>1</v>
      </c>
      <c r="G795" s="31">
        <v>166.32</v>
      </c>
      <c r="H795" s="31">
        <f t="shared" si="127"/>
        <v>166.32</v>
      </c>
      <c r="I795" s="170" t="s">
        <v>2842</v>
      </c>
      <c r="J795" t="s">
        <v>2853</v>
      </c>
      <c r="K795" s="188" t="s">
        <v>2853</v>
      </c>
    </row>
    <row r="796" spans="1:11" x14ac:dyDescent="0.25">
      <c r="A796" t="s">
        <v>5369</v>
      </c>
      <c r="B796" s="27" t="s">
        <v>824</v>
      </c>
      <c r="D796" s="28" t="s">
        <v>807</v>
      </c>
      <c r="E796" s="29" t="s">
        <v>671</v>
      </c>
      <c r="F796" s="30">
        <v>1</v>
      </c>
      <c r="G796" s="31">
        <v>166.32</v>
      </c>
      <c r="H796" s="31">
        <f t="shared" si="127"/>
        <v>166.32</v>
      </c>
      <c r="I796" s="170" t="s">
        <v>2842</v>
      </c>
      <c r="J796" t="s">
        <v>2853</v>
      </c>
      <c r="K796" s="188" t="s">
        <v>2853</v>
      </c>
    </row>
    <row r="797" spans="1:11" x14ac:dyDescent="0.25">
      <c r="I797" s="170" t="s">
        <v>2842</v>
      </c>
      <c r="J797" t="s">
        <v>2853</v>
      </c>
      <c r="K797" s="188" t="s">
        <v>2853</v>
      </c>
    </row>
    <row r="798" spans="1:11" ht="30" x14ac:dyDescent="0.4">
      <c r="B798" s="171" t="s">
        <v>2937</v>
      </c>
      <c r="C798" s="25"/>
      <c r="D798" s="25"/>
      <c r="E798" s="25"/>
      <c r="F798" s="25"/>
      <c r="G798" s="25"/>
      <c r="H798" s="25"/>
      <c r="I798" s="170" t="s">
        <v>2842</v>
      </c>
      <c r="J798" t="s">
        <v>2853</v>
      </c>
      <c r="K798" s="188" t="s">
        <v>2853</v>
      </c>
    </row>
    <row r="799" spans="1:11" x14ac:dyDescent="0.25">
      <c r="B799" s="50"/>
      <c r="C799" s="50"/>
      <c r="D799" s="46"/>
      <c r="E799" s="53"/>
      <c r="F799" s="52"/>
      <c r="G799" s="24"/>
      <c r="H799" s="24"/>
      <c r="I799" s="170" t="s">
        <v>2842</v>
      </c>
      <c r="J799" t="s">
        <v>2853</v>
      </c>
      <c r="K799" s="188" t="s">
        <v>2853</v>
      </c>
    </row>
    <row r="800" spans="1:11" x14ac:dyDescent="0.25">
      <c r="A800" t="s">
        <v>5370</v>
      </c>
      <c r="B800" s="27" t="s">
        <v>825</v>
      </c>
      <c r="D800" s="28" t="s">
        <v>2938</v>
      </c>
      <c r="E800" s="29" t="s">
        <v>21</v>
      </c>
      <c r="F800" s="30">
        <v>1</v>
      </c>
      <c r="G800" s="31">
        <v>178.49</v>
      </c>
      <c r="H800" s="31">
        <f t="shared" ref="H800:H863" si="128">+F800*G800</f>
        <v>178.49</v>
      </c>
      <c r="I800" s="170" t="s">
        <v>2842</v>
      </c>
      <c r="J800" t="s">
        <v>2853</v>
      </c>
      <c r="K800" s="188" t="s">
        <v>2853</v>
      </c>
    </row>
    <row r="801" spans="1:11" x14ac:dyDescent="0.25">
      <c r="A801" t="s">
        <v>5371</v>
      </c>
      <c r="B801" s="27" t="s">
        <v>826</v>
      </c>
      <c r="D801" s="28" t="s">
        <v>2939</v>
      </c>
      <c r="E801" s="29" t="s">
        <v>21</v>
      </c>
      <c r="F801" s="30">
        <v>1</v>
      </c>
      <c r="G801" s="31">
        <v>178.49</v>
      </c>
      <c r="H801" s="31">
        <f t="shared" si="128"/>
        <v>178.49</v>
      </c>
      <c r="I801" s="170" t="s">
        <v>2842</v>
      </c>
      <c r="J801" t="s">
        <v>2853</v>
      </c>
      <c r="K801" s="188" t="s">
        <v>2853</v>
      </c>
    </row>
    <row r="802" spans="1:11" x14ac:dyDescent="0.25">
      <c r="A802" t="s">
        <v>5372</v>
      </c>
      <c r="B802" s="27" t="s">
        <v>827</v>
      </c>
      <c r="D802" s="28" t="s">
        <v>2940</v>
      </c>
      <c r="E802" s="29" t="s">
        <v>21</v>
      </c>
      <c r="F802" s="30">
        <v>1</v>
      </c>
      <c r="G802" s="31">
        <v>178.49</v>
      </c>
      <c r="H802" s="31">
        <f t="shared" si="128"/>
        <v>178.49</v>
      </c>
      <c r="I802" s="170" t="s">
        <v>2842</v>
      </c>
      <c r="J802" t="s">
        <v>2853</v>
      </c>
      <c r="K802" s="188" t="s">
        <v>2853</v>
      </c>
    </row>
    <row r="803" spans="1:11" x14ac:dyDescent="0.25">
      <c r="A803" t="s">
        <v>5373</v>
      </c>
      <c r="B803" s="27" t="s">
        <v>828</v>
      </c>
      <c r="D803" s="28" t="s">
        <v>2941</v>
      </c>
      <c r="E803" s="29" t="s">
        <v>563</v>
      </c>
      <c r="F803" s="30">
        <v>1</v>
      </c>
      <c r="G803" s="31">
        <v>178.49</v>
      </c>
      <c r="H803" s="31">
        <f t="shared" si="128"/>
        <v>178.49</v>
      </c>
      <c r="I803" s="170" t="s">
        <v>2842</v>
      </c>
      <c r="J803" t="s">
        <v>2853</v>
      </c>
      <c r="K803" s="188" t="s">
        <v>2853</v>
      </c>
    </row>
    <row r="804" spans="1:11" x14ac:dyDescent="0.25">
      <c r="A804" t="s">
        <v>5374</v>
      </c>
      <c r="B804" s="27" t="s">
        <v>829</v>
      </c>
      <c r="D804" s="28" t="s">
        <v>2942</v>
      </c>
      <c r="E804" s="29" t="s">
        <v>563</v>
      </c>
      <c r="F804" s="30">
        <v>1</v>
      </c>
      <c r="G804" s="31">
        <v>178.49</v>
      </c>
      <c r="H804" s="31">
        <f t="shared" si="128"/>
        <v>178.49</v>
      </c>
      <c r="I804" s="170" t="s">
        <v>2842</v>
      </c>
      <c r="J804" t="s">
        <v>2853</v>
      </c>
      <c r="K804" s="188" t="s">
        <v>2853</v>
      </c>
    </row>
    <row r="805" spans="1:11" x14ac:dyDescent="0.25">
      <c r="A805" t="s">
        <v>5375</v>
      </c>
      <c r="B805" s="27" t="s">
        <v>830</v>
      </c>
      <c r="D805" s="28" t="s">
        <v>2943</v>
      </c>
      <c r="E805" s="29" t="s">
        <v>563</v>
      </c>
      <c r="F805" s="30">
        <v>1</v>
      </c>
      <c r="G805" s="31">
        <v>178.49</v>
      </c>
      <c r="H805" s="31">
        <f t="shared" si="128"/>
        <v>178.49</v>
      </c>
      <c r="I805" s="170" t="s">
        <v>2842</v>
      </c>
      <c r="J805" t="s">
        <v>2853</v>
      </c>
      <c r="K805" s="188" t="s">
        <v>2853</v>
      </c>
    </row>
    <row r="806" spans="1:11" x14ac:dyDescent="0.25">
      <c r="A806" t="s">
        <v>5376</v>
      </c>
      <c r="B806" s="27" t="s">
        <v>831</v>
      </c>
      <c r="D806" s="28" t="s">
        <v>2944</v>
      </c>
      <c r="E806" s="29" t="s">
        <v>671</v>
      </c>
      <c r="F806" s="30">
        <v>1</v>
      </c>
      <c r="G806" s="31">
        <v>178.49</v>
      </c>
      <c r="H806" s="31">
        <f t="shared" si="128"/>
        <v>178.49</v>
      </c>
      <c r="I806" s="170" t="s">
        <v>2842</v>
      </c>
      <c r="J806" t="s">
        <v>2853</v>
      </c>
      <c r="K806" s="188" t="s">
        <v>2853</v>
      </c>
    </row>
    <row r="807" spans="1:11" x14ac:dyDescent="0.25">
      <c r="A807" t="s">
        <v>5377</v>
      </c>
      <c r="B807" s="27" t="s">
        <v>832</v>
      </c>
      <c r="D807" s="28" t="s">
        <v>2945</v>
      </c>
      <c r="E807" s="29" t="s">
        <v>671</v>
      </c>
      <c r="F807" s="30">
        <v>1</v>
      </c>
      <c r="G807" s="31">
        <v>178.49</v>
      </c>
      <c r="H807" s="31">
        <f t="shared" si="128"/>
        <v>178.49</v>
      </c>
      <c r="I807" s="170" t="s">
        <v>2842</v>
      </c>
      <c r="J807" t="s">
        <v>2853</v>
      </c>
      <c r="K807" s="188" t="s">
        <v>2853</v>
      </c>
    </row>
    <row r="808" spans="1:11" x14ac:dyDescent="0.25">
      <c r="A808" t="s">
        <v>5378</v>
      </c>
      <c r="B808" s="27" t="s">
        <v>833</v>
      </c>
      <c r="D808" s="28" t="s">
        <v>2946</v>
      </c>
      <c r="E808" s="29" t="s">
        <v>671</v>
      </c>
      <c r="F808" s="30">
        <v>1</v>
      </c>
      <c r="G808" s="31">
        <v>178.49</v>
      </c>
      <c r="H808" s="31">
        <f t="shared" si="128"/>
        <v>178.49</v>
      </c>
      <c r="I808" s="170" t="s">
        <v>2842</v>
      </c>
      <c r="J808" t="s">
        <v>2853</v>
      </c>
      <c r="K808" s="188" t="s">
        <v>2853</v>
      </c>
    </row>
    <row r="809" spans="1:11" x14ac:dyDescent="0.25">
      <c r="A809" t="s">
        <v>5379</v>
      </c>
      <c r="B809" s="27" t="s">
        <v>834</v>
      </c>
      <c r="D809" s="28" t="s">
        <v>2947</v>
      </c>
      <c r="E809" s="29" t="s">
        <v>21</v>
      </c>
      <c r="F809" s="30">
        <v>1</v>
      </c>
      <c r="G809" s="31">
        <v>211.55</v>
      </c>
      <c r="H809" s="31">
        <f t="shared" si="128"/>
        <v>211.55</v>
      </c>
      <c r="I809" s="170" t="s">
        <v>2842</v>
      </c>
      <c r="J809" t="s">
        <v>2853</v>
      </c>
      <c r="K809" s="188" t="s">
        <v>2853</v>
      </c>
    </row>
    <row r="810" spans="1:11" x14ac:dyDescent="0.25">
      <c r="A810" t="s">
        <v>5380</v>
      </c>
      <c r="B810" s="27" t="s">
        <v>835</v>
      </c>
      <c r="D810" s="28" t="s">
        <v>2948</v>
      </c>
      <c r="E810" s="29" t="s">
        <v>21</v>
      </c>
      <c r="F810" s="30">
        <v>1</v>
      </c>
      <c r="G810" s="31">
        <v>211.55</v>
      </c>
      <c r="H810" s="31">
        <f t="shared" si="128"/>
        <v>211.55</v>
      </c>
      <c r="I810" s="170" t="s">
        <v>2842</v>
      </c>
      <c r="J810" t="s">
        <v>2853</v>
      </c>
      <c r="K810" s="188" t="s">
        <v>2853</v>
      </c>
    </row>
    <row r="811" spans="1:11" x14ac:dyDescent="0.25">
      <c r="A811" t="s">
        <v>5381</v>
      </c>
      <c r="B811" s="27" t="s">
        <v>836</v>
      </c>
      <c r="D811" s="28" t="s">
        <v>2949</v>
      </c>
      <c r="E811" s="29" t="s">
        <v>21</v>
      </c>
      <c r="F811" s="30">
        <v>1</v>
      </c>
      <c r="G811" s="31">
        <v>211.55</v>
      </c>
      <c r="H811" s="31">
        <f t="shared" si="128"/>
        <v>211.55</v>
      </c>
      <c r="I811" s="170" t="s">
        <v>2842</v>
      </c>
      <c r="J811" t="s">
        <v>2853</v>
      </c>
      <c r="K811" s="188" t="s">
        <v>2853</v>
      </c>
    </row>
    <row r="812" spans="1:11" x14ac:dyDescent="0.25">
      <c r="A812" t="s">
        <v>5382</v>
      </c>
      <c r="B812" s="27" t="s">
        <v>837</v>
      </c>
      <c r="D812" s="28" t="s">
        <v>2950</v>
      </c>
      <c r="E812" s="29" t="s">
        <v>563</v>
      </c>
      <c r="F812" s="30">
        <v>1</v>
      </c>
      <c r="G812" s="31">
        <v>211.55</v>
      </c>
      <c r="H812" s="31">
        <f t="shared" si="128"/>
        <v>211.55</v>
      </c>
      <c r="I812" s="170" t="s">
        <v>2842</v>
      </c>
      <c r="J812" t="s">
        <v>2853</v>
      </c>
      <c r="K812" s="188" t="s">
        <v>2853</v>
      </c>
    </row>
    <row r="813" spans="1:11" x14ac:dyDescent="0.25">
      <c r="A813" t="s">
        <v>5383</v>
      </c>
      <c r="B813" s="27" t="s">
        <v>838</v>
      </c>
      <c r="D813" s="28" t="s">
        <v>2951</v>
      </c>
      <c r="E813" s="29" t="s">
        <v>563</v>
      </c>
      <c r="F813" s="30">
        <v>1</v>
      </c>
      <c r="G813" s="31">
        <v>211.55</v>
      </c>
      <c r="H813" s="31">
        <f t="shared" si="128"/>
        <v>211.55</v>
      </c>
      <c r="I813" s="170" t="s">
        <v>2842</v>
      </c>
      <c r="J813" t="s">
        <v>2853</v>
      </c>
      <c r="K813" s="188" t="s">
        <v>2853</v>
      </c>
    </row>
    <row r="814" spans="1:11" x14ac:dyDescent="0.25">
      <c r="A814" t="s">
        <v>5384</v>
      </c>
      <c r="B814" s="27" t="s">
        <v>839</v>
      </c>
      <c r="D814" s="28" t="s">
        <v>2952</v>
      </c>
      <c r="E814" s="29" t="s">
        <v>563</v>
      </c>
      <c r="F814" s="30">
        <v>1</v>
      </c>
      <c r="G814" s="31">
        <v>211.55</v>
      </c>
      <c r="H814" s="31">
        <f t="shared" si="128"/>
        <v>211.55</v>
      </c>
      <c r="I814" s="170" t="s">
        <v>2842</v>
      </c>
      <c r="J814" t="s">
        <v>2853</v>
      </c>
      <c r="K814" s="188" t="s">
        <v>2853</v>
      </c>
    </row>
    <row r="815" spans="1:11" x14ac:dyDescent="0.25">
      <c r="A815" t="s">
        <v>5385</v>
      </c>
      <c r="B815" s="27" t="s">
        <v>840</v>
      </c>
      <c r="D815" s="28" t="s">
        <v>2953</v>
      </c>
      <c r="E815" s="29" t="s">
        <v>671</v>
      </c>
      <c r="F815" s="30">
        <v>1</v>
      </c>
      <c r="G815" s="31">
        <v>211.55</v>
      </c>
      <c r="H815" s="31">
        <f t="shared" si="128"/>
        <v>211.55</v>
      </c>
      <c r="I815" s="170" t="s">
        <v>2842</v>
      </c>
      <c r="J815" t="s">
        <v>2853</v>
      </c>
      <c r="K815" s="188" t="s">
        <v>2853</v>
      </c>
    </row>
    <row r="816" spans="1:11" x14ac:dyDescent="0.25">
      <c r="A816" t="s">
        <v>5386</v>
      </c>
      <c r="B816" s="27" t="s">
        <v>841</v>
      </c>
      <c r="D816" s="28" t="s">
        <v>2954</v>
      </c>
      <c r="E816" s="29" t="s">
        <v>671</v>
      </c>
      <c r="F816" s="30">
        <v>1</v>
      </c>
      <c r="G816" s="31">
        <v>211.55</v>
      </c>
      <c r="H816" s="31">
        <f t="shared" si="128"/>
        <v>211.55</v>
      </c>
      <c r="I816" s="170" t="s">
        <v>2842</v>
      </c>
      <c r="J816" t="s">
        <v>2853</v>
      </c>
      <c r="K816" s="188" t="s">
        <v>2853</v>
      </c>
    </row>
    <row r="817" spans="1:11" x14ac:dyDescent="0.25">
      <c r="A817" t="s">
        <v>5387</v>
      </c>
      <c r="B817" s="27" t="s">
        <v>842</v>
      </c>
      <c r="D817" s="28" t="s">
        <v>2955</v>
      </c>
      <c r="E817" s="29" t="s">
        <v>671</v>
      </c>
      <c r="F817" s="30">
        <v>1</v>
      </c>
      <c r="G817" s="31">
        <v>211.55</v>
      </c>
      <c r="H817" s="31">
        <f t="shared" si="128"/>
        <v>211.55</v>
      </c>
      <c r="I817" s="170" t="s">
        <v>2842</v>
      </c>
      <c r="J817" t="s">
        <v>2853</v>
      </c>
      <c r="K817" s="188" t="s">
        <v>2853</v>
      </c>
    </row>
    <row r="818" spans="1:11" x14ac:dyDescent="0.25">
      <c r="A818" t="s">
        <v>5388</v>
      </c>
      <c r="B818" s="27" t="s">
        <v>843</v>
      </c>
      <c r="D818" s="28" t="s">
        <v>2956</v>
      </c>
      <c r="E818" s="29" t="s">
        <v>21</v>
      </c>
      <c r="F818" s="30">
        <v>1</v>
      </c>
      <c r="G818" s="31">
        <v>237.99</v>
      </c>
      <c r="H818" s="31">
        <f t="shared" si="128"/>
        <v>237.99</v>
      </c>
      <c r="I818" s="170" t="s">
        <v>2842</v>
      </c>
      <c r="J818" t="s">
        <v>2853</v>
      </c>
      <c r="K818" s="188" t="s">
        <v>2853</v>
      </c>
    </row>
    <row r="819" spans="1:11" x14ac:dyDescent="0.25">
      <c r="A819" t="s">
        <v>5389</v>
      </c>
      <c r="B819" s="27" t="s">
        <v>844</v>
      </c>
      <c r="D819" s="28" t="s">
        <v>2957</v>
      </c>
      <c r="E819" s="29" t="s">
        <v>21</v>
      </c>
      <c r="F819" s="30">
        <v>1</v>
      </c>
      <c r="G819" s="31">
        <v>237.99</v>
      </c>
      <c r="H819" s="31">
        <f t="shared" si="128"/>
        <v>237.99</v>
      </c>
      <c r="I819" s="170" t="s">
        <v>2842</v>
      </c>
      <c r="J819" t="s">
        <v>2853</v>
      </c>
      <c r="K819" s="188" t="s">
        <v>2853</v>
      </c>
    </row>
    <row r="820" spans="1:11" x14ac:dyDescent="0.25">
      <c r="A820" t="s">
        <v>5390</v>
      </c>
      <c r="B820" s="27" t="s">
        <v>845</v>
      </c>
      <c r="D820" s="28" t="s">
        <v>2958</v>
      </c>
      <c r="E820" s="29" t="s">
        <v>21</v>
      </c>
      <c r="F820" s="30">
        <v>1</v>
      </c>
      <c r="G820" s="31">
        <v>237.99</v>
      </c>
      <c r="H820" s="31">
        <f t="shared" si="128"/>
        <v>237.99</v>
      </c>
      <c r="I820" s="170" t="s">
        <v>2842</v>
      </c>
      <c r="J820" t="s">
        <v>2853</v>
      </c>
      <c r="K820" s="188" t="s">
        <v>2853</v>
      </c>
    </row>
    <row r="821" spans="1:11" x14ac:dyDescent="0.25">
      <c r="A821" t="s">
        <v>5391</v>
      </c>
      <c r="B821" s="27" t="s">
        <v>846</v>
      </c>
      <c r="D821" s="28" t="s">
        <v>2959</v>
      </c>
      <c r="E821" s="29" t="s">
        <v>563</v>
      </c>
      <c r="F821" s="30">
        <v>1</v>
      </c>
      <c r="G821" s="31">
        <v>237.99</v>
      </c>
      <c r="H821" s="31">
        <f t="shared" si="128"/>
        <v>237.99</v>
      </c>
      <c r="I821" s="170" t="s">
        <v>2842</v>
      </c>
      <c r="J821" t="s">
        <v>2853</v>
      </c>
      <c r="K821" s="188" t="s">
        <v>2853</v>
      </c>
    </row>
    <row r="822" spans="1:11" x14ac:dyDescent="0.25">
      <c r="A822" t="s">
        <v>5392</v>
      </c>
      <c r="B822" s="27" t="s">
        <v>847</v>
      </c>
      <c r="D822" s="28" t="s">
        <v>2960</v>
      </c>
      <c r="E822" s="29" t="s">
        <v>563</v>
      </c>
      <c r="F822" s="30">
        <v>1</v>
      </c>
      <c r="G822" s="31">
        <v>237.99</v>
      </c>
      <c r="H822" s="31">
        <f t="shared" si="128"/>
        <v>237.99</v>
      </c>
      <c r="I822" s="170" t="s">
        <v>2842</v>
      </c>
      <c r="J822" t="s">
        <v>2853</v>
      </c>
      <c r="K822" s="188" t="s">
        <v>2853</v>
      </c>
    </row>
    <row r="823" spans="1:11" x14ac:dyDescent="0.25">
      <c r="A823" t="s">
        <v>5393</v>
      </c>
      <c r="B823" s="27" t="s">
        <v>848</v>
      </c>
      <c r="D823" s="28" t="s">
        <v>2961</v>
      </c>
      <c r="E823" s="29" t="s">
        <v>563</v>
      </c>
      <c r="F823" s="30">
        <v>1</v>
      </c>
      <c r="G823" s="31">
        <v>237.99</v>
      </c>
      <c r="H823" s="31">
        <f t="shared" si="128"/>
        <v>237.99</v>
      </c>
      <c r="I823" s="170" t="s">
        <v>2842</v>
      </c>
      <c r="J823" t="s">
        <v>2853</v>
      </c>
      <c r="K823" s="188" t="s">
        <v>2853</v>
      </c>
    </row>
    <row r="824" spans="1:11" x14ac:dyDescent="0.25">
      <c r="A824" t="s">
        <v>5394</v>
      </c>
      <c r="B824" s="27" t="s">
        <v>849</v>
      </c>
      <c r="D824" s="28" t="s">
        <v>2962</v>
      </c>
      <c r="E824" s="29" t="s">
        <v>671</v>
      </c>
      <c r="F824" s="30">
        <v>1</v>
      </c>
      <c r="G824" s="31">
        <v>237.99</v>
      </c>
      <c r="H824" s="31">
        <f t="shared" si="128"/>
        <v>237.99</v>
      </c>
      <c r="I824" s="170" t="s">
        <v>2842</v>
      </c>
      <c r="J824" t="s">
        <v>2853</v>
      </c>
      <c r="K824" s="188" t="s">
        <v>2853</v>
      </c>
    </row>
    <row r="825" spans="1:11" x14ac:dyDescent="0.25">
      <c r="A825" t="s">
        <v>5395</v>
      </c>
      <c r="B825" s="27" t="s">
        <v>850</v>
      </c>
      <c r="D825" s="28" t="s">
        <v>2963</v>
      </c>
      <c r="E825" s="29" t="s">
        <v>671</v>
      </c>
      <c r="F825" s="30">
        <v>1</v>
      </c>
      <c r="G825" s="31">
        <v>237.99</v>
      </c>
      <c r="H825" s="31">
        <f t="shared" si="128"/>
        <v>237.99</v>
      </c>
      <c r="I825" s="170" t="s">
        <v>2842</v>
      </c>
      <c r="J825" t="s">
        <v>2853</v>
      </c>
      <c r="K825" s="188" t="s">
        <v>2853</v>
      </c>
    </row>
    <row r="826" spans="1:11" x14ac:dyDescent="0.25">
      <c r="A826" t="s">
        <v>5396</v>
      </c>
      <c r="B826" s="27" t="s">
        <v>851</v>
      </c>
      <c r="D826" s="28" t="s">
        <v>2964</v>
      </c>
      <c r="E826" s="29" t="s">
        <v>671</v>
      </c>
      <c r="F826" s="30">
        <v>1</v>
      </c>
      <c r="G826" s="31">
        <v>237.99</v>
      </c>
      <c r="H826" s="31">
        <f t="shared" si="128"/>
        <v>237.99</v>
      </c>
      <c r="I826" s="170" t="s">
        <v>2842</v>
      </c>
      <c r="J826" t="s">
        <v>2853</v>
      </c>
      <c r="K826" s="188" t="s">
        <v>2853</v>
      </c>
    </row>
    <row r="827" spans="1:11" x14ac:dyDescent="0.25">
      <c r="A827" t="s">
        <v>5397</v>
      </c>
      <c r="B827" s="27" t="s">
        <v>852</v>
      </c>
      <c r="D827" s="28" t="s">
        <v>2965</v>
      </c>
      <c r="E827" s="29" t="s">
        <v>21</v>
      </c>
      <c r="F827" s="30">
        <v>1</v>
      </c>
      <c r="G827" s="31">
        <v>264.44</v>
      </c>
      <c r="H827" s="31">
        <f t="shared" si="128"/>
        <v>264.44</v>
      </c>
      <c r="I827" s="170" t="s">
        <v>2842</v>
      </c>
      <c r="J827" t="s">
        <v>2853</v>
      </c>
      <c r="K827" s="188" t="s">
        <v>2853</v>
      </c>
    </row>
    <row r="828" spans="1:11" x14ac:dyDescent="0.25">
      <c r="A828" t="s">
        <v>5398</v>
      </c>
      <c r="B828" s="27" t="s">
        <v>853</v>
      </c>
      <c r="D828" s="28" t="s">
        <v>2966</v>
      </c>
      <c r="E828" s="29" t="s">
        <v>21</v>
      </c>
      <c r="F828" s="30">
        <v>1</v>
      </c>
      <c r="G828" s="31">
        <v>264.44</v>
      </c>
      <c r="H828" s="31">
        <f t="shared" si="128"/>
        <v>264.44</v>
      </c>
      <c r="I828" s="170" t="s">
        <v>2842</v>
      </c>
      <c r="J828" t="s">
        <v>2853</v>
      </c>
      <c r="K828" s="188" t="s">
        <v>2853</v>
      </c>
    </row>
    <row r="829" spans="1:11" x14ac:dyDescent="0.25">
      <c r="A829" t="s">
        <v>5399</v>
      </c>
      <c r="B829" s="27" t="s">
        <v>854</v>
      </c>
      <c r="D829" s="28" t="s">
        <v>2967</v>
      </c>
      <c r="E829" s="29" t="s">
        <v>21</v>
      </c>
      <c r="F829" s="30">
        <v>1</v>
      </c>
      <c r="G829" s="31">
        <v>264.44</v>
      </c>
      <c r="H829" s="31">
        <f t="shared" si="128"/>
        <v>264.44</v>
      </c>
      <c r="I829" s="170" t="s">
        <v>2842</v>
      </c>
      <c r="J829" t="s">
        <v>2853</v>
      </c>
      <c r="K829" s="188" t="s">
        <v>2853</v>
      </c>
    </row>
    <row r="830" spans="1:11" x14ac:dyDescent="0.25">
      <c r="A830" t="s">
        <v>5400</v>
      </c>
      <c r="B830" s="27" t="s">
        <v>855</v>
      </c>
      <c r="D830" s="28" t="s">
        <v>2968</v>
      </c>
      <c r="E830" s="29" t="s">
        <v>563</v>
      </c>
      <c r="F830" s="30">
        <v>1</v>
      </c>
      <c r="G830" s="31">
        <v>264.44</v>
      </c>
      <c r="H830" s="31">
        <f t="shared" si="128"/>
        <v>264.44</v>
      </c>
      <c r="I830" s="170" t="s">
        <v>2842</v>
      </c>
      <c r="J830" t="s">
        <v>2853</v>
      </c>
      <c r="K830" s="188" t="s">
        <v>2853</v>
      </c>
    </row>
    <row r="831" spans="1:11" x14ac:dyDescent="0.25">
      <c r="A831" t="s">
        <v>5401</v>
      </c>
      <c r="B831" s="27" t="s">
        <v>856</v>
      </c>
      <c r="D831" s="28" t="s">
        <v>2969</v>
      </c>
      <c r="E831" s="29" t="s">
        <v>563</v>
      </c>
      <c r="F831" s="30">
        <v>1</v>
      </c>
      <c r="G831" s="31">
        <v>264.44</v>
      </c>
      <c r="H831" s="31">
        <f t="shared" si="128"/>
        <v>264.44</v>
      </c>
      <c r="I831" s="170" t="s">
        <v>2842</v>
      </c>
      <c r="J831" t="s">
        <v>2853</v>
      </c>
      <c r="K831" s="188" t="s">
        <v>2853</v>
      </c>
    </row>
    <row r="832" spans="1:11" x14ac:dyDescent="0.25">
      <c r="A832" t="s">
        <v>5402</v>
      </c>
      <c r="B832" s="27" t="s">
        <v>857</v>
      </c>
      <c r="D832" s="28" t="s">
        <v>2970</v>
      </c>
      <c r="E832" s="29" t="s">
        <v>563</v>
      </c>
      <c r="F832" s="30">
        <v>1</v>
      </c>
      <c r="G832" s="31">
        <v>264.44</v>
      </c>
      <c r="H832" s="31">
        <f t="shared" si="128"/>
        <v>264.44</v>
      </c>
      <c r="I832" s="170" t="s">
        <v>2842</v>
      </c>
      <c r="J832" t="s">
        <v>2853</v>
      </c>
      <c r="K832" s="188" t="s">
        <v>2853</v>
      </c>
    </row>
    <row r="833" spans="1:11" x14ac:dyDescent="0.25">
      <c r="A833" t="s">
        <v>5403</v>
      </c>
      <c r="B833" s="27" t="s">
        <v>858</v>
      </c>
      <c r="D833" s="28" t="s">
        <v>2971</v>
      </c>
      <c r="E833" s="29" t="s">
        <v>671</v>
      </c>
      <c r="F833" s="30">
        <v>1</v>
      </c>
      <c r="G833" s="31">
        <v>264.44</v>
      </c>
      <c r="H833" s="31">
        <f t="shared" si="128"/>
        <v>264.44</v>
      </c>
      <c r="I833" s="170" t="s">
        <v>2842</v>
      </c>
      <c r="J833" t="s">
        <v>2853</v>
      </c>
      <c r="K833" s="188" t="s">
        <v>2853</v>
      </c>
    </row>
    <row r="834" spans="1:11" x14ac:dyDescent="0.25">
      <c r="A834" t="s">
        <v>5404</v>
      </c>
      <c r="B834" s="27" t="s">
        <v>859</v>
      </c>
      <c r="D834" s="28" t="s">
        <v>2972</v>
      </c>
      <c r="E834" s="29" t="s">
        <v>671</v>
      </c>
      <c r="F834" s="30">
        <v>1</v>
      </c>
      <c r="G834" s="31">
        <v>264.44</v>
      </c>
      <c r="H834" s="31">
        <f t="shared" si="128"/>
        <v>264.44</v>
      </c>
      <c r="I834" s="170" t="s">
        <v>2842</v>
      </c>
      <c r="J834" t="s">
        <v>2853</v>
      </c>
      <c r="K834" s="188" t="s">
        <v>2853</v>
      </c>
    </row>
    <row r="835" spans="1:11" x14ac:dyDescent="0.25">
      <c r="A835" t="s">
        <v>5405</v>
      </c>
      <c r="B835" s="27" t="s">
        <v>860</v>
      </c>
      <c r="D835" s="28" t="s">
        <v>2973</v>
      </c>
      <c r="E835" s="29" t="s">
        <v>671</v>
      </c>
      <c r="F835" s="30">
        <v>1</v>
      </c>
      <c r="G835" s="31">
        <v>264.44</v>
      </c>
      <c r="H835" s="31">
        <f t="shared" si="128"/>
        <v>264.44</v>
      </c>
      <c r="I835" s="170" t="s">
        <v>2842</v>
      </c>
      <c r="J835" t="s">
        <v>2853</v>
      </c>
      <c r="K835" s="188" t="s">
        <v>2853</v>
      </c>
    </row>
    <row r="836" spans="1:11" x14ac:dyDescent="0.25">
      <c r="A836" t="s">
        <v>5406</v>
      </c>
      <c r="B836" s="27" t="s">
        <v>861</v>
      </c>
      <c r="D836" s="28" t="s">
        <v>2974</v>
      </c>
      <c r="E836" s="29" t="s">
        <v>21</v>
      </c>
      <c r="F836" s="30">
        <v>1</v>
      </c>
      <c r="G836" s="31">
        <v>165.27</v>
      </c>
      <c r="H836" s="31">
        <f t="shared" si="128"/>
        <v>165.27</v>
      </c>
      <c r="I836" s="170" t="s">
        <v>2842</v>
      </c>
      <c r="J836" t="s">
        <v>2853</v>
      </c>
      <c r="K836" s="188" t="s">
        <v>2853</v>
      </c>
    </row>
    <row r="837" spans="1:11" x14ac:dyDescent="0.25">
      <c r="A837" t="s">
        <v>5407</v>
      </c>
      <c r="B837" s="27" t="s">
        <v>862</v>
      </c>
      <c r="D837" s="28" t="s">
        <v>2975</v>
      </c>
      <c r="E837" s="29" t="s">
        <v>21</v>
      </c>
      <c r="F837" s="30">
        <v>1</v>
      </c>
      <c r="G837" s="31">
        <v>165.27</v>
      </c>
      <c r="H837" s="31">
        <f t="shared" si="128"/>
        <v>165.27</v>
      </c>
      <c r="I837" s="170" t="s">
        <v>2842</v>
      </c>
      <c r="J837" t="s">
        <v>2853</v>
      </c>
      <c r="K837" s="188" t="s">
        <v>2853</v>
      </c>
    </row>
    <row r="838" spans="1:11" x14ac:dyDescent="0.25">
      <c r="A838" t="s">
        <v>5408</v>
      </c>
      <c r="B838" s="27" t="s">
        <v>863</v>
      </c>
      <c r="D838" s="28" t="s">
        <v>2976</v>
      </c>
      <c r="E838" s="29" t="s">
        <v>21</v>
      </c>
      <c r="F838" s="30">
        <v>1</v>
      </c>
      <c r="G838" s="31">
        <v>165.27</v>
      </c>
      <c r="H838" s="31">
        <f t="shared" si="128"/>
        <v>165.27</v>
      </c>
      <c r="I838" s="170" t="s">
        <v>2842</v>
      </c>
      <c r="J838" t="s">
        <v>2853</v>
      </c>
      <c r="K838" s="188" t="s">
        <v>2853</v>
      </c>
    </row>
    <row r="839" spans="1:11" x14ac:dyDescent="0.25">
      <c r="A839" t="s">
        <v>5409</v>
      </c>
      <c r="B839" s="27" t="s">
        <v>864</v>
      </c>
      <c r="D839" s="28" t="s">
        <v>2977</v>
      </c>
      <c r="E839" s="29" t="s">
        <v>563</v>
      </c>
      <c r="F839" s="30">
        <v>1</v>
      </c>
      <c r="G839" s="31">
        <v>165.27</v>
      </c>
      <c r="H839" s="31">
        <f t="shared" si="128"/>
        <v>165.27</v>
      </c>
      <c r="I839" s="170" t="s">
        <v>2842</v>
      </c>
      <c r="J839" t="s">
        <v>2853</v>
      </c>
      <c r="K839" s="188" t="s">
        <v>2853</v>
      </c>
    </row>
    <row r="840" spans="1:11" x14ac:dyDescent="0.25">
      <c r="A840" t="s">
        <v>5410</v>
      </c>
      <c r="B840" s="27" t="s">
        <v>865</v>
      </c>
      <c r="D840" s="28" t="s">
        <v>2978</v>
      </c>
      <c r="E840" s="29" t="s">
        <v>563</v>
      </c>
      <c r="F840" s="30">
        <v>1</v>
      </c>
      <c r="G840" s="31">
        <v>165.27</v>
      </c>
      <c r="H840" s="31">
        <f t="shared" si="128"/>
        <v>165.27</v>
      </c>
      <c r="I840" s="170" t="s">
        <v>2842</v>
      </c>
      <c r="J840" t="s">
        <v>2853</v>
      </c>
      <c r="K840" s="188" t="s">
        <v>2853</v>
      </c>
    </row>
    <row r="841" spans="1:11" x14ac:dyDescent="0.25">
      <c r="A841" t="s">
        <v>5411</v>
      </c>
      <c r="B841" s="27" t="s">
        <v>866</v>
      </c>
      <c r="D841" s="28" t="s">
        <v>2979</v>
      </c>
      <c r="E841" s="29" t="s">
        <v>563</v>
      </c>
      <c r="F841" s="30">
        <v>1</v>
      </c>
      <c r="G841" s="31">
        <v>165.27</v>
      </c>
      <c r="H841" s="31">
        <f t="shared" si="128"/>
        <v>165.27</v>
      </c>
      <c r="I841" s="170" t="s">
        <v>2842</v>
      </c>
      <c r="J841" t="s">
        <v>2853</v>
      </c>
      <c r="K841" s="188" t="s">
        <v>2853</v>
      </c>
    </row>
    <row r="842" spans="1:11" x14ac:dyDescent="0.25">
      <c r="A842" t="s">
        <v>5412</v>
      </c>
      <c r="B842" s="27" t="s">
        <v>867</v>
      </c>
      <c r="D842" s="28" t="s">
        <v>2980</v>
      </c>
      <c r="E842" s="29" t="s">
        <v>671</v>
      </c>
      <c r="F842" s="30">
        <v>1</v>
      </c>
      <c r="G842" s="31">
        <v>165.27</v>
      </c>
      <c r="H842" s="31">
        <f t="shared" si="128"/>
        <v>165.27</v>
      </c>
      <c r="I842" s="170" t="s">
        <v>2842</v>
      </c>
      <c r="J842" t="s">
        <v>2853</v>
      </c>
      <c r="K842" s="188" t="s">
        <v>2853</v>
      </c>
    </row>
    <row r="843" spans="1:11" x14ac:dyDescent="0.25">
      <c r="A843" t="s">
        <v>5413</v>
      </c>
      <c r="B843" s="27" t="s">
        <v>868</v>
      </c>
      <c r="D843" s="28" t="s">
        <v>2981</v>
      </c>
      <c r="E843" s="29" t="s">
        <v>671</v>
      </c>
      <c r="F843" s="30">
        <v>1</v>
      </c>
      <c r="G843" s="31">
        <v>165.27</v>
      </c>
      <c r="H843" s="31">
        <f t="shared" si="128"/>
        <v>165.27</v>
      </c>
      <c r="I843" s="170" t="s">
        <v>2842</v>
      </c>
      <c r="J843" t="s">
        <v>2853</v>
      </c>
      <c r="K843" s="188" t="s">
        <v>2853</v>
      </c>
    </row>
    <row r="844" spans="1:11" x14ac:dyDescent="0.25">
      <c r="A844" t="s">
        <v>5414</v>
      </c>
      <c r="B844" s="27" t="s">
        <v>869</v>
      </c>
      <c r="D844" s="28" t="s">
        <v>2982</v>
      </c>
      <c r="E844" s="29" t="s">
        <v>671</v>
      </c>
      <c r="F844" s="30">
        <v>1</v>
      </c>
      <c r="G844" s="31">
        <v>165.27</v>
      </c>
      <c r="H844" s="31">
        <f t="shared" si="128"/>
        <v>165.27</v>
      </c>
      <c r="I844" s="170" t="s">
        <v>2842</v>
      </c>
      <c r="J844" t="s">
        <v>2853</v>
      </c>
      <c r="K844" s="188" t="s">
        <v>2853</v>
      </c>
    </row>
    <row r="845" spans="1:11" x14ac:dyDescent="0.25">
      <c r="A845" t="s">
        <v>5415</v>
      </c>
      <c r="B845" s="27" t="s">
        <v>870</v>
      </c>
      <c r="D845" s="28" t="s">
        <v>2983</v>
      </c>
      <c r="E845" s="29" t="s">
        <v>21</v>
      </c>
      <c r="F845" s="30">
        <v>1</v>
      </c>
      <c r="G845" s="31">
        <v>185.1</v>
      </c>
      <c r="H845" s="31">
        <f t="shared" si="128"/>
        <v>185.1</v>
      </c>
      <c r="I845" s="170" t="s">
        <v>2842</v>
      </c>
      <c r="J845" t="s">
        <v>2853</v>
      </c>
      <c r="K845" s="188" t="s">
        <v>2853</v>
      </c>
    </row>
    <row r="846" spans="1:11" x14ac:dyDescent="0.25">
      <c r="A846" t="s">
        <v>5416</v>
      </c>
      <c r="B846" s="27" t="s">
        <v>871</v>
      </c>
      <c r="D846" s="28" t="s">
        <v>2984</v>
      </c>
      <c r="E846" s="29" t="s">
        <v>21</v>
      </c>
      <c r="F846" s="30">
        <v>1</v>
      </c>
      <c r="G846" s="31">
        <v>185.1</v>
      </c>
      <c r="H846" s="31">
        <f t="shared" si="128"/>
        <v>185.1</v>
      </c>
      <c r="I846" s="170" t="s">
        <v>2842</v>
      </c>
      <c r="J846" t="s">
        <v>2853</v>
      </c>
      <c r="K846" s="188" t="s">
        <v>2853</v>
      </c>
    </row>
    <row r="847" spans="1:11" x14ac:dyDescent="0.25">
      <c r="A847" t="s">
        <v>5417</v>
      </c>
      <c r="B847" s="27" t="s">
        <v>872</v>
      </c>
      <c r="D847" s="28" t="s">
        <v>2985</v>
      </c>
      <c r="E847" s="29" t="s">
        <v>21</v>
      </c>
      <c r="F847" s="30">
        <v>1</v>
      </c>
      <c r="G847" s="31">
        <v>185.1</v>
      </c>
      <c r="H847" s="31">
        <f t="shared" si="128"/>
        <v>185.1</v>
      </c>
      <c r="I847" s="170" t="s">
        <v>2842</v>
      </c>
      <c r="J847" t="s">
        <v>2853</v>
      </c>
      <c r="K847" s="188" t="s">
        <v>2853</v>
      </c>
    </row>
    <row r="848" spans="1:11" x14ac:dyDescent="0.25">
      <c r="A848" t="s">
        <v>5418</v>
      </c>
      <c r="B848" s="27" t="s">
        <v>873</v>
      </c>
      <c r="D848" s="28" t="s">
        <v>2986</v>
      </c>
      <c r="E848" s="29" t="s">
        <v>563</v>
      </c>
      <c r="F848" s="30">
        <v>1</v>
      </c>
      <c r="G848" s="31">
        <v>185.1</v>
      </c>
      <c r="H848" s="31">
        <f t="shared" si="128"/>
        <v>185.1</v>
      </c>
      <c r="I848" s="170" t="s">
        <v>2842</v>
      </c>
      <c r="J848" t="s">
        <v>2853</v>
      </c>
      <c r="K848" s="188" t="s">
        <v>2853</v>
      </c>
    </row>
    <row r="849" spans="1:11" x14ac:dyDescent="0.25">
      <c r="A849" t="s">
        <v>5419</v>
      </c>
      <c r="B849" s="27" t="s">
        <v>874</v>
      </c>
      <c r="D849" s="28" t="s">
        <v>2987</v>
      </c>
      <c r="E849" s="29" t="s">
        <v>563</v>
      </c>
      <c r="F849" s="30">
        <v>1</v>
      </c>
      <c r="G849" s="31">
        <v>185.1</v>
      </c>
      <c r="H849" s="31">
        <f t="shared" si="128"/>
        <v>185.1</v>
      </c>
      <c r="I849" s="170" t="s">
        <v>2842</v>
      </c>
      <c r="J849" t="s">
        <v>2853</v>
      </c>
      <c r="K849" s="188" t="s">
        <v>2853</v>
      </c>
    </row>
    <row r="850" spans="1:11" x14ac:dyDescent="0.25">
      <c r="A850" t="s">
        <v>5420</v>
      </c>
      <c r="B850" s="27" t="s">
        <v>875</v>
      </c>
      <c r="D850" s="28" t="s">
        <v>2988</v>
      </c>
      <c r="E850" s="29" t="s">
        <v>563</v>
      </c>
      <c r="F850" s="30">
        <v>1</v>
      </c>
      <c r="G850" s="31">
        <v>185.1</v>
      </c>
      <c r="H850" s="31">
        <f t="shared" si="128"/>
        <v>185.1</v>
      </c>
      <c r="I850" s="170" t="s">
        <v>2842</v>
      </c>
      <c r="J850" t="s">
        <v>2853</v>
      </c>
      <c r="K850" s="188" t="s">
        <v>2853</v>
      </c>
    </row>
    <row r="851" spans="1:11" x14ac:dyDescent="0.25">
      <c r="A851" t="s">
        <v>5421</v>
      </c>
      <c r="B851" s="27" t="s">
        <v>876</v>
      </c>
      <c r="D851" s="28" t="s">
        <v>2989</v>
      </c>
      <c r="E851" s="29" t="s">
        <v>671</v>
      </c>
      <c r="F851" s="30">
        <v>1</v>
      </c>
      <c r="G851" s="31">
        <v>185.1</v>
      </c>
      <c r="H851" s="31">
        <f t="shared" si="128"/>
        <v>185.1</v>
      </c>
      <c r="I851" s="170" t="s">
        <v>2842</v>
      </c>
      <c r="J851" t="s">
        <v>2853</v>
      </c>
      <c r="K851" s="188" t="s">
        <v>2853</v>
      </c>
    </row>
    <row r="852" spans="1:11" x14ac:dyDescent="0.25">
      <c r="A852" t="s">
        <v>5422</v>
      </c>
      <c r="B852" s="27" t="s">
        <v>877</v>
      </c>
      <c r="D852" s="28" t="s">
        <v>2990</v>
      </c>
      <c r="E852" s="29" t="s">
        <v>671</v>
      </c>
      <c r="F852" s="30">
        <v>1</v>
      </c>
      <c r="G852" s="31">
        <v>185.1</v>
      </c>
      <c r="H852" s="31">
        <f t="shared" si="128"/>
        <v>185.1</v>
      </c>
      <c r="I852" s="170" t="s">
        <v>2842</v>
      </c>
      <c r="J852" t="s">
        <v>2853</v>
      </c>
      <c r="K852" s="188" t="s">
        <v>2853</v>
      </c>
    </row>
    <row r="853" spans="1:11" x14ac:dyDescent="0.25">
      <c r="A853" t="s">
        <v>5423</v>
      </c>
      <c r="B853" s="27" t="s">
        <v>878</v>
      </c>
      <c r="D853" s="28" t="s">
        <v>2991</v>
      </c>
      <c r="E853" s="29" t="s">
        <v>671</v>
      </c>
      <c r="F853" s="30">
        <v>1</v>
      </c>
      <c r="G853" s="31">
        <v>185.1</v>
      </c>
      <c r="H853" s="31">
        <f t="shared" si="128"/>
        <v>185.1</v>
      </c>
      <c r="I853" s="170" t="s">
        <v>2842</v>
      </c>
      <c r="J853" t="s">
        <v>2853</v>
      </c>
      <c r="K853" s="188" t="s">
        <v>2853</v>
      </c>
    </row>
    <row r="854" spans="1:11" x14ac:dyDescent="0.25">
      <c r="A854" t="s">
        <v>5424</v>
      </c>
      <c r="B854" s="27" t="s">
        <v>879</v>
      </c>
      <c r="D854" s="28" t="s">
        <v>2992</v>
      </c>
      <c r="E854" s="29" t="s">
        <v>21</v>
      </c>
      <c r="F854" s="30">
        <v>1</v>
      </c>
      <c r="G854" s="31">
        <v>211.55</v>
      </c>
      <c r="H854" s="31">
        <f t="shared" si="128"/>
        <v>211.55</v>
      </c>
      <c r="I854" s="170" t="s">
        <v>2842</v>
      </c>
      <c r="J854" t="s">
        <v>2853</v>
      </c>
      <c r="K854" s="188" t="s">
        <v>2853</v>
      </c>
    </row>
    <row r="855" spans="1:11" x14ac:dyDescent="0.25">
      <c r="A855" t="s">
        <v>5425</v>
      </c>
      <c r="B855" s="27" t="s">
        <v>880</v>
      </c>
      <c r="D855" s="28" t="s">
        <v>2993</v>
      </c>
      <c r="E855" s="29" t="s">
        <v>21</v>
      </c>
      <c r="F855" s="30">
        <v>1</v>
      </c>
      <c r="G855" s="31">
        <v>211.55</v>
      </c>
      <c r="H855" s="31">
        <f t="shared" si="128"/>
        <v>211.55</v>
      </c>
      <c r="I855" s="170" t="s">
        <v>2842</v>
      </c>
      <c r="J855" t="s">
        <v>2853</v>
      </c>
      <c r="K855" s="188" t="s">
        <v>2853</v>
      </c>
    </row>
    <row r="856" spans="1:11" x14ac:dyDescent="0.25">
      <c r="A856" t="s">
        <v>5426</v>
      </c>
      <c r="B856" s="27" t="s">
        <v>881</v>
      </c>
      <c r="D856" s="28" t="s">
        <v>2994</v>
      </c>
      <c r="E856" s="29" t="s">
        <v>21</v>
      </c>
      <c r="F856" s="30">
        <v>1</v>
      </c>
      <c r="G856" s="31">
        <v>211.55</v>
      </c>
      <c r="H856" s="31">
        <f t="shared" si="128"/>
        <v>211.55</v>
      </c>
      <c r="I856" s="170" t="s">
        <v>2842</v>
      </c>
      <c r="J856" t="s">
        <v>2853</v>
      </c>
      <c r="K856" s="188" t="s">
        <v>2853</v>
      </c>
    </row>
    <row r="857" spans="1:11" x14ac:dyDescent="0.25">
      <c r="A857" t="s">
        <v>5427</v>
      </c>
      <c r="B857" s="27" t="s">
        <v>882</v>
      </c>
      <c r="D857" s="28" t="s">
        <v>2995</v>
      </c>
      <c r="E857" s="29" t="s">
        <v>563</v>
      </c>
      <c r="F857" s="30">
        <v>1</v>
      </c>
      <c r="G857" s="31">
        <v>211.55</v>
      </c>
      <c r="H857" s="31">
        <f t="shared" si="128"/>
        <v>211.55</v>
      </c>
      <c r="I857" s="170" t="s">
        <v>2842</v>
      </c>
      <c r="J857" t="s">
        <v>2853</v>
      </c>
      <c r="K857" s="188" t="s">
        <v>2853</v>
      </c>
    </row>
    <row r="858" spans="1:11" x14ac:dyDescent="0.25">
      <c r="A858" t="s">
        <v>5428</v>
      </c>
      <c r="B858" s="27" t="s">
        <v>883</v>
      </c>
      <c r="D858" s="28" t="s">
        <v>2996</v>
      </c>
      <c r="E858" s="29" t="s">
        <v>563</v>
      </c>
      <c r="F858" s="30">
        <v>1</v>
      </c>
      <c r="G858" s="31">
        <v>211.55</v>
      </c>
      <c r="H858" s="31">
        <f t="shared" si="128"/>
        <v>211.55</v>
      </c>
      <c r="I858" s="170" t="s">
        <v>2842</v>
      </c>
      <c r="J858" t="s">
        <v>2853</v>
      </c>
      <c r="K858" s="188" t="s">
        <v>2853</v>
      </c>
    </row>
    <row r="859" spans="1:11" x14ac:dyDescent="0.25">
      <c r="A859" t="s">
        <v>5429</v>
      </c>
      <c r="B859" s="27" t="s">
        <v>884</v>
      </c>
      <c r="D859" s="28" t="s">
        <v>2997</v>
      </c>
      <c r="E859" s="29" t="s">
        <v>563</v>
      </c>
      <c r="F859" s="30">
        <v>1</v>
      </c>
      <c r="G859" s="31">
        <v>211.55</v>
      </c>
      <c r="H859" s="31">
        <f t="shared" si="128"/>
        <v>211.55</v>
      </c>
      <c r="I859" s="170" t="s">
        <v>2842</v>
      </c>
      <c r="J859" t="s">
        <v>2853</v>
      </c>
      <c r="K859" s="188" t="s">
        <v>2853</v>
      </c>
    </row>
    <row r="860" spans="1:11" x14ac:dyDescent="0.25">
      <c r="A860" t="s">
        <v>5430</v>
      </c>
      <c r="B860" s="27" t="s">
        <v>885</v>
      </c>
      <c r="D860" s="28" t="s">
        <v>2998</v>
      </c>
      <c r="E860" s="29" t="s">
        <v>671</v>
      </c>
      <c r="F860" s="30">
        <v>1</v>
      </c>
      <c r="G860" s="31">
        <v>211.55</v>
      </c>
      <c r="H860" s="31">
        <f t="shared" si="128"/>
        <v>211.55</v>
      </c>
      <c r="I860" s="170" t="s">
        <v>2842</v>
      </c>
      <c r="J860" t="s">
        <v>2853</v>
      </c>
      <c r="K860" s="188" t="s">
        <v>2853</v>
      </c>
    </row>
    <row r="861" spans="1:11" x14ac:dyDescent="0.25">
      <c r="A861" t="s">
        <v>5431</v>
      </c>
      <c r="B861" s="27" t="s">
        <v>886</v>
      </c>
      <c r="D861" s="28" t="s">
        <v>2999</v>
      </c>
      <c r="E861" s="29" t="s">
        <v>671</v>
      </c>
      <c r="F861" s="30">
        <v>1</v>
      </c>
      <c r="G861" s="31">
        <v>211.55</v>
      </c>
      <c r="H861" s="31">
        <f t="shared" si="128"/>
        <v>211.55</v>
      </c>
      <c r="I861" s="170" t="s">
        <v>2842</v>
      </c>
      <c r="J861" t="s">
        <v>2853</v>
      </c>
      <c r="K861" s="188" t="s">
        <v>2853</v>
      </c>
    </row>
    <row r="862" spans="1:11" x14ac:dyDescent="0.25">
      <c r="A862" t="s">
        <v>5432</v>
      </c>
      <c r="B862" s="27" t="s">
        <v>887</v>
      </c>
      <c r="D862" s="28" t="s">
        <v>3000</v>
      </c>
      <c r="E862" s="29" t="s">
        <v>671</v>
      </c>
      <c r="F862" s="30">
        <v>1</v>
      </c>
      <c r="G862" s="31">
        <v>211.55</v>
      </c>
      <c r="H862" s="31">
        <f t="shared" si="128"/>
        <v>211.55</v>
      </c>
      <c r="I862" s="170" t="s">
        <v>2842</v>
      </c>
      <c r="J862" t="s">
        <v>2853</v>
      </c>
      <c r="K862" s="188" t="s">
        <v>2853</v>
      </c>
    </row>
    <row r="863" spans="1:11" x14ac:dyDescent="0.25">
      <c r="A863" t="s">
        <v>5433</v>
      </c>
      <c r="B863" s="27" t="s">
        <v>888</v>
      </c>
      <c r="D863" s="28" t="s">
        <v>3001</v>
      </c>
      <c r="E863" s="29" t="s">
        <v>21</v>
      </c>
      <c r="F863" s="30">
        <v>1</v>
      </c>
      <c r="G863" s="31">
        <v>231.38</v>
      </c>
      <c r="H863" s="31">
        <f t="shared" si="128"/>
        <v>231.38</v>
      </c>
      <c r="I863" s="170" t="s">
        <v>2842</v>
      </c>
      <c r="J863" t="s">
        <v>2853</v>
      </c>
      <c r="K863" s="188" t="s">
        <v>2853</v>
      </c>
    </row>
    <row r="864" spans="1:11" x14ac:dyDescent="0.25">
      <c r="A864" t="s">
        <v>5434</v>
      </c>
      <c r="B864" s="27" t="s">
        <v>889</v>
      </c>
      <c r="D864" s="28" t="s">
        <v>3002</v>
      </c>
      <c r="E864" s="29" t="s">
        <v>21</v>
      </c>
      <c r="F864" s="30">
        <v>1</v>
      </c>
      <c r="G864" s="31">
        <v>231.38</v>
      </c>
      <c r="H864" s="31">
        <f t="shared" ref="H864:H927" si="129">+F864*G864</f>
        <v>231.38</v>
      </c>
      <c r="I864" s="170" t="s">
        <v>2842</v>
      </c>
      <c r="J864" t="s">
        <v>2853</v>
      </c>
      <c r="K864" s="188" t="s">
        <v>2853</v>
      </c>
    </row>
    <row r="865" spans="1:11" x14ac:dyDescent="0.25">
      <c r="A865" t="s">
        <v>5435</v>
      </c>
      <c r="B865" s="27" t="s">
        <v>890</v>
      </c>
      <c r="D865" s="28" t="s">
        <v>3003</v>
      </c>
      <c r="E865" s="29" t="s">
        <v>21</v>
      </c>
      <c r="F865" s="30">
        <v>1</v>
      </c>
      <c r="G865" s="31">
        <v>231.38</v>
      </c>
      <c r="H865" s="31">
        <f t="shared" si="129"/>
        <v>231.38</v>
      </c>
      <c r="I865" s="170" t="s">
        <v>2842</v>
      </c>
      <c r="J865" t="s">
        <v>2853</v>
      </c>
      <c r="K865" s="188" t="s">
        <v>2853</v>
      </c>
    </row>
    <row r="866" spans="1:11" x14ac:dyDescent="0.25">
      <c r="A866" t="s">
        <v>5436</v>
      </c>
      <c r="B866" s="27" t="s">
        <v>891</v>
      </c>
      <c r="D866" s="28" t="s">
        <v>3004</v>
      </c>
      <c r="E866" s="29" t="s">
        <v>563</v>
      </c>
      <c r="F866" s="30">
        <v>1</v>
      </c>
      <c r="G866" s="31">
        <v>231.38</v>
      </c>
      <c r="H866" s="31">
        <f t="shared" si="129"/>
        <v>231.38</v>
      </c>
      <c r="I866" s="170" t="s">
        <v>2842</v>
      </c>
      <c r="J866" t="s">
        <v>2853</v>
      </c>
      <c r="K866" s="188" t="s">
        <v>2853</v>
      </c>
    </row>
    <row r="867" spans="1:11" x14ac:dyDescent="0.25">
      <c r="A867" t="s">
        <v>5437</v>
      </c>
      <c r="B867" s="27" t="s">
        <v>892</v>
      </c>
      <c r="D867" s="28" t="s">
        <v>3005</v>
      </c>
      <c r="E867" s="29" t="s">
        <v>563</v>
      </c>
      <c r="F867" s="30">
        <v>1</v>
      </c>
      <c r="G867" s="31">
        <v>231.38</v>
      </c>
      <c r="H867" s="31">
        <f t="shared" si="129"/>
        <v>231.38</v>
      </c>
      <c r="I867" s="170" t="s">
        <v>2842</v>
      </c>
      <c r="J867" t="s">
        <v>2853</v>
      </c>
      <c r="K867" s="188" t="s">
        <v>2853</v>
      </c>
    </row>
    <row r="868" spans="1:11" x14ac:dyDescent="0.25">
      <c r="A868" t="s">
        <v>5438</v>
      </c>
      <c r="B868" s="27" t="s">
        <v>893</v>
      </c>
      <c r="D868" s="28" t="s">
        <v>3006</v>
      </c>
      <c r="E868" s="29" t="s">
        <v>563</v>
      </c>
      <c r="F868" s="30">
        <v>1</v>
      </c>
      <c r="G868" s="31">
        <v>231.38</v>
      </c>
      <c r="H868" s="31">
        <f t="shared" si="129"/>
        <v>231.38</v>
      </c>
      <c r="I868" s="170" t="s">
        <v>2842</v>
      </c>
      <c r="J868" t="s">
        <v>2853</v>
      </c>
      <c r="K868" s="188" t="s">
        <v>2853</v>
      </c>
    </row>
    <row r="869" spans="1:11" x14ac:dyDescent="0.25">
      <c r="A869" t="s">
        <v>5439</v>
      </c>
      <c r="B869" s="27" t="s">
        <v>894</v>
      </c>
      <c r="D869" s="28" t="s">
        <v>3007</v>
      </c>
      <c r="E869" s="29" t="s">
        <v>671</v>
      </c>
      <c r="F869" s="30">
        <v>1</v>
      </c>
      <c r="G869" s="31">
        <v>231.38</v>
      </c>
      <c r="H869" s="31">
        <f t="shared" si="129"/>
        <v>231.38</v>
      </c>
      <c r="I869" s="170" t="s">
        <v>2842</v>
      </c>
      <c r="J869" t="s">
        <v>2853</v>
      </c>
      <c r="K869" s="188" t="s">
        <v>2853</v>
      </c>
    </row>
    <row r="870" spans="1:11" x14ac:dyDescent="0.25">
      <c r="A870" t="s">
        <v>5440</v>
      </c>
      <c r="B870" s="27" t="s">
        <v>895</v>
      </c>
      <c r="D870" s="28" t="s">
        <v>3008</v>
      </c>
      <c r="E870" s="29" t="s">
        <v>671</v>
      </c>
      <c r="F870" s="30">
        <v>1</v>
      </c>
      <c r="G870" s="31">
        <v>231.38</v>
      </c>
      <c r="H870" s="31">
        <f t="shared" si="129"/>
        <v>231.38</v>
      </c>
      <c r="I870" s="170" t="s">
        <v>2842</v>
      </c>
      <c r="J870" t="s">
        <v>2853</v>
      </c>
      <c r="K870" s="188" t="s">
        <v>2853</v>
      </c>
    </row>
    <row r="871" spans="1:11" x14ac:dyDescent="0.25">
      <c r="A871" t="s">
        <v>5441</v>
      </c>
      <c r="B871" s="27" t="s">
        <v>896</v>
      </c>
      <c r="D871" s="28" t="s">
        <v>3009</v>
      </c>
      <c r="E871" s="29" t="s">
        <v>671</v>
      </c>
      <c r="F871" s="30">
        <v>1</v>
      </c>
      <c r="G871" s="31">
        <v>231.38</v>
      </c>
      <c r="H871" s="31">
        <f t="shared" si="129"/>
        <v>231.38</v>
      </c>
      <c r="I871" s="170" t="s">
        <v>2842</v>
      </c>
      <c r="J871" t="s">
        <v>2853</v>
      </c>
      <c r="K871" s="188" t="s">
        <v>2853</v>
      </c>
    </row>
    <row r="872" spans="1:11" x14ac:dyDescent="0.25">
      <c r="A872" t="s">
        <v>5442</v>
      </c>
      <c r="B872" s="27" t="s">
        <v>897</v>
      </c>
      <c r="D872" s="28" t="s">
        <v>3010</v>
      </c>
      <c r="E872" s="29" t="s">
        <v>21</v>
      </c>
      <c r="F872" s="30">
        <v>1</v>
      </c>
      <c r="G872" s="31">
        <v>125.61</v>
      </c>
      <c r="H872" s="31">
        <f t="shared" si="129"/>
        <v>125.61</v>
      </c>
      <c r="I872" s="170" t="s">
        <v>2842</v>
      </c>
      <c r="J872" t="s">
        <v>2853</v>
      </c>
      <c r="K872" s="188" t="s">
        <v>2853</v>
      </c>
    </row>
    <row r="873" spans="1:11" x14ac:dyDescent="0.25">
      <c r="A873" t="s">
        <v>5443</v>
      </c>
      <c r="B873" s="27" t="s">
        <v>898</v>
      </c>
      <c r="D873" s="28" t="s">
        <v>3011</v>
      </c>
      <c r="E873" s="29" t="s">
        <v>21</v>
      </c>
      <c r="F873" s="30">
        <v>1</v>
      </c>
      <c r="G873" s="31">
        <v>125.61</v>
      </c>
      <c r="H873" s="31">
        <f t="shared" si="129"/>
        <v>125.61</v>
      </c>
      <c r="I873" s="170" t="s">
        <v>2842</v>
      </c>
      <c r="J873" t="s">
        <v>2853</v>
      </c>
      <c r="K873" s="188" t="s">
        <v>2853</v>
      </c>
    </row>
    <row r="874" spans="1:11" x14ac:dyDescent="0.25">
      <c r="A874" t="s">
        <v>5444</v>
      </c>
      <c r="B874" s="27" t="s">
        <v>899</v>
      </c>
      <c r="D874" s="28" t="s">
        <v>3012</v>
      </c>
      <c r="E874" s="29" t="s">
        <v>21</v>
      </c>
      <c r="F874" s="30">
        <v>1</v>
      </c>
      <c r="G874" s="31">
        <v>125.61</v>
      </c>
      <c r="H874" s="31">
        <f t="shared" si="129"/>
        <v>125.61</v>
      </c>
      <c r="I874" s="170" t="s">
        <v>2842</v>
      </c>
      <c r="J874" t="s">
        <v>2853</v>
      </c>
      <c r="K874" s="188" t="s">
        <v>2853</v>
      </c>
    </row>
    <row r="875" spans="1:11" x14ac:dyDescent="0.25">
      <c r="A875" t="s">
        <v>5445</v>
      </c>
      <c r="B875" s="27" t="s">
        <v>900</v>
      </c>
      <c r="D875" s="28" t="s">
        <v>3013</v>
      </c>
      <c r="E875" s="29" t="s">
        <v>563</v>
      </c>
      <c r="F875" s="30">
        <v>1</v>
      </c>
      <c r="G875" s="31">
        <v>125.61</v>
      </c>
      <c r="H875" s="31">
        <f t="shared" si="129"/>
        <v>125.61</v>
      </c>
      <c r="I875" s="170" t="s">
        <v>2842</v>
      </c>
      <c r="J875" t="s">
        <v>2853</v>
      </c>
      <c r="K875" s="188" t="s">
        <v>2853</v>
      </c>
    </row>
    <row r="876" spans="1:11" x14ac:dyDescent="0.25">
      <c r="A876" t="s">
        <v>5446</v>
      </c>
      <c r="B876" s="27" t="s">
        <v>901</v>
      </c>
      <c r="D876" s="28" t="s">
        <v>3014</v>
      </c>
      <c r="E876" s="29" t="s">
        <v>563</v>
      </c>
      <c r="F876" s="30">
        <v>1</v>
      </c>
      <c r="G876" s="31">
        <v>125.61</v>
      </c>
      <c r="H876" s="31">
        <f t="shared" si="129"/>
        <v>125.61</v>
      </c>
      <c r="I876" s="170" t="s">
        <v>2842</v>
      </c>
      <c r="J876" t="s">
        <v>2853</v>
      </c>
      <c r="K876" s="188" t="s">
        <v>2853</v>
      </c>
    </row>
    <row r="877" spans="1:11" x14ac:dyDescent="0.25">
      <c r="A877" t="s">
        <v>5447</v>
      </c>
      <c r="B877" s="27" t="s">
        <v>902</v>
      </c>
      <c r="D877" s="28" t="s">
        <v>3015</v>
      </c>
      <c r="E877" s="29" t="s">
        <v>563</v>
      </c>
      <c r="F877" s="30">
        <v>1</v>
      </c>
      <c r="G877" s="31">
        <v>125.61</v>
      </c>
      <c r="H877" s="31">
        <f t="shared" si="129"/>
        <v>125.61</v>
      </c>
      <c r="I877" s="170" t="s">
        <v>2842</v>
      </c>
      <c r="J877" t="s">
        <v>2853</v>
      </c>
      <c r="K877" s="188" t="s">
        <v>2853</v>
      </c>
    </row>
    <row r="878" spans="1:11" x14ac:dyDescent="0.25">
      <c r="A878" t="s">
        <v>5448</v>
      </c>
      <c r="B878" s="27" t="s">
        <v>903</v>
      </c>
      <c r="D878" s="28" t="s">
        <v>3016</v>
      </c>
      <c r="E878" s="29" t="s">
        <v>671</v>
      </c>
      <c r="F878" s="30">
        <v>1</v>
      </c>
      <c r="G878" s="31">
        <v>125.61</v>
      </c>
      <c r="H878" s="31">
        <f t="shared" si="129"/>
        <v>125.61</v>
      </c>
      <c r="I878" s="170" t="s">
        <v>2842</v>
      </c>
      <c r="J878" t="s">
        <v>2853</v>
      </c>
      <c r="K878" s="188" t="s">
        <v>2853</v>
      </c>
    </row>
    <row r="879" spans="1:11" x14ac:dyDescent="0.25">
      <c r="A879" t="s">
        <v>5449</v>
      </c>
      <c r="B879" s="27" t="s">
        <v>904</v>
      </c>
      <c r="D879" s="28" t="s">
        <v>3017</v>
      </c>
      <c r="E879" s="29" t="s">
        <v>671</v>
      </c>
      <c r="F879" s="30">
        <v>1</v>
      </c>
      <c r="G879" s="31">
        <v>125.61</v>
      </c>
      <c r="H879" s="31">
        <f t="shared" si="129"/>
        <v>125.61</v>
      </c>
      <c r="I879" s="170" t="s">
        <v>2842</v>
      </c>
      <c r="J879" t="s">
        <v>2853</v>
      </c>
      <c r="K879" s="188" t="s">
        <v>2853</v>
      </c>
    </row>
    <row r="880" spans="1:11" x14ac:dyDescent="0.25">
      <c r="A880" t="s">
        <v>5450</v>
      </c>
      <c r="B880" s="27" t="s">
        <v>905</v>
      </c>
      <c r="D880" s="28" t="s">
        <v>3018</v>
      </c>
      <c r="E880" s="29" t="s">
        <v>671</v>
      </c>
      <c r="F880" s="30">
        <v>1</v>
      </c>
      <c r="G880" s="31">
        <v>125.61</v>
      </c>
      <c r="H880" s="31">
        <f t="shared" si="129"/>
        <v>125.61</v>
      </c>
      <c r="I880" s="170" t="s">
        <v>2842</v>
      </c>
      <c r="J880" t="s">
        <v>2853</v>
      </c>
      <c r="K880" s="188" t="s">
        <v>2853</v>
      </c>
    </row>
    <row r="881" spans="1:11" x14ac:dyDescent="0.25">
      <c r="A881" t="s">
        <v>5451</v>
      </c>
      <c r="B881" s="27" t="s">
        <v>906</v>
      </c>
      <c r="D881" s="28" t="s">
        <v>3019</v>
      </c>
      <c r="E881" s="29" t="s">
        <v>21</v>
      </c>
      <c r="F881" s="30">
        <v>1</v>
      </c>
      <c r="G881" s="31">
        <v>145.44</v>
      </c>
      <c r="H881" s="31">
        <f t="shared" si="129"/>
        <v>145.44</v>
      </c>
      <c r="I881" s="170" t="s">
        <v>2842</v>
      </c>
      <c r="J881" t="s">
        <v>2853</v>
      </c>
      <c r="K881" s="188" t="s">
        <v>2853</v>
      </c>
    </row>
    <row r="882" spans="1:11" x14ac:dyDescent="0.25">
      <c r="A882" t="s">
        <v>5452</v>
      </c>
      <c r="B882" s="27" t="s">
        <v>907</v>
      </c>
      <c r="D882" s="28" t="s">
        <v>3020</v>
      </c>
      <c r="E882" s="29" t="s">
        <v>21</v>
      </c>
      <c r="F882" s="30">
        <v>1</v>
      </c>
      <c r="G882" s="31">
        <v>145.44</v>
      </c>
      <c r="H882" s="31">
        <f t="shared" si="129"/>
        <v>145.44</v>
      </c>
      <c r="I882" s="170" t="s">
        <v>2842</v>
      </c>
      <c r="J882" t="s">
        <v>2853</v>
      </c>
      <c r="K882" s="188" t="s">
        <v>2853</v>
      </c>
    </row>
    <row r="883" spans="1:11" x14ac:dyDescent="0.25">
      <c r="A883" t="s">
        <v>5453</v>
      </c>
      <c r="B883" s="27" t="s">
        <v>908</v>
      </c>
      <c r="D883" s="28" t="s">
        <v>3021</v>
      </c>
      <c r="E883" s="29" t="s">
        <v>21</v>
      </c>
      <c r="F883" s="30">
        <v>1</v>
      </c>
      <c r="G883" s="31">
        <v>145.44</v>
      </c>
      <c r="H883" s="31">
        <f t="shared" si="129"/>
        <v>145.44</v>
      </c>
      <c r="I883" s="170" t="s">
        <v>2842</v>
      </c>
      <c r="J883" t="s">
        <v>2853</v>
      </c>
      <c r="K883" s="188" t="s">
        <v>2853</v>
      </c>
    </row>
    <row r="884" spans="1:11" x14ac:dyDescent="0.25">
      <c r="A884" t="s">
        <v>5454</v>
      </c>
      <c r="B884" s="27" t="s">
        <v>909</v>
      </c>
      <c r="D884" s="28" t="s">
        <v>3022</v>
      </c>
      <c r="E884" s="29" t="s">
        <v>563</v>
      </c>
      <c r="F884" s="30">
        <v>1</v>
      </c>
      <c r="G884" s="31">
        <v>145.44</v>
      </c>
      <c r="H884" s="31">
        <f t="shared" si="129"/>
        <v>145.44</v>
      </c>
      <c r="I884" s="170" t="s">
        <v>2842</v>
      </c>
      <c r="J884" t="s">
        <v>2853</v>
      </c>
      <c r="K884" s="188" t="s">
        <v>2853</v>
      </c>
    </row>
    <row r="885" spans="1:11" x14ac:dyDescent="0.25">
      <c r="A885" t="s">
        <v>5455</v>
      </c>
      <c r="B885" s="27" t="s">
        <v>910</v>
      </c>
      <c r="D885" s="28" t="s">
        <v>3023</v>
      </c>
      <c r="E885" s="29" t="s">
        <v>563</v>
      </c>
      <c r="F885" s="30">
        <v>1</v>
      </c>
      <c r="G885" s="31">
        <v>145.44</v>
      </c>
      <c r="H885" s="31">
        <f t="shared" si="129"/>
        <v>145.44</v>
      </c>
      <c r="I885" s="170" t="s">
        <v>2842</v>
      </c>
      <c r="J885" t="s">
        <v>2853</v>
      </c>
      <c r="K885" s="188" t="s">
        <v>2853</v>
      </c>
    </row>
    <row r="886" spans="1:11" x14ac:dyDescent="0.25">
      <c r="A886" t="s">
        <v>5456</v>
      </c>
      <c r="B886" s="27" t="s">
        <v>911</v>
      </c>
      <c r="D886" s="28" t="s">
        <v>3024</v>
      </c>
      <c r="E886" s="29" t="s">
        <v>563</v>
      </c>
      <c r="F886" s="30">
        <v>1</v>
      </c>
      <c r="G886" s="31">
        <v>145.44</v>
      </c>
      <c r="H886" s="31">
        <f t="shared" si="129"/>
        <v>145.44</v>
      </c>
      <c r="I886" s="170" t="s">
        <v>2842</v>
      </c>
      <c r="J886" t="s">
        <v>2853</v>
      </c>
      <c r="K886" s="188" t="s">
        <v>2853</v>
      </c>
    </row>
    <row r="887" spans="1:11" x14ac:dyDescent="0.25">
      <c r="A887" t="s">
        <v>5457</v>
      </c>
      <c r="B887" s="27" t="s">
        <v>912</v>
      </c>
      <c r="D887" s="28" t="s">
        <v>3025</v>
      </c>
      <c r="E887" s="29" t="s">
        <v>671</v>
      </c>
      <c r="F887" s="30">
        <v>1</v>
      </c>
      <c r="G887" s="31">
        <v>145.44</v>
      </c>
      <c r="H887" s="31">
        <f t="shared" si="129"/>
        <v>145.44</v>
      </c>
      <c r="I887" s="170" t="s">
        <v>2842</v>
      </c>
      <c r="J887" t="s">
        <v>2853</v>
      </c>
      <c r="K887" s="188" t="s">
        <v>2853</v>
      </c>
    </row>
    <row r="888" spans="1:11" x14ac:dyDescent="0.25">
      <c r="A888" t="s">
        <v>5458</v>
      </c>
      <c r="B888" s="27" t="s">
        <v>913</v>
      </c>
      <c r="D888" s="28" t="s">
        <v>3026</v>
      </c>
      <c r="E888" s="29" t="s">
        <v>671</v>
      </c>
      <c r="F888" s="30">
        <v>1</v>
      </c>
      <c r="G888" s="31">
        <v>145.44</v>
      </c>
      <c r="H888" s="31">
        <f t="shared" si="129"/>
        <v>145.44</v>
      </c>
      <c r="I888" s="170" t="s">
        <v>2842</v>
      </c>
      <c r="J888" t="s">
        <v>2853</v>
      </c>
      <c r="K888" s="188" t="s">
        <v>2853</v>
      </c>
    </row>
    <row r="889" spans="1:11" x14ac:dyDescent="0.25">
      <c r="A889" t="s">
        <v>5459</v>
      </c>
      <c r="B889" s="27" t="s">
        <v>914</v>
      </c>
      <c r="D889" s="28" t="s">
        <v>3027</v>
      </c>
      <c r="E889" s="29" t="s">
        <v>671</v>
      </c>
      <c r="F889" s="30">
        <v>1</v>
      </c>
      <c r="G889" s="31">
        <v>145.44</v>
      </c>
      <c r="H889" s="31">
        <f t="shared" si="129"/>
        <v>145.44</v>
      </c>
      <c r="I889" s="170" t="s">
        <v>2842</v>
      </c>
      <c r="J889" t="s">
        <v>2853</v>
      </c>
      <c r="K889" s="188" t="s">
        <v>2853</v>
      </c>
    </row>
    <row r="890" spans="1:11" x14ac:dyDescent="0.25">
      <c r="A890" t="s">
        <v>5460</v>
      </c>
      <c r="B890" s="27" t="s">
        <v>915</v>
      </c>
      <c r="D890" s="28" t="s">
        <v>3028</v>
      </c>
      <c r="E890" s="29" t="s">
        <v>21</v>
      </c>
      <c r="F890" s="30">
        <v>1</v>
      </c>
      <c r="G890" s="31">
        <v>158.66999999999999</v>
      </c>
      <c r="H890" s="31">
        <f t="shared" si="129"/>
        <v>158.66999999999999</v>
      </c>
      <c r="I890" s="170" t="s">
        <v>2842</v>
      </c>
      <c r="J890" t="s">
        <v>2853</v>
      </c>
      <c r="K890" s="188" t="s">
        <v>2853</v>
      </c>
    </row>
    <row r="891" spans="1:11" x14ac:dyDescent="0.25">
      <c r="A891" t="s">
        <v>5461</v>
      </c>
      <c r="B891" s="27" t="s">
        <v>916</v>
      </c>
      <c r="D891" s="28" t="s">
        <v>3029</v>
      </c>
      <c r="E891" s="29" t="s">
        <v>21</v>
      </c>
      <c r="F891" s="30">
        <v>1</v>
      </c>
      <c r="G891" s="31">
        <v>158.66999999999999</v>
      </c>
      <c r="H891" s="31">
        <f t="shared" si="129"/>
        <v>158.66999999999999</v>
      </c>
      <c r="I891" s="170" t="s">
        <v>2842</v>
      </c>
      <c r="J891" t="s">
        <v>2853</v>
      </c>
      <c r="K891" s="188" t="s">
        <v>2853</v>
      </c>
    </row>
    <row r="892" spans="1:11" x14ac:dyDescent="0.25">
      <c r="A892" t="s">
        <v>5462</v>
      </c>
      <c r="B892" s="27" t="s">
        <v>917</v>
      </c>
      <c r="D892" s="28" t="s">
        <v>3030</v>
      </c>
      <c r="E892" s="29" t="s">
        <v>21</v>
      </c>
      <c r="F892" s="30">
        <v>1</v>
      </c>
      <c r="G892" s="31">
        <v>158.66999999999999</v>
      </c>
      <c r="H892" s="31">
        <f t="shared" si="129"/>
        <v>158.66999999999999</v>
      </c>
      <c r="I892" s="170" t="s">
        <v>2842</v>
      </c>
      <c r="J892" t="s">
        <v>2853</v>
      </c>
      <c r="K892" s="188" t="s">
        <v>2853</v>
      </c>
    </row>
    <row r="893" spans="1:11" x14ac:dyDescent="0.25">
      <c r="A893" t="s">
        <v>5463</v>
      </c>
      <c r="B893" s="27" t="s">
        <v>918</v>
      </c>
      <c r="D893" s="28" t="s">
        <v>3031</v>
      </c>
      <c r="E893" s="29" t="s">
        <v>563</v>
      </c>
      <c r="F893" s="30">
        <v>1</v>
      </c>
      <c r="G893" s="31">
        <v>158.66999999999999</v>
      </c>
      <c r="H893" s="31">
        <f t="shared" si="129"/>
        <v>158.66999999999999</v>
      </c>
      <c r="I893" s="170" t="s">
        <v>2842</v>
      </c>
      <c r="J893" t="s">
        <v>2853</v>
      </c>
      <c r="K893" s="188" t="s">
        <v>2853</v>
      </c>
    </row>
    <row r="894" spans="1:11" x14ac:dyDescent="0.25">
      <c r="A894" t="s">
        <v>5464</v>
      </c>
      <c r="B894" s="27" t="s">
        <v>919</v>
      </c>
      <c r="D894" s="28" t="s">
        <v>3032</v>
      </c>
      <c r="E894" s="29" t="s">
        <v>563</v>
      </c>
      <c r="F894" s="30">
        <v>1</v>
      </c>
      <c r="G894" s="31">
        <v>158.66999999999999</v>
      </c>
      <c r="H894" s="31">
        <f t="shared" si="129"/>
        <v>158.66999999999999</v>
      </c>
      <c r="I894" s="170" t="s">
        <v>2842</v>
      </c>
      <c r="J894" t="s">
        <v>2853</v>
      </c>
      <c r="K894" s="188" t="s">
        <v>2853</v>
      </c>
    </row>
    <row r="895" spans="1:11" ht="24" customHeight="1" x14ac:dyDescent="0.25">
      <c r="A895" t="s">
        <v>5465</v>
      </c>
      <c r="B895" s="27" t="s">
        <v>920</v>
      </c>
      <c r="D895" s="28" t="s">
        <v>3033</v>
      </c>
      <c r="E895" s="29" t="s">
        <v>563</v>
      </c>
      <c r="F895" s="30">
        <v>1</v>
      </c>
      <c r="G895" s="31">
        <v>158.66999999999999</v>
      </c>
      <c r="H895" s="31">
        <f t="shared" si="129"/>
        <v>158.66999999999999</v>
      </c>
      <c r="I895" s="170" t="s">
        <v>2842</v>
      </c>
      <c r="J895" t="s">
        <v>2853</v>
      </c>
      <c r="K895" s="188" t="s">
        <v>2853</v>
      </c>
    </row>
    <row r="896" spans="1:11" x14ac:dyDescent="0.25">
      <c r="A896" t="s">
        <v>5466</v>
      </c>
      <c r="B896" s="27" t="s">
        <v>921</v>
      </c>
      <c r="D896" s="28" t="s">
        <v>3034</v>
      </c>
      <c r="E896" s="29" t="s">
        <v>671</v>
      </c>
      <c r="F896" s="30">
        <v>1</v>
      </c>
      <c r="G896" s="31">
        <v>158.66999999999999</v>
      </c>
      <c r="H896" s="31">
        <f t="shared" si="129"/>
        <v>158.66999999999999</v>
      </c>
      <c r="I896" s="170" t="s">
        <v>2842</v>
      </c>
      <c r="J896" t="s">
        <v>2853</v>
      </c>
      <c r="K896" s="188" t="s">
        <v>2853</v>
      </c>
    </row>
    <row r="897" spans="1:11" x14ac:dyDescent="0.25">
      <c r="A897" t="s">
        <v>5467</v>
      </c>
      <c r="B897" s="27" t="s">
        <v>922</v>
      </c>
      <c r="D897" s="28" t="s">
        <v>3035</v>
      </c>
      <c r="E897" s="29" t="s">
        <v>671</v>
      </c>
      <c r="F897" s="30">
        <v>1</v>
      </c>
      <c r="G897" s="31">
        <v>158.66999999999999</v>
      </c>
      <c r="H897" s="31">
        <f t="shared" si="129"/>
        <v>158.66999999999999</v>
      </c>
      <c r="I897" s="170" t="s">
        <v>2842</v>
      </c>
      <c r="J897" t="s">
        <v>2853</v>
      </c>
      <c r="K897" s="188" t="s">
        <v>2853</v>
      </c>
    </row>
    <row r="898" spans="1:11" x14ac:dyDescent="0.25">
      <c r="A898" t="s">
        <v>5468</v>
      </c>
      <c r="B898" s="27" t="s">
        <v>923</v>
      </c>
      <c r="D898" s="28" t="s">
        <v>3036</v>
      </c>
      <c r="E898" s="29" t="s">
        <v>671</v>
      </c>
      <c r="F898" s="30">
        <v>1</v>
      </c>
      <c r="G898" s="31">
        <v>158.66999999999999</v>
      </c>
      <c r="H898" s="31">
        <f t="shared" si="129"/>
        <v>158.66999999999999</v>
      </c>
      <c r="I898" s="170" t="s">
        <v>2842</v>
      </c>
      <c r="J898" t="s">
        <v>2853</v>
      </c>
      <c r="K898" s="188" t="s">
        <v>2853</v>
      </c>
    </row>
    <row r="899" spans="1:11" x14ac:dyDescent="0.25">
      <c r="A899" t="s">
        <v>5469</v>
      </c>
      <c r="B899" s="27" t="s">
        <v>924</v>
      </c>
      <c r="D899" s="28" t="s">
        <v>3037</v>
      </c>
      <c r="E899" s="29" t="s">
        <v>21</v>
      </c>
      <c r="F899" s="30">
        <v>1</v>
      </c>
      <c r="G899" s="31">
        <v>178.49</v>
      </c>
      <c r="H899" s="31">
        <f t="shared" si="129"/>
        <v>178.49</v>
      </c>
      <c r="I899" s="170" t="s">
        <v>2842</v>
      </c>
      <c r="J899" t="s">
        <v>2853</v>
      </c>
      <c r="K899" s="188" t="s">
        <v>2853</v>
      </c>
    </row>
    <row r="900" spans="1:11" x14ac:dyDescent="0.25">
      <c r="A900" t="s">
        <v>5470</v>
      </c>
      <c r="B900" s="27" t="s">
        <v>925</v>
      </c>
      <c r="D900" s="28" t="s">
        <v>3038</v>
      </c>
      <c r="E900" s="29" t="s">
        <v>21</v>
      </c>
      <c r="F900" s="30">
        <v>1</v>
      </c>
      <c r="G900" s="31">
        <v>178.49</v>
      </c>
      <c r="H900" s="31">
        <f t="shared" si="129"/>
        <v>178.49</v>
      </c>
      <c r="I900" s="170" t="s">
        <v>2842</v>
      </c>
      <c r="J900" t="s">
        <v>2853</v>
      </c>
      <c r="K900" s="188" t="s">
        <v>2853</v>
      </c>
    </row>
    <row r="901" spans="1:11" x14ac:dyDescent="0.25">
      <c r="A901" t="s">
        <v>5471</v>
      </c>
      <c r="B901" s="27" t="s">
        <v>926</v>
      </c>
      <c r="D901" s="28" t="s">
        <v>3039</v>
      </c>
      <c r="E901" s="29" t="s">
        <v>21</v>
      </c>
      <c r="F901" s="30">
        <v>1</v>
      </c>
      <c r="G901" s="31">
        <v>178.49</v>
      </c>
      <c r="H901" s="31">
        <f t="shared" si="129"/>
        <v>178.49</v>
      </c>
      <c r="I901" s="170" t="s">
        <v>2842</v>
      </c>
      <c r="J901" t="s">
        <v>2853</v>
      </c>
      <c r="K901" s="188" t="s">
        <v>2853</v>
      </c>
    </row>
    <row r="902" spans="1:11" x14ac:dyDescent="0.25">
      <c r="A902" t="s">
        <v>5472</v>
      </c>
      <c r="B902" s="27" t="s">
        <v>927</v>
      </c>
      <c r="D902" s="28" t="s">
        <v>3040</v>
      </c>
      <c r="E902" s="29" t="s">
        <v>563</v>
      </c>
      <c r="F902" s="30">
        <v>1</v>
      </c>
      <c r="G902" s="31">
        <v>178.49</v>
      </c>
      <c r="H902" s="31">
        <f t="shared" si="129"/>
        <v>178.49</v>
      </c>
      <c r="I902" s="170" t="s">
        <v>2842</v>
      </c>
      <c r="J902" t="s">
        <v>2853</v>
      </c>
      <c r="K902" s="188" t="s">
        <v>2853</v>
      </c>
    </row>
    <row r="903" spans="1:11" x14ac:dyDescent="0.25">
      <c r="A903" t="s">
        <v>5473</v>
      </c>
      <c r="B903" s="27" t="s">
        <v>928</v>
      </c>
      <c r="D903" s="28" t="s">
        <v>3041</v>
      </c>
      <c r="E903" s="29" t="s">
        <v>563</v>
      </c>
      <c r="F903" s="30">
        <v>1</v>
      </c>
      <c r="G903" s="31">
        <v>178.49</v>
      </c>
      <c r="H903" s="31">
        <f t="shared" si="129"/>
        <v>178.49</v>
      </c>
      <c r="I903" s="170" t="s">
        <v>2842</v>
      </c>
      <c r="J903" t="s">
        <v>2853</v>
      </c>
      <c r="K903" s="188" t="s">
        <v>2853</v>
      </c>
    </row>
    <row r="904" spans="1:11" x14ac:dyDescent="0.25">
      <c r="A904" t="s">
        <v>5474</v>
      </c>
      <c r="B904" s="27" t="s">
        <v>929</v>
      </c>
      <c r="D904" s="28" t="s">
        <v>3042</v>
      </c>
      <c r="E904" s="29" t="s">
        <v>563</v>
      </c>
      <c r="F904" s="30">
        <v>1</v>
      </c>
      <c r="G904" s="31">
        <v>178.49</v>
      </c>
      <c r="H904" s="31">
        <f t="shared" si="129"/>
        <v>178.49</v>
      </c>
      <c r="I904" s="170" t="s">
        <v>2842</v>
      </c>
      <c r="J904" t="s">
        <v>2853</v>
      </c>
      <c r="K904" s="188" t="s">
        <v>2853</v>
      </c>
    </row>
    <row r="905" spans="1:11" x14ac:dyDescent="0.25">
      <c r="A905" t="s">
        <v>5475</v>
      </c>
      <c r="B905" s="27" t="s">
        <v>930</v>
      </c>
      <c r="D905" s="28" t="s">
        <v>3043</v>
      </c>
      <c r="E905" s="29" t="s">
        <v>671</v>
      </c>
      <c r="F905" s="30">
        <v>1</v>
      </c>
      <c r="G905" s="31">
        <v>178.49</v>
      </c>
      <c r="H905" s="31">
        <f t="shared" si="129"/>
        <v>178.49</v>
      </c>
      <c r="I905" s="170" t="s">
        <v>2842</v>
      </c>
      <c r="J905" t="s">
        <v>2853</v>
      </c>
      <c r="K905" s="188" t="s">
        <v>2853</v>
      </c>
    </row>
    <row r="906" spans="1:11" x14ac:dyDescent="0.25">
      <c r="A906" t="s">
        <v>5476</v>
      </c>
      <c r="B906" s="27" t="s">
        <v>931</v>
      </c>
      <c r="D906" s="28" t="s">
        <v>3044</v>
      </c>
      <c r="E906" s="29" t="s">
        <v>671</v>
      </c>
      <c r="F906" s="30">
        <v>1</v>
      </c>
      <c r="G906" s="31">
        <v>178.49</v>
      </c>
      <c r="H906" s="31">
        <f t="shared" si="129"/>
        <v>178.49</v>
      </c>
      <c r="I906" s="170" t="s">
        <v>2842</v>
      </c>
      <c r="J906" t="s">
        <v>2853</v>
      </c>
      <c r="K906" s="188" t="s">
        <v>2853</v>
      </c>
    </row>
    <row r="907" spans="1:11" x14ac:dyDescent="0.25">
      <c r="A907" t="s">
        <v>5477</v>
      </c>
      <c r="B907" s="27" t="s">
        <v>932</v>
      </c>
      <c r="D907" s="28" t="s">
        <v>3045</v>
      </c>
      <c r="E907" s="29" t="s">
        <v>671</v>
      </c>
      <c r="F907" s="30">
        <v>1</v>
      </c>
      <c r="G907" s="31">
        <v>178.49</v>
      </c>
      <c r="H907" s="31">
        <f t="shared" si="129"/>
        <v>178.49</v>
      </c>
      <c r="I907" s="170" t="s">
        <v>2842</v>
      </c>
      <c r="J907" t="s">
        <v>2853</v>
      </c>
      <c r="K907" s="188" t="s">
        <v>2853</v>
      </c>
    </row>
    <row r="908" spans="1:11" x14ac:dyDescent="0.25">
      <c r="A908" t="s">
        <v>5478</v>
      </c>
      <c r="B908" s="27" t="s">
        <v>933</v>
      </c>
      <c r="D908" s="28" t="s">
        <v>3046</v>
      </c>
      <c r="E908" s="29" t="s">
        <v>21</v>
      </c>
      <c r="F908" s="30">
        <v>1</v>
      </c>
      <c r="G908" s="31">
        <v>145.44</v>
      </c>
      <c r="H908" s="31">
        <f t="shared" si="129"/>
        <v>145.44</v>
      </c>
      <c r="I908" s="170" t="s">
        <v>2842</v>
      </c>
      <c r="J908" t="s">
        <v>2853</v>
      </c>
      <c r="K908" s="188" t="s">
        <v>2853</v>
      </c>
    </row>
    <row r="909" spans="1:11" x14ac:dyDescent="0.25">
      <c r="A909" t="s">
        <v>5479</v>
      </c>
      <c r="B909" s="27" t="s">
        <v>934</v>
      </c>
      <c r="D909" s="28" t="s">
        <v>3047</v>
      </c>
      <c r="E909" s="29" t="s">
        <v>21</v>
      </c>
      <c r="F909" s="30">
        <v>1</v>
      </c>
      <c r="G909" s="31">
        <v>145.44</v>
      </c>
      <c r="H909" s="31">
        <f t="shared" si="129"/>
        <v>145.44</v>
      </c>
      <c r="I909" s="170" t="s">
        <v>2842</v>
      </c>
      <c r="J909" t="s">
        <v>2853</v>
      </c>
      <c r="K909" s="188" t="s">
        <v>2853</v>
      </c>
    </row>
    <row r="910" spans="1:11" x14ac:dyDescent="0.25">
      <c r="A910" t="s">
        <v>5480</v>
      </c>
      <c r="B910" s="27" t="s">
        <v>935</v>
      </c>
      <c r="D910" s="28" t="s">
        <v>3048</v>
      </c>
      <c r="E910" s="29" t="s">
        <v>21</v>
      </c>
      <c r="F910" s="30">
        <v>1</v>
      </c>
      <c r="G910" s="31">
        <v>145.44</v>
      </c>
      <c r="H910" s="31">
        <f t="shared" si="129"/>
        <v>145.44</v>
      </c>
      <c r="I910" s="170" t="s">
        <v>2842</v>
      </c>
      <c r="J910" t="s">
        <v>2853</v>
      </c>
      <c r="K910" s="188" t="s">
        <v>2853</v>
      </c>
    </row>
    <row r="911" spans="1:11" x14ac:dyDescent="0.25">
      <c r="A911" t="s">
        <v>5481</v>
      </c>
      <c r="B911" s="27" t="s">
        <v>936</v>
      </c>
      <c r="D911" s="28" t="s">
        <v>3049</v>
      </c>
      <c r="E911" s="29" t="s">
        <v>563</v>
      </c>
      <c r="F911" s="30">
        <v>1</v>
      </c>
      <c r="G911" s="31">
        <v>145.44</v>
      </c>
      <c r="H911" s="31">
        <f t="shared" si="129"/>
        <v>145.44</v>
      </c>
      <c r="I911" s="170" t="s">
        <v>2842</v>
      </c>
      <c r="J911" t="s">
        <v>2853</v>
      </c>
      <c r="K911" s="188" t="s">
        <v>2853</v>
      </c>
    </row>
    <row r="912" spans="1:11" x14ac:dyDescent="0.25">
      <c r="A912" t="s">
        <v>5482</v>
      </c>
      <c r="B912" s="27" t="s">
        <v>937</v>
      </c>
      <c r="D912" s="28" t="s">
        <v>3050</v>
      </c>
      <c r="E912" s="29" t="s">
        <v>563</v>
      </c>
      <c r="F912" s="30">
        <v>1</v>
      </c>
      <c r="G912" s="31">
        <v>145.44</v>
      </c>
      <c r="H912" s="31">
        <f t="shared" si="129"/>
        <v>145.44</v>
      </c>
      <c r="I912" s="170" t="s">
        <v>2842</v>
      </c>
      <c r="J912" t="s">
        <v>2853</v>
      </c>
      <c r="K912" s="188" t="s">
        <v>2853</v>
      </c>
    </row>
    <row r="913" spans="1:11" x14ac:dyDescent="0.25">
      <c r="A913" t="s">
        <v>5483</v>
      </c>
      <c r="B913" s="27" t="s">
        <v>938</v>
      </c>
      <c r="D913" s="28" t="s">
        <v>3051</v>
      </c>
      <c r="E913" s="29" t="s">
        <v>563</v>
      </c>
      <c r="F913" s="30">
        <v>1</v>
      </c>
      <c r="G913" s="31">
        <v>145.44</v>
      </c>
      <c r="H913" s="31">
        <f t="shared" si="129"/>
        <v>145.44</v>
      </c>
      <c r="I913" s="170" t="s">
        <v>2842</v>
      </c>
      <c r="J913" t="s">
        <v>2853</v>
      </c>
      <c r="K913" s="188" t="s">
        <v>2853</v>
      </c>
    </row>
    <row r="914" spans="1:11" x14ac:dyDescent="0.25">
      <c r="A914" t="s">
        <v>5484</v>
      </c>
      <c r="B914" s="27" t="s">
        <v>939</v>
      </c>
      <c r="D914" s="28" t="s">
        <v>3052</v>
      </c>
      <c r="E914" s="29" t="s">
        <v>671</v>
      </c>
      <c r="F914" s="30">
        <v>1</v>
      </c>
      <c r="G914" s="31">
        <v>145.44</v>
      </c>
      <c r="H914" s="31">
        <f t="shared" si="129"/>
        <v>145.44</v>
      </c>
      <c r="I914" s="170" t="s">
        <v>2842</v>
      </c>
      <c r="J914" t="s">
        <v>2853</v>
      </c>
      <c r="K914" s="188" t="s">
        <v>2853</v>
      </c>
    </row>
    <row r="915" spans="1:11" x14ac:dyDescent="0.25">
      <c r="A915" t="s">
        <v>5485</v>
      </c>
      <c r="B915" s="27" t="s">
        <v>940</v>
      </c>
      <c r="D915" s="28" t="s">
        <v>3053</v>
      </c>
      <c r="E915" s="29" t="s">
        <v>671</v>
      </c>
      <c r="F915" s="30">
        <v>1</v>
      </c>
      <c r="G915" s="31">
        <v>145.44</v>
      </c>
      <c r="H915" s="31">
        <f t="shared" si="129"/>
        <v>145.44</v>
      </c>
      <c r="I915" s="170" t="s">
        <v>2842</v>
      </c>
      <c r="J915" t="s">
        <v>2853</v>
      </c>
      <c r="K915" s="188" t="s">
        <v>2853</v>
      </c>
    </row>
    <row r="916" spans="1:11" x14ac:dyDescent="0.25">
      <c r="A916" t="s">
        <v>5486</v>
      </c>
      <c r="B916" s="27" t="s">
        <v>941</v>
      </c>
      <c r="D916" s="28" t="s">
        <v>3054</v>
      </c>
      <c r="E916" s="29" t="s">
        <v>671</v>
      </c>
      <c r="F916" s="30">
        <v>1</v>
      </c>
      <c r="G916" s="31">
        <v>145.44</v>
      </c>
      <c r="H916" s="31">
        <f t="shared" si="129"/>
        <v>145.44</v>
      </c>
      <c r="I916" s="170" t="s">
        <v>2842</v>
      </c>
      <c r="J916" t="s">
        <v>2853</v>
      </c>
      <c r="K916" s="188" t="s">
        <v>2853</v>
      </c>
    </row>
    <row r="917" spans="1:11" x14ac:dyDescent="0.25">
      <c r="A917" t="s">
        <v>5487</v>
      </c>
      <c r="B917" s="27" t="s">
        <v>942</v>
      </c>
      <c r="D917" s="28" t="s">
        <v>3055</v>
      </c>
      <c r="E917" s="29" t="s">
        <v>21</v>
      </c>
      <c r="F917" s="30">
        <v>1</v>
      </c>
      <c r="G917" s="31">
        <v>165.27</v>
      </c>
      <c r="H917" s="31">
        <f t="shared" si="129"/>
        <v>165.27</v>
      </c>
      <c r="I917" s="170" t="s">
        <v>2842</v>
      </c>
      <c r="J917" t="s">
        <v>2853</v>
      </c>
      <c r="K917" s="188" t="s">
        <v>2853</v>
      </c>
    </row>
    <row r="918" spans="1:11" x14ac:dyDescent="0.25">
      <c r="A918" t="s">
        <v>5488</v>
      </c>
      <c r="B918" s="27" t="s">
        <v>943</v>
      </c>
      <c r="D918" s="28" t="s">
        <v>3056</v>
      </c>
      <c r="E918" s="29" t="s">
        <v>21</v>
      </c>
      <c r="F918" s="30">
        <v>1</v>
      </c>
      <c r="G918" s="31">
        <v>165.27</v>
      </c>
      <c r="H918" s="31">
        <f t="shared" si="129"/>
        <v>165.27</v>
      </c>
      <c r="I918" s="170" t="s">
        <v>2842</v>
      </c>
      <c r="J918" t="s">
        <v>2853</v>
      </c>
      <c r="K918" s="188" t="s">
        <v>2853</v>
      </c>
    </row>
    <row r="919" spans="1:11" x14ac:dyDescent="0.25">
      <c r="A919" t="s">
        <v>5489</v>
      </c>
      <c r="B919" s="27" t="s">
        <v>944</v>
      </c>
      <c r="D919" s="28" t="s">
        <v>3057</v>
      </c>
      <c r="E919" s="29" t="s">
        <v>21</v>
      </c>
      <c r="F919" s="30">
        <v>1</v>
      </c>
      <c r="G919" s="31">
        <v>165.27</v>
      </c>
      <c r="H919" s="31">
        <f t="shared" si="129"/>
        <v>165.27</v>
      </c>
      <c r="I919" s="170" t="s">
        <v>2842</v>
      </c>
      <c r="J919" t="s">
        <v>2853</v>
      </c>
      <c r="K919" s="188" t="s">
        <v>2853</v>
      </c>
    </row>
    <row r="920" spans="1:11" x14ac:dyDescent="0.25">
      <c r="A920" t="s">
        <v>5490</v>
      </c>
      <c r="B920" s="27" t="s">
        <v>945</v>
      </c>
      <c r="D920" s="28" t="s">
        <v>3058</v>
      </c>
      <c r="E920" s="29" t="s">
        <v>563</v>
      </c>
      <c r="F920" s="30">
        <v>1</v>
      </c>
      <c r="G920" s="31">
        <v>165.27</v>
      </c>
      <c r="H920" s="31">
        <f t="shared" si="129"/>
        <v>165.27</v>
      </c>
      <c r="I920" s="170" t="s">
        <v>2842</v>
      </c>
      <c r="J920" t="s">
        <v>2853</v>
      </c>
      <c r="K920" s="188" t="s">
        <v>2853</v>
      </c>
    </row>
    <row r="921" spans="1:11" x14ac:dyDescent="0.25">
      <c r="A921" t="s">
        <v>5491</v>
      </c>
      <c r="B921" s="27" t="s">
        <v>946</v>
      </c>
      <c r="D921" s="28" t="s">
        <v>3059</v>
      </c>
      <c r="E921" s="29" t="s">
        <v>563</v>
      </c>
      <c r="F921" s="30">
        <v>1</v>
      </c>
      <c r="G921" s="31">
        <v>165.27</v>
      </c>
      <c r="H921" s="31">
        <f t="shared" si="129"/>
        <v>165.27</v>
      </c>
      <c r="I921" s="170" t="s">
        <v>2842</v>
      </c>
      <c r="J921" t="s">
        <v>2853</v>
      </c>
      <c r="K921" s="188" t="s">
        <v>2853</v>
      </c>
    </row>
    <row r="922" spans="1:11" x14ac:dyDescent="0.25">
      <c r="A922" t="s">
        <v>5492</v>
      </c>
      <c r="B922" s="27" t="s">
        <v>947</v>
      </c>
      <c r="D922" s="28" t="s">
        <v>3060</v>
      </c>
      <c r="E922" s="29" t="s">
        <v>563</v>
      </c>
      <c r="F922" s="30">
        <v>1</v>
      </c>
      <c r="G922" s="31">
        <v>165.27</v>
      </c>
      <c r="H922" s="31">
        <f t="shared" si="129"/>
        <v>165.27</v>
      </c>
      <c r="I922" s="170" t="s">
        <v>2842</v>
      </c>
      <c r="J922" t="s">
        <v>2853</v>
      </c>
      <c r="K922" s="188" t="s">
        <v>2853</v>
      </c>
    </row>
    <row r="923" spans="1:11" x14ac:dyDescent="0.25">
      <c r="A923" t="s">
        <v>5493</v>
      </c>
      <c r="B923" s="27" t="s">
        <v>948</v>
      </c>
      <c r="D923" s="28" t="s">
        <v>3061</v>
      </c>
      <c r="E923" s="29" t="s">
        <v>671</v>
      </c>
      <c r="F923" s="30">
        <v>1</v>
      </c>
      <c r="G923" s="31">
        <v>165.27</v>
      </c>
      <c r="H923" s="31">
        <f t="shared" si="129"/>
        <v>165.27</v>
      </c>
      <c r="I923" s="170" t="s">
        <v>2842</v>
      </c>
      <c r="J923" t="s">
        <v>2853</v>
      </c>
      <c r="K923" s="188" t="s">
        <v>2853</v>
      </c>
    </row>
    <row r="924" spans="1:11" x14ac:dyDescent="0.25">
      <c r="A924" t="s">
        <v>5494</v>
      </c>
      <c r="B924" s="27" t="s">
        <v>949</v>
      </c>
      <c r="D924" s="28" t="s">
        <v>3062</v>
      </c>
      <c r="E924" s="29" t="s">
        <v>671</v>
      </c>
      <c r="F924" s="30">
        <v>1</v>
      </c>
      <c r="G924" s="31">
        <v>165.27</v>
      </c>
      <c r="H924" s="31">
        <f t="shared" si="129"/>
        <v>165.27</v>
      </c>
      <c r="I924" s="170" t="s">
        <v>2842</v>
      </c>
      <c r="J924" t="s">
        <v>2853</v>
      </c>
      <c r="K924" s="188" t="s">
        <v>2853</v>
      </c>
    </row>
    <row r="925" spans="1:11" x14ac:dyDescent="0.25">
      <c r="A925" t="s">
        <v>5495</v>
      </c>
      <c r="B925" s="27" t="s">
        <v>950</v>
      </c>
      <c r="D925" s="28" t="s">
        <v>3063</v>
      </c>
      <c r="E925" s="29" t="s">
        <v>671</v>
      </c>
      <c r="F925" s="30">
        <v>1</v>
      </c>
      <c r="G925" s="31">
        <v>165.27</v>
      </c>
      <c r="H925" s="31">
        <f t="shared" si="129"/>
        <v>165.27</v>
      </c>
      <c r="I925" s="170" t="s">
        <v>2842</v>
      </c>
      <c r="J925" t="s">
        <v>2853</v>
      </c>
      <c r="K925" s="188" t="s">
        <v>2853</v>
      </c>
    </row>
    <row r="926" spans="1:11" x14ac:dyDescent="0.25">
      <c r="A926" t="s">
        <v>5496</v>
      </c>
      <c r="B926" s="27" t="s">
        <v>951</v>
      </c>
      <c r="D926" s="28" t="s">
        <v>3064</v>
      </c>
      <c r="E926" s="29" t="s">
        <v>21</v>
      </c>
      <c r="F926" s="30">
        <v>1</v>
      </c>
      <c r="G926" s="31">
        <v>185.1</v>
      </c>
      <c r="H926" s="31">
        <f t="shared" si="129"/>
        <v>185.1</v>
      </c>
      <c r="I926" s="170" t="s">
        <v>2842</v>
      </c>
      <c r="J926" t="s">
        <v>2853</v>
      </c>
      <c r="K926" s="188" t="s">
        <v>2853</v>
      </c>
    </row>
    <row r="927" spans="1:11" x14ac:dyDescent="0.25">
      <c r="A927" t="s">
        <v>5497</v>
      </c>
      <c r="B927" s="27" t="s">
        <v>952</v>
      </c>
      <c r="D927" s="28" t="s">
        <v>3065</v>
      </c>
      <c r="E927" s="29" t="s">
        <v>21</v>
      </c>
      <c r="F927" s="30">
        <v>1</v>
      </c>
      <c r="G927" s="31">
        <v>185.1</v>
      </c>
      <c r="H927" s="31">
        <f t="shared" si="129"/>
        <v>185.1</v>
      </c>
      <c r="I927" s="170" t="s">
        <v>2842</v>
      </c>
      <c r="J927" t="s">
        <v>2853</v>
      </c>
      <c r="K927" s="188" t="s">
        <v>2853</v>
      </c>
    </row>
    <row r="928" spans="1:11" x14ac:dyDescent="0.25">
      <c r="A928" t="s">
        <v>5498</v>
      </c>
      <c r="B928" s="27" t="s">
        <v>953</v>
      </c>
      <c r="D928" s="28" t="s">
        <v>3066</v>
      </c>
      <c r="E928" s="29" t="s">
        <v>21</v>
      </c>
      <c r="F928" s="30">
        <v>1</v>
      </c>
      <c r="G928" s="31">
        <v>185.1</v>
      </c>
      <c r="H928" s="31">
        <f t="shared" ref="H928:H991" si="130">+F928*G928</f>
        <v>185.1</v>
      </c>
      <c r="I928" s="170" t="s">
        <v>2842</v>
      </c>
      <c r="J928" t="s">
        <v>2853</v>
      </c>
      <c r="K928" s="188" t="s">
        <v>2853</v>
      </c>
    </row>
    <row r="929" spans="1:11" x14ac:dyDescent="0.25">
      <c r="A929" t="s">
        <v>5499</v>
      </c>
      <c r="B929" s="27" t="s">
        <v>954</v>
      </c>
      <c r="D929" s="28" t="s">
        <v>3067</v>
      </c>
      <c r="E929" s="29" t="s">
        <v>563</v>
      </c>
      <c r="F929" s="30">
        <v>1</v>
      </c>
      <c r="G929" s="31">
        <v>185.1</v>
      </c>
      <c r="H929" s="31">
        <f t="shared" si="130"/>
        <v>185.1</v>
      </c>
      <c r="I929" s="170" t="s">
        <v>2842</v>
      </c>
      <c r="J929" t="s">
        <v>2853</v>
      </c>
      <c r="K929" s="188" t="s">
        <v>2853</v>
      </c>
    </row>
    <row r="930" spans="1:11" x14ac:dyDescent="0.25">
      <c r="A930" t="s">
        <v>5500</v>
      </c>
      <c r="B930" s="27" t="s">
        <v>955</v>
      </c>
      <c r="D930" s="28" t="s">
        <v>3068</v>
      </c>
      <c r="E930" s="29" t="s">
        <v>563</v>
      </c>
      <c r="F930" s="30">
        <v>1</v>
      </c>
      <c r="G930" s="31">
        <v>185.1</v>
      </c>
      <c r="H930" s="31">
        <f t="shared" si="130"/>
        <v>185.1</v>
      </c>
      <c r="I930" s="170" t="s">
        <v>2842</v>
      </c>
      <c r="J930" t="s">
        <v>2853</v>
      </c>
      <c r="K930" s="188" t="s">
        <v>2853</v>
      </c>
    </row>
    <row r="931" spans="1:11" x14ac:dyDescent="0.25">
      <c r="A931" t="s">
        <v>5501</v>
      </c>
      <c r="B931" s="27" t="s">
        <v>956</v>
      </c>
      <c r="D931" s="28" t="s">
        <v>3069</v>
      </c>
      <c r="E931" s="29" t="s">
        <v>563</v>
      </c>
      <c r="F931" s="30">
        <v>1</v>
      </c>
      <c r="G931" s="31">
        <v>185.1</v>
      </c>
      <c r="H931" s="31">
        <f t="shared" si="130"/>
        <v>185.1</v>
      </c>
      <c r="I931" s="170" t="s">
        <v>2842</v>
      </c>
      <c r="J931" t="s">
        <v>2853</v>
      </c>
      <c r="K931" s="188" t="s">
        <v>2853</v>
      </c>
    </row>
    <row r="932" spans="1:11" x14ac:dyDescent="0.25">
      <c r="A932" t="s">
        <v>5502</v>
      </c>
      <c r="B932" s="27" t="s">
        <v>957</v>
      </c>
      <c r="D932" s="28" t="s">
        <v>3070</v>
      </c>
      <c r="E932" s="29" t="s">
        <v>671</v>
      </c>
      <c r="F932" s="30">
        <v>1</v>
      </c>
      <c r="G932" s="31">
        <v>185.1</v>
      </c>
      <c r="H932" s="31">
        <f t="shared" si="130"/>
        <v>185.1</v>
      </c>
      <c r="I932" s="170" t="s">
        <v>2842</v>
      </c>
      <c r="J932" t="s">
        <v>2853</v>
      </c>
      <c r="K932" s="188" t="s">
        <v>2853</v>
      </c>
    </row>
    <row r="933" spans="1:11" x14ac:dyDescent="0.25">
      <c r="A933" t="s">
        <v>5503</v>
      </c>
      <c r="B933" s="27" t="s">
        <v>958</v>
      </c>
      <c r="D933" s="28" t="s">
        <v>3071</v>
      </c>
      <c r="E933" s="29" t="s">
        <v>671</v>
      </c>
      <c r="F933" s="30">
        <v>1</v>
      </c>
      <c r="G933" s="31">
        <v>185.1</v>
      </c>
      <c r="H933" s="31">
        <f t="shared" si="130"/>
        <v>185.1</v>
      </c>
      <c r="I933" s="170" t="s">
        <v>2842</v>
      </c>
      <c r="J933" t="s">
        <v>2853</v>
      </c>
      <c r="K933" s="188" t="s">
        <v>2853</v>
      </c>
    </row>
    <row r="934" spans="1:11" x14ac:dyDescent="0.25">
      <c r="A934" t="s">
        <v>5504</v>
      </c>
      <c r="B934" s="27" t="s">
        <v>959</v>
      </c>
      <c r="D934" s="28" t="s">
        <v>3072</v>
      </c>
      <c r="E934" s="29" t="s">
        <v>671</v>
      </c>
      <c r="F934" s="30">
        <v>1</v>
      </c>
      <c r="G934" s="31">
        <v>185.1</v>
      </c>
      <c r="H934" s="31">
        <f t="shared" si="130"/>
        <v>185.1</v>
      </c>
      <c r="I934" s="170" t="s">
        <v>2842</v>
      </c>
      <c r="J934" t="s">
        <v>2853</v>
      </c>
      <c r="K934" s="188" t="s">
        <v>2853</v>
      </c>
    </row>
    <row r="935" spans="1:11" x14ac:dyDescent="0.25">
      <c r="A935" t="s">
        <v>5505</v>
      </c>
      <c r="B935" s="27" t="s">
        <v>960</v>
      </c>
      <c r="D935" s="28" t="s">
        <v>3073</v>
      </c>
      <c r="E935" s="29" t="s">
        <v>21</v>
      </c>
      <c r="F935" s="30">
        <v>1</v>
      </c>
      <c r="G935" s="31">
        <v>204.93</v>
      </c>
      <c r="H935" s="31">
        <f t="shared" si="130"/>
        <v>204.93</v>
      </c>
      <c r="I935" s="170" t="s">
        <v>2842</v>
      </c>
      <c r="J935" t="s">
        <v>2853</v>
      </c>
      <c r="K935" s="188" t="s">
        <v>2853</v>
      </c>
    </row>
    <row r="936" spans="1:11" x14ac:dyDescent="0.25">
      <c r="A936" t="s">
        <v>5506</v>
      </c>
      <c r="B936" s="27" t="s">
        <v>961</v>
      </c>
      <c r="D936" s="28" t="s">
        <v>3074</v>
      </c>
      <c r="E936" s="29" t="s">
        <v>21</v>
      </c>
      <c r="F936" s="30">
        <v>1</v>
      </c>
      <c r="G936" s="31">
        <v>204.93</v>
      </c>
      <c r="H936" s="31">
        <f t="shared" si="130"/>
        <v>204.93</v>
      </c>
      <c r="I936" s="170" t="s">
        <v>2842</v>
      </c>
      <c r="J936" t="s">
        <v>2853</v>
      </c>
      <c r="K936" s="188" t="s">
        <v>2853</v>
      </c>
    </row>
    <row r="937" spans="1:11" x14ac:dyDescent="0.25">
      <c r="A937" t="s">
        <v>5507</v>
      </c>
      <c r="B937" s="27" t="s">
        <v>962</v>
      </c>
      <c r="D937" s="28" t="s">
        <v>3075</v>
      </c>
      <c r="E937" s="29" t="s">
        <v>21</v>
      </c>
      <c r="F937" s="30">
        <v>1</v>
      </c>
      <c r="G937" s="31">
        <v>204.93</v>
      </c>
      <c r="H937" s="31">
        <f t="shared" si="130"/>
        <v>204.93</v>
      </c>
      <c r="I937" s="170" t="s">
        <v>2842</v>
      </c>
      <c r="J937" t="s">
        <v>2853</v>
      </c>
      <c r="K937" s="188" t="s">
        <v>2853</v>
      </c>
    </row>
    <row r="938" spans="1:11" x14ac:dyDescent="0.25">
      <c r="A938" t="s">
        <v>5508</v>
      </c>
      <c r="B938" s="27" t="s">
        <v>963</v>
      </c>
      <c r="D938" s="28" t="s">
        <v>3076</v>
      </c>
      <c r="E938" s="29" t="s">
        <v>563</v>
      </c>
      <c r="F938" s="30">
        <v>1</v>
      </c>
      <c r="G938" s="31">
        <v>204.93</v>
      </c>
      <c r="H938" s="31">
        <f t="shared" si="130"/>
        <v>204.93</v>
      </c>
      <c r="I938" s="170" t="s">
        <v>2842</v>
      </c>
      <c r="J938" t="s">
        <v>2853</v>
      </c>
      <c r="K938" s="188" t="s">
        <v>2853</v>
      </c>
    </row>
    <row r="939" spans="1:11" x14ac:dyDescent="0.25">
      <c r="A939" t="s">
        <v>5509</v>
      </c>
      <c r="B939" s="27" t="s">
        <v>964</v>
      </c>
      <c r="D939" s="28" t="s">
        <v>3077</v>
      </c>
      <c r="E939" s="29" t="s">
        <v>563</v>
      </c>
      <c r="F939" s="30">
        <v>1</v>
      </c>
      <c r="G939" s="31">
        <v>204.93</v>
      </c>
      <c r="H939" s="31">
        <f t="shared" si="130"/>
        <v>204.93</v>
      </c>
      <c r="I939" s="170" t="s">
        <v>2842</v>
      </c>
      <c r="J939" t="s">
        <v>2853</v>
      </c>
      <c r="K939" s="188" t="s">
        <v>2853</v>
      </c>
    </row>
    <row r="940" spans="1:11" x14ac:dyDescent="0.25">
      <c r="A940" t="s">
        <v>5510</v>
      </c>
      <c r="B940" s="27" t="s">
        <v>965</v>
      </c>
      <c r="D940" s="28" t="s">
        <v>3078</v>
      </c>
      <c r="E940" s="29" t="s">
        <v>563</v>
      </c>
      <c r="F940" s="30">
        <v>1</v>
      </c>
      <c r="G940" s="31">
        <v>204.93</v>
      </c>
      <c r="H940" s="31">
        <f t="shared" si="130"/>
        <v>204.93</v>
      </c>
      <c r="I940" s="170" t="s">
        <v>2842</v>
      </c>
      <c r="J940" t="s">
        <v>2853</v>
      </c>
      <c r="K940" s="188" t="s">
        <v>2853</v>
      </c>
    </row>
    <row r="941" spans="1:11" x14ac:dyDescent="0.25">
      <c r="A941" t="s">
        <v>5511</v>
      </c>
      <c r="B941" s="27" t="s">
        <v>966</v>
      </c>
      <c r="D941" s="28" t="s">
        <v>3079</v>
      </c>
      <c r="E941" s="29" t="s">
        <v>671</v>
      </c>
      <c r="F941" s="30">
        <v>1</v>
      </c>
      <c r="G941" s="31">
        <v>204.93</v>
      </c>
      <c r="H941" s="31">
        <f t="shared" si="130"/>
        <v>204.93</v>
      </c>
      <c r="I941" s="170" t="s">
        <v>2842</v>
      </c>
      <c r="J941" t="s">
        <v>2853</v>
      </c>
      <c r="K941" s="188" t="s">
        <v>2853</v>
      </c>
    </row>
    <row r="942" spans="1:11" x14ac:dyDescent="0.25">
      <c r="A942" t="s">
        <v>5512</v>
      </c>
      <c r="B942" s="27" t="s">
        <v>967</v>
      </c>
      <c r="D942" s="28" t="s">
        <v>3080</v>
      </c>
      <c r="E942" s="29" t="s">
        <v>671</v>
      </c>
      <c r="F942" s="30">
        <v>1</v>
      </c>
      <c r="G942" s="31">
        <v>204.93</v>
      </c>
      <c r="H942" s="31">
        <f t="shared" si="130"/>
        <v>204.93</v>
      </c>
      <c r="I942" s="170" t="s">
        <v>2842</v>
      </c>
      <c r="J942" t="s">
        <v>2853</v>
      </c>
      <c r="K942" s="188" t="s">
        <v>2853</v>
      </c>
    </row>
    <row r="943" spans="1:11" x14ac:dyDescent="0.25">
      <c r="A943" t="s">
        <v>5513</v>
      </c>
      <c r="B943" s="27" t="s">
        <v>968</v>
      </c>
      <c r="D943" s="28" t="s">
        <v>3081</v>
      </c>
      <c r="E943" s="29" t="s">
        <v>671</v>
      </c>
      <c r="F943" s="30">
        <v>1</v>
      </c>
      <c r="G943" s="31">
        <v>204.93</v>
      </c>
      <c r="H943" s="31">
        <f t="shared" si="130"/>
        <v>204.93</v>
      </c>
      <c r="I943" s="170" t="s">
        <v>2842</v>
      </c>
      <c r="J943" t="s">
        <v>2853</v>
      </c>
      <c r="K943" s="188" t="s">
        <v>2853</v>
      </c>
    </row>
    <row r="944" spans="1:11" x14ac:dyDescent="0.25">
      <c r="A944" t="s">
        <v>5514</v>
      </c>
      <c r="B944" s="27" t="s">
        <v>969</v>
      </c>
      <c r="D944" s="28" t="s">
        <v>3082</v>
      </c>
      <c r="E944" s="29" t="s">
        <v>21</v>
      </c>
      <c r="F944" s="30">
        <v>1</v>
      </c>
      <c r="G944" s="31">
        <v>145.44</v>
      </c>
      <c r="H944" s="31">
        <f t="shared" si="130"/>
        <v>145.44</v>
      </c>
      <c r="I944" s="170" t="s">
        <v>2842</v>
      </c>
      <c r="J944" t="s">
        <v>2853</v>
      </c>
      <c r="K944" s="188" t="s">
        <v>2853</v>
      </c>
    </row>
    <row r="945" spans="1:11" x14ac:dyDescent="0.25">
      <c r="A945" t="s">
        <v>5515</v>
      </c>
      <c r="B945" s="27" t="s">
        <v>970</v>
      </c>
      <c r="D945" s="28" t="s">
        <v>3083</v>
      </c>
      <c r="E945" s="29" t="s">
        <v>21</v>
      </c>
      <c r="F945" s="30">
        <v>1</v>
      </c>
      <c r="G945" s="31">
        <v>145.44</v>
      </c>
      <c r="H945" s="31">
        <f t="shared" si="130"/>
        <v>145.44</v>
      </c>
      <c r="I945" s="170" t="s">
        <v>2842</v>
      </c>
      <c r="J945" t="s">
        <v>2853</v>
      </c>
      <c r="K945" s="188" t="s">
        <v>2853</v>
      </c>
    </row>
    <row r="946" spans="1:11" x14ac:dyDescent="0.25">
      <c r="A946" t="s">
        <v>5516</v>
      </c>
      <c r="B946" s="27" t="s">
        <v>971</v>
      </c>
      <c r="D946" s="28" t="s">
        <v>3084</v>
      </c>
      <c r="E946" s="29" t="s">
        <v>21</v>
      </c>
      <c r="F946" s="30">
        <v>1</v>
      </c>
      <c r="G946" s="31">
        <v>145.44</v>
      </c>
      <c r="H946" s="31">
        <f t="shared" si="130"/>
        <v>145.44</v>
      </c>
      <c r="I946" s="170" t="s">
        <v>2842</v>
      </c>
      <c r="J946" t="s">
        <v>2853</v>
      </c>
      <c r="K946" s="188" t="s">
        <v>2853</v>
      </c>
    </row>
    <row r="947" spans="1:11" x14ac:dyDescent="0.25">
      <c r="A947" t="s">
        <v>5517</v>
      </c>
      <c r="B947" s="27" t="s">
        <v>972</v>
      </c>
      <c r="D947" s="28" t="s">
        <v>3085</v>
      </c>
      <c r="E947" s="29" t="s">
        <v>563</v>
      </c>
      <c r="F947" s="30">
        <v>1</v>
      </c>
      <c r="G947" s="31">
        <v>145.44</v>
      </c>
      <c r="H947" s="31">
        <f t="shared" si="130"/>
        <v>145.44</v>
      </c>
      <c r="I947" s="170" t="s">
        <v>2842</v>
      </c>
      <c r="J947" t="s">
        <v>2853</v>
      </c>
      <c r="K947" s="188" t="s">
        <v>2853</v>
      </c>
    </row>
    <row r="948" spans="1:11" x14ac:dyDescent="0.25">
      <c r="A948" t="s">
        <v>5518</v>
      </c>
      <c r="B948" s="27" t="s">
        <v>973</v>
      </c>
      <c r="D948" s="28" t="s">
        <v>3086</v>
      </c>
      <c r="E948" s="29" t="s">
        <v>563</v>
      </c>
      <c r="F948" s="30">
        <v>1</v>
      </c>
      <c r="G948" s="31">
        <v>145.44</v>
      </c>
      <c r="H948" s="31">
        <f t="shared" si="130"/>
        <v>145.44</v>
      </c>
      <c r="I948" s="170" t="s">
        <v>2842</v>
      </c>
      <c r="J948" t="s">
        <v>2853</v>
      </c>
      <c r="K948" s="188" t="s">
        <v>2853</v>
      </c>
    </row>
    <row r="949" spans="1:11" x14ac:dyDescent="0.25">
      <c r="A949" t="s">
        <v>5519</v>
      </c>
      <c r="B949" s="27" t="s">
        <v>974</v>
      </c>
      <c r="D949" s="28" t="s">
        <v>3087</v>
      </c>
      <c r="E949" s="29" t="s">
        <v>563</v>
      </c>
      <c r="F949" s="30">
        <v>1</v>
      </c>
      <c r="G949" s="31">
        <v>145.44</v>
      </c>
      <c r="H949" s="31">
        <f t="shared" si="130"/>
        <v>145.44</v>
      </c>
      <c r="I949" s="170" t="s">
        <v>2842</v>
      </c>
      <c r="J949" t="s">
        <v>2853</v>
      </c>
      <c r="K949" s="188" t="s">
        <v>2853</v>
      </c>
    </row>
    <row r="950" spans="1:11" x14ac:dyDescent="0.25">
      <c r="A950" t="s">
        <v>5520</v>
      </c>
      <c r="B950" s="27" t="s">
        <v>975</v>
      </c>
      <c r="D950" s="28" t="s">
        <v>3088</v>
      </c>
      <c r="E950" s="29" t="s">
        <v>671</v>
      </c>
      <c r="F950" s="30">
        <v>1</v>
      </c>
      <c r="G950" s="31">
        <v>145.44</v>
      </c>
      <c r="H950" s="31">
        <f t="shared" si="130"/>
        <v>145.44</v>
      </c>
      <c r="I950" s="170" t="s">
        <v>2842</v>
      </c>
      <c r="J950" t="s">
        <v>2853</v>
      </c>
      <c r="K950" s="188" t="s">
        <v>2853</v>
      </c>
    </row>
    <row r="951" spans="1:11" x14ac:dyDescent="0.25">
      <c r="A951" t="s">
        <v>5521</v>
      </c>
      <c r="B951" s="27" t="s">
        <v>976</v>
      </c>
      <c r="D951" s="28" t="s">
        <v>3089</v>
      </c>
      <c r="E951" s="29" t="s">
        <v>671</v>
      </c>
      <c r="F951" s="30">
        <v>1</v>
      </c>
      <c r="G951" s="31">
        <v>145.44</v>
      </c>
      <c r="H951" s="31">
        <f t="shared" si="130"/>
        <v>145.44</v>
      </c>
      <c r="I951" s="170" t="s">
        <v>2842</v>
      </c>
      <c r="J951" t="s">
        <v>2853</v>
      </c>
      <c r="K951" s="188" t="s">
        <v>2853</v>
      </c>
    </row>
    <row r="952" spans="1:11" x14ac:dyDescent="0.25">
      <c r="A952" t="s">
        <v>5522</v>
      </c>
      <c r="B952" s="27" t="s">
        <v>977</v>
      </c>
      <c r="D952" s="28" t="s">
        <v>3090</v>
      </c>
      <c r="E952" s="29" t="s">
        <v>671</v>
      </c>
      <c r="F952" s="30">
        <v>1</v>
      </c>
      <c r="G952" s="31">
        <v>145.44</v>
      </c>
      <c r="H952" s="31">
        <f t="shared" si="130"/>
        <v>145.44</v>
      </c>
      <c r="I952" s="170" t="s">
        <v>2842</v>
      </c>
      <c r="J952" t="s">
        <v>2853</v>
      </c>
      <c r="K952" s="188" t="s">
        <v>2853</v>
      </c>
    </row>
    <row r="953" spans="1:11" x14ac:dyDescent="0.25">
      <c r="A953" t="s">
        <v>5523</v>
      </c>
      <c r="B953" s="27" t="s">
        <v>978</v>
      </c>
      <c r="D953" s="28" t="s">
        <v>3091</v>
      </c>
      <c r="E953" s="29" t="s">
        <v>21</v>
      </c>
      <c r="F953" s="30">
        <v>1</v>
      </c>
      <c r="G953" s="31">
        <v>185.1</v>
      </c>
      <c r="H953" s="31">
        <f t="shared" si="130"/>
        <v>185.1</v>
      </c>
      <c r="I953" s="170" t="s">
        <v>2842</v>
      </c>
      <c r="J953" t="s">
        <v>2853</v>
      </c>
      <c r="K953" s="188" t="s">
        <v>2853</v>
      </c>
    </row>
    <row r="954" spans="1:11" x14ac:dyDescent="0.25">
      <c r="A954" t="s">
        <v>5524</v>
      </c>
      <c r="B954" s="27" t="s">
        <v>979</v>
      </c>
      <c r="D954" s="28" t="s">
        <v>3092</v>
      </c>
      <c r="E954" s="29" t="s">
        <v>21</v>
      </c>
      <c r="F954" s="30">
        <v>1</v>
      </c>
      <c r="G954" s="31">
        <v>185.1</v>
      </c>
      <c r="H954" s="31">
        <f t="shared" si="130"/>
        <v>185.1</v>
      </c>
      <c r="I954" s="170" t="s">
        <v>2842</v>
      </c>
      <c r="J954" t="s">
        <v>2853</v>
      </c>
      <c r="K954" s="188" t="s">
        <v>2853</v>
      </c>
    </row>
    <row r="955" spans="1:11" x14ac:dyDescent="0.25">
      <c r="A955" t="s">
        <v>5525</v>
      </c>
      <c r="B955" s="27" t="s">
        <v>980</v>
      </c>
      <c r="D955" s="28" t="s">
        <v>3093</v>
      </c>
      <c r="E955" s="29" t="s">
        <v>21</v>
      </c>
      <c r="F955" s="30">
        <v>1</v>
      </c>
      <c r="G955" s="31">
        <v>185.1</v>
      </c>
      <c r="H955" s="31">
        <f t="shared" si="130"/>
        <v>185.1</v>
      </c>
      <c r="I955" s="170" t="s">
        <v>2842</v>
      </c>
      <c r="J955" t="s">
        <v>2853</v>
      </c>
      <c r="K955" s="188" t="s">
        <v>2853</v>
      </c>
    </row>
    <row r="956" spans="1:11" x14ac:dyDescent="0.25">
      <c r="A956" t="s">
        <v>5526</v>
      </c>
      <c r="B956" s="27" t="s">
        <v>981</v>
      </c>
      <c r="D956" s="28" t="s">
        <v>3094</v>
      </c>
      <c r="E956" s="29" t="s">
        <v>563</v>
      </c>
      <c r="F956" s="30">
        <v>1</v>
      </c>
      <c r="G956" s="31">
        <v>185.1</v>
      </c>
      <c r="H956" s="31">
        <f t="shared" si="130"/>
        <v>185.1</v>
      </c>
      <c r="I956" s="170" t="s">
        <v>2842</v>
      </c>
      <c r="J956" t="s">
        <v>2853</v>
      </c>
      <c r="K956" s="188" t="s">
        <v>2853</v>
      </c>
    </row>
    <row r="957" spans="1:11" x14ac:dyDescent="0.25">
      <c r="A957" t="s">
        <v>5527</v>
      </c>
      <c r="B957" s="27" t="s">
        <v>982</v>
      </c>
      <c r="D957" s="28" t="s">
        <v>3095</v>
      </c>
      <c r="E957" s="29" t="s">
        <v>563</v>
      </c>
      <c r="F957" s="30">
        <v>1</v>
      </c>
      <c r="G957" s="31">
        <v>185.1</v>
      </c>
      <c r="H957" s="31">
        <f t="shared" si="130"/>
        <v>185.1</v>
      </c>
      <c r="I957" s="170" t="s">
        <v>2842</v>
      </c>
      <c r="J957" t="s">
        <v>2853</v>
      </c>
      <c r="K957" s="188" t="s">
        <v>2853</v>
      </c>
    </row>
    <row r="958" spans="1:11" x14ac:dyDescent="0.25">
      <c r="A958" t="s">
        <v>5528</v>
      </c>
      <c r="B958" s="27" t="s">
        <v>983</v>
      </c>
      <c r="D958" s="28" t="s">
        <v>3096</v>
      </c>
      <c r="E958" s="29" t="s">
        <v>563</v>
      </c>
      <c r="F958" s="30">
        <v>1</v>
      </c>
      <c r="G958" s="31">
        <v>185.1</v>
      </c>
      <c r="H958" s="31">
        <f t="shared" si="130"/>
        <v>185.1</v>
      </c>
      <c r="I958" s="170" t="s">
        <v>2842</v>
      </c>
      <c r="J958" t="s">
        <v>2853</v>
      </c>
      <c r="K958" s="188" t="s">
        <v>2853</v>
      </c>
    </row>
    <row r="959" spans="1:11" x14ac:dyDescent="0.25">
      <c r="A959" t="s">
        <v>5529</v>
      </c>
      <c r="B959" s="27" t="s">
        <v>984</v>
      </c>
      <c r="D959" s="28" t="s">
        <v>3097</v>
      </c>
      <c r="E959" s="29" t="s">
        <v>671</v>
      </c>
      <c r="F959" s="30">
        <v>1</v>
      </c>
      <c r="G959" s="31">
        <v>185.1</v>
      </c>
      <c r="H959" s="31">
        <f t="shared" si="130"/>
        <v>185.1</v>
      </c>
      <c r="I959" s="170" t="s">
        <v>2842</v>
      </c>
      <c r="J959" t="s">
        <v>2853</v>
      </c>
      <c r="K959" s="188" t="s">
        <v>2853</v>
      </c>
    </row>
    <row r="960" spans="1:11" x14ac:dyDescent="0.25">
      <c r="A960" t="s">
        <v>5530</v>
      </c>
      <c r="B960" s="27" t="s">
        <v>985</v>
      </c>
      <c r="D960" s="28" t="s">
        <v>3098</v>
      </c>
      <c r="E960" s="29" t="s">
        <v>671</v>
      </c>
      <c r="F960" s="30">
        <v>1</v>
      </c>
      <c r="G960" s="31">
        <v>185.1</v>
      </c>
      <c r="H960" s="31">
        <f t="shared" si="130"/>
        <v>185.1</v>
      </c>
      <c r="I960" s="170" t="s">
        <v>2842</v>
      </c>
      <c r="J960" t="s">
        <v>2853</v>
      </c>
      <c r="K960" s="188" t="s">
        <v>2853</v>
      </c>
    </row>
    <row r="961" spans="1:11" x14ac:dyDescent="0.25">
      <c r="A961" t="s">
        <v>5531</v>
      </c>
      <c r="B961" s="27" t="s">
        <v>986</v>
      </c>
      <c r="D961" s="28" t="s">
        <v>3099</v>
      </c>
      <c r="E961" s="29" t="s">
        <v>671</v>
      </c>
      <c r="F961" s="30">
        <v>1</v>
      </c>
      <c r="G961" s="31">
        <v>185.1</v>
      </c>
      <c r="H961" s="31">
        <f t="shared" si="130"/>
        <v>185.1</v>
      </c>
      <c r="I961" s="170" t="s">
        <v>2842</v>
      </c>
      <c r="J961" t="s">
        <v>2853</v>
      </c>
      <c r="K961" s="188" t="s">
        <v>2853</v>
      </c>
    </row>
    <row r="962" spans="1:11" x14ac:dyDescent="0.25">
      <c r="A962" t="s">
        <v>5532</v>
      </c>
      <c r="B962" s="27" t="s">
        <v>987</v>
      </c>
      <c r="D962" s="28" t="s">
        <v>3100</v>
      </c>
      <c r="E962" s="29" t="s">
        <v>21</v>
      </c>
      <c r="F962" s="30">
        <v>1</v>
      </c>
      <c r="G962" s="31">
        <v>218.15</v>
      </c>
      <c r="H962" s="31">
        <f t="shared" si="130"/>
        <v>218.15</v>
      </c>
      <c r="I962" s="170" t="s">
        <v>2842</v>
      </c>
      <c r="J962" t="s">
        <v>2853</v>
      </c>
      <c r="K962" s="188" t="s">
        <v>2853</v>
      </c>
    </row>
    <row r="963" spans="1:11" x14ac:dyDescent="0.25">
      <c r="A963" t="s">
        <v>5533</v>
      </c>
      <c r="B963" s="27" t="s">
        <v>988</v>
      </c>
      <c r="D963" s="28" t="s">
        <v>3101</v>
      </c>
      <c r="E963" s="29" t="s">
        <v>21</v>
      </c>
      <c r="F963" s="30">
        <v>1</v>
      </c>
      <c r="G963" s="31">
        <v>218.15</v>
      </c>
      <c r="H963" s="31">
        <f t="shared" si="130"/>
        <v>218.15</v>
      </c>
      <c r="I963" s="170" t="s">
        <v>2842</v>
      </c>
      <c r="J963" t="s">
        <v>2853</v>
      </c>
      <c r="K963" s="188" t="s">
        <v>2853</v>
      </c>
    </row>
    <row r="964" spans="1:11" x14ac:dyDescent="0.25">
      <c r="A964" t="s">
        <v>5534</v>
      </c>
      <c r="B964" s="27" t="s">
        <v>989</v>
      </c>
      <c r="D964" s="28" t="s">
        <v>3102</v>
      </c>
      <c r="E964" s="29" t="s">
        <v>21</v>
      </c>
      <c r="F964" s="30">
        <v>1</v>
      </c>
      <c r="G964" s="31">
        <v>218.15</v>
      </c>
      <c r="H964" s="31">
        <f t="shared" si="130"/>
        <v>218.15</v>
      </c>
      <c r="I964" s="170" t="s">
        <v>2842</v>
      </c>
      <c r="J964" t="s">
        <v>2853</v>
      </c>
      <c r="K964" s="188" t="s">
        <v>2853</v>
      </c>
    </row>
    <row r="965" spans="1:11" x14ac:dyDescent="0.25">
      <c r="A965" t="s">
        <v>5535</v>
      </c>
      <c r="B965" s="27" t="s">
        <v>990</v>
      </c>
      <c r="D965" s="28" t="s">
        <v>3103</v>
      </c>
      <c r="E965" s="29" t="s">
        <v>563</v>
      </c>
      <c r="F965" s="30">
        <v>1</v>
      </c>
      <c r="G965" s="31">
        <v>218.15</v>
      </c>
      <c r="H965" s="31">
        <f t="shared" si="130"/>
        <v>218.15</v>
      </c>
      <c r="I965" s="170" t="s">
        <v>2842</v>
      </c>
      <c r="J965" t="s">
        <v>2853</v>
      </c>
      <c r="K965" s="188" t="s">
        <v>2853</v>
      </c>
    </row>
    <row r="966" spans="1:11" x14ac:dyDescent="0.25">
      <c r="A966" t="s">
        <v>5536</v>
      </c>
      <c r="B966" s="27" t="s">
        <v>991</v>
      </c>
      <c r="D966" s="28" t="s">
        <v>3104</v>
      </c>
      <c r="E966" s="29" t="s">
        <v>563</v>
      </c>
      <c r="F966" s="30">
        <v>1</v>
      </c>
      <c r="G966" s="31">
        <v>218.15</v>
      </c>
      <c r="H966" s="31">
        <f t="shared" si="130"/>
        <v>218.15</v>
      </c>
      <c r="I966" s="170" t="s">
        <v>2842</v>
      </c>
      <c r="J966" t="s">
        <v>2853</v>
      </c>
      <c r="K966" s="188" t="s">
        <v>2853</v>
      </c>
    </row>
    <row r="967" spans="1:11" x14ac:dyDescent="0.25">
      <c r="A967" t="s">
        <v>5537</v>
      </c>
      <c r="B967" s="27" t="s">
        <v>992</v>
      </c>
      <c r="D967" s="28" t="s">
        <v>3105</v>
      </c>
      <c r="E967" s="29" t="s">
        <v>563</v>
      </c>
      <c r="F967" s="30">
        <v>1</v>
      </c>
      <c r="G967" s="31">
        <v>218.15</v>
      </c>
      <c r="H967" s="31">
        <f t="shared" si="130"/>
        <v>218.15</v>
      </c>
      <c r="I967" s="170" t="s">
        <v>2842</v>
      </c>
      <c r="J967" t="s">
        <v>2853</v>
      </c>
      <c r="K967" s="188" t="s">
        <v>2853</v>
      </c>
    </row>
    <row r="968" spans="1:11" x14ac:dyDescent="0.25">
      <c r="A968" t="s">
        <v>5538</v>
      </c>
      <c r="B968" s="27" t="s">
        <v>993</v>
      </c>
      <c r="D968" s="28" t="s">
        <v>3106</v>
      </c>
      <c r="E968" s="29" t="s">
        <v>671</v>
      </c>
      <c r="F968" s="30">
        <v>1</v>
      </c>
      <c r="G968" s="31">
        <v>218.15</v>
      </c>
      <c r="H968" s="31">
        <f t="shared" si="130"/>
        <v>218.15</v>
      </c>
      <c r="I968" s="170" t="s">
        <v>2842</v>
      </c>
      <c r="J968" t="s">
        <v>2853</v>
      </c>
      <c r="K968" s="188" t="s">
        <v>2853</v>
      </c>
    </row>
    <row r="969" spans="1:11" x14ac:dyDescent="0.25">
      <c r="A969" t="s">
        <v>5539</v>
      </c>
      <c r="B969" s="27" t="s">
        <v>994</v>
      </c>
      <c r="D969" s="28" t="s">
        <v>3107</v>
      </c>
      <c r="E969" s="29" t="s">
        <v>671</v>
      </c>
      <c r="F969" s="30">
        <v>1</v>
      </c>
      <c r="G969" s="31">
        <v>218.15</v>
      </c>
      <c r="H969" s="31">
        <f t="shared" si="130"/>
        <v>218.15</v>
      </c>
      <c r="I969" s="170" t="s">
        <v>2842</v>
      </c>
      <c r="J969" t="s">
        <v>2853</v>
      </c>
      <c r="K969" s="188" t="s">
        <v>2853</v>
      </c>
    </row>
    <row r="970" spans="1:11" x14ac:dyDescent="0.25">
      <c r="A970" t="s">
        <v>5540</v>
      </c>
      <c r="B970" s="27" t="s">
        <v>995</v>
      </c>
      <c r="D970" s="28" t="s">
        <v>3108</v>
      </c>
      <c r="E970" s="29" t="s">
        <v>671</v>
      </c>
      <c r="F970" s="30">
        <v>1</v>
      </c>
      <c r="G970" s="31">
        <v>218.15</v>
      </c>
      <c r="H970" s="31">
        <f t="shared" si="130"/>
        <v>218.15</v>
      </c>
      <c r="I970" s="170" t="s">
        <v>2842</v>
      </c>
      <c r="J970" t="s">
        <v>2853</v>
      </c>
      <c r="K970" s="188" t="s">
        <v>2853</v>
      </c>
    </row>
    <row r="971" spans="1:11" x14ac:dyDescent="0.25">
      <c r="A971" t="s">
        <v>5541</v>
      </c>
      <c r="B971" s="27" t="s">
        <v>996</v>
      </c>
      <c r="D971" s="28" t="s">
        <v>3109</v>
      </c>
      <c r="E971" s="29" t="s">
        <v>21</v>
      </c>
      <c r="F971" s="30">
        <v>1</v>
      </c>
      <c r="G971" s="31">
        <v>257.83</v>
      </c>
      <c r="H971" s="31">
        <f t="shared" si="130"/>
        <v>257.83</v>
      </c>
      <c r="I971" s="170" t="s">
        <v>2842</v>
      </c>
      <c r="J971" t="s">
        <v>2853</v>
      </c>
      <c r="K971" s="188" t="s">
        <v>2853</v>
      </c>
    </row>
    <row r="972" spans="1:11" x14ac:dyDescent="0.25">
      <c r="A972" t="s">
        <v>5542</v>
      </c>
      <c r="B972" s="27" t="s">
        <v>997</v>
      </c>
      <c r="D972" s="28" t="s">
        <v>3110</v>
      </c>
      <c r="E972" s="29" t="s">
        <v>21</v>
      </c>
      <c r="F972" s="30">
        <v>1</v>
      </c>
      <c r="G972" s="31">
        <v>257.83</v>
      </c>
      <c r="H972" s="31">
        <f t="shared" si="130"/>
        <v>257.83</v>
      </c>
      <c r="I972" s="170" t="s">
        <v>2842</v>
      </c>
      <c r="J972" t="s">
        <v>2853</v>
      </c>
      <c r="K972" s="188" t="s">
        <v>2853</v>
      </c>
    </row>
    <row r="973" spans="1:11" x14ac:dyDescent="0.25">
      <c r="A973" t="s">
        <v>5543</v>
      </c>
      <c r="B973" s="27" t="s">
        <v>998</v>
      </c>
      <c r="D973" s="28" t="s">
        <v>3111</v>
      </c>
      <c r="E973" s="29" t="s">
        <v>21</v>
      </c>
      <c r="F973" s="30">
        <v>1</v>
      </c>
      <c r="G973" s="31">
        <v>257.83</v>
      </c>
      <c r="H973" s="31">
        <f t="shared" si="130"/>
        <v>257.83</v>
      </c>
      <c r="I973" s="170" t="s">
        <v>2842</v>
      </c>
      <c r="J973" t="s">
        <v>2853</v>
      </c>
      <c r="K973" s="188" t="s">
        <v>2853</v>
      </c>
    </row>
    <row r="974" spans="1:11" x14ac:dyDescent="0.25">
      <c r="A974" t="s">
        <v>5544</v>
      </c>
      <c r="B974" s="27" t="s">
        <v>999</v>
      </c>
      <c r="D974" s="28" t="s">
        <v>3112</v>
      </c>
      <c r="E974" s="29" t="s">
        <v>563</v>
      </c>
      <c r="F974" s="30">
        <v>1</v>
      </c>
      <c r="G974" s="31">
        <v>257.83</v>
      </c>
      <c r="H974" s="31">
        <f t="shared" si="130"/>
        <v>257.83</v>
      </c>
      <c r="I974" s="170" t="s">
        <v>2842</v>
      </c>
      <c r="J974" t="s">
        <v>2853</v>
      </c>
      <c r="K974" s="188" t="s">
        <v>2853</v>
      </c>
    </row>
    <row r="975" spans="1:11" x14ac:dyDescent="0.25">
      <c r="A975" t="s">
        <v>5545</v>
      </c>
      <c r="B975" s="27" t="s">
        <v>1000</v>
      </c>
      <c r="D975" s="28" t="s">
        <v>3113</v>
      </c>
      <c r="E975" s="29" t="s">
        <v>563</v>
      </c>
      <c r="F975" s="30">
        <v>1</v>
      </c>
      <c r="G975" s="31">
        <v>257.83</v>
      </c>
      <c r="H975" s="31">
        <f t="shared" si="130"/>
        <v>257.83</v>
      </c>
      <c r="I975" s="170" t="s">
        <v>2842</v>
      </c>
      <c r="J975" t="s">
        <v>2853</v>
      </c>
      <c r="K975" s="188" t="s">
        <v>2853</v>
      </c>
    </row>
    <row r="976" spans="1:11" x14ac:dyDescent="0.25">
      <c r="A976" t="s">
        <v>5546</v>
      </c>
      <c r="B976" s="27" t="s">
        <v>1001</v>
      </c>
      <c r="D976" s="28" t="s">
        <v>3114</v>
      </c>
      <c r="E976" s="29" t="s">
        <v>563</v>
      </c>
      <c r="F976" s="30">
        <v>1</v>
      </c>
      <c r="G976" s="31">
        <v>257.83</v>
      </c>
      <c r="H976" s="31">
        <f t="shared" si="130"/>
        <v>257.83</v>
      </c>
      <c r="I976" s="170" t="s">
        <v>2842</v>
      </c>
      <c r="J976" t="s">
        <v>2853</v>
      </c>
      <c r="K976" s="188" t="s">
        <v>2853</v>
      </c>
    </row>
    <row r="977" spans="1:11" x14ac:dyDescent="0.25">
      <c r="A977" t="s">
        <v>5547</v>
      </c>
      <c r="B977" s="27" t="s">
        <v>1002</v>
      </c>
      <c r="D977" s="28" t="s">
        <v>3115</v>
      </c>
      <c r="E977" s="29" t="s">
        <v>671</v>
      </c>
      <c r="F977" s="30">
        <v>1</v>
      </c>
      <c r="G977" s="31">
        <v>257.83</v>
      </c>
      <c r="H977" s="31">
        <f t="shared" si="130"/>
        <v>257.83</v>
      </c>
      <c r="I977" s="170" t="s">
        <v>2842</v>
      </c>
      <c r="J977" t="s">
        <v>2853</v>
      </c>
      <c r="K977" s="188" t="s">
        <v>2853</v>
      </c>
    </row>
    <row r="978" spans="1:11" x14ac:dyDescent="0.25">
      <c r="A978" t="s">
        <v>5548</v>
      </c>
      <c r="B978" s="27" t="s">
        <v>1003</v>
      </c>
      <c r="D978" s="28" t="s">
        <v>3116</v>
      </c>
      <c r="E978" s="29" t="s">
        <v>671</v>
      </c>
      <c r="F978" s="30">
        <v>1</v>
      </c>
      <c r="G978" s="31">
        <v>257.83</v>
      </c>
      <c r="H978" s="31">
        <f t="shared" si="130"/>
        <v>257.83</v>
      </c>
      <c r="I978" s="170" t="s">
        <v>2842</v>
      </c>
      <c r="J978" t="s">
        <v>2853</v>
      </c>
      <c r="K978" s="188" t="s">
        <v>2853</v>
      </c>
    </row>
    <row r="979" spans="1:11" x14ac:dyDescent="0.25">
      <c r="A979" t="s">
        <v>5549</v>
      </c>
      <c r="B979" s="27" t="s">
        <v>1004</v>
      </c>
      <c r="D979" s="28" t="s">
        <v>3117</v>
      </c>
      <c r="E979" s="29" t="s">
        <v>671</v>
      </c>
      <c r="F979" s="30">
        <v>1</v>
      </c>
      <c r="G979" s="31">
        <v>257.83</v>
      </c>
      <c r="H979" s="31">
        <f t="shared" si="130"/>
        <v>257.83</v>
      </c>
      <c r="I979" s="170" t="s">
        <v>2842</v>
      </c>
      <c r="J979" t="s">
        <v>2853</v>
      </c>
      <c r="K979" s="188" t="s">
        <v>2853</v>
      </c>
    </row>
    <row r="980" spans="1:11" x14ac:dyDescent="0.25">
      <c r="A980" t="s">
        <v>5550</v>
      </c>
      <c r="B980" s="27" t="s">
        <v>1005</v>
      </c>
      <c r="D980" s="28" t="s">
        <v>3118</v>
      </c>
      <c r="E980" s="29" t="s">
        <v>21</v>
      </c>
      <c r="F980" s="30">
        <v>1</v>
      </c>
      <c r="G980" s="31">
        <v>185.1</v>
      </c>
      <c r="H980" s="31">
        <f t="shared" si="130"/>
        <v>185.1</v>
      </c>
      <c r="I980" s="170" t="s">
        <v>2842</v>
      </c>
      <c r="J980" t="s">
        <v>2853</v>
      </c>
      <c r="K980" s="188" t="s">
        <v>2853</v>
      </c>
    </row>
    <row r="981" spans="1:11" x14ac:dyDescent="0.25">
      <c r="A981" t="s">
        <v>5551</v>
      </c>
      <c r="B981" s="27" t="s">
        <v>1006</v>
      </c>
      <c r="D981" s="28" t="s">
        <v>3119</v>
      </c>
      <c r="E981" s="29" t="s">
        <v>21</v>
      </c>
      <c r="F981" s="30">
        <v>1</v>
      </c>
      <c r="G981" s="31">
        <v>185.1</v>
      </c>
      <c r="H981" s="31">
        <f t="shared" si="130"/>
        <v>185.1</v>
      </c>
      <c r="I981" s="170" t="s">
        <v>2842</v>
      </c>
      <c r="J981" t="s">
        <v>2853</v>
      </c>
      <c r="K981" s="188" t="s">
        <v>2853</v>
      </c>
    </row>
    <row r="982" spans="1:11" x14ac:dyDescent="0.25">
      <c r="A982" t="s">
        <v>5552</v>
      </c>
      <c r="B982" s="27" t="s">
        <v>1007</v>
      </c>
      <c r="D982" s="28" t="s">
        <v>3120</v>
      </c>
      <c r="E982" s="29" t="s">
        <v>21</v>
      </c>
      <c r="F982" s="30">
        <v>1</v>
      </c>
      <c r="G982" s="31">
        <v>185.1</v>
      </c>
      <c r="H982" s="31">
        <f t="shared" si="130"/>
        <v>185.1</v>
      </c>
      <c r="I982" s="170" t="s">
        <v>2842</v>
      </c>
      <c r="J982" t="s">
        <v>2853</v>
      </c>
      <c r="K982" s="188" t="s">
        <v>2853</v>
      </c>
    </row>
    <row r="983" spans="1:11" x14ac:dyDescent="0.25">
      <c r="A983" t="s">
        <v>5553</v>
      </c>
      <c r="B983" s="27" t="s">
        <v>1008</v>
      </c>
      <c r="D983" s="28" t="s">
        <v>3121</v>
      </c>
      <c r="E983" s="29" t="s">
        <v>563</v>
      </c>
      <c r="F983" s="30">
        <v>1</v>
      </c>
      <c r="G983" s="31">
        <v>185.1</v>
      </c>
      <c r="H983" s="31">
        <f t="shared" si="130"/>
        <v>185.1</v>
      </c>
      <c r="I983" s="170" t="s">
        <v>2842</v>
      </c>
      <c r="J983" t="s">
        <v>2853</v>
      </c>
      <c r="K983" s="188" t="s">
        <v>2853</v>
      </c>
    </row>
    <row r="984" spans="1:11" x14ac:dyDescent="0.25">
      <c r="A984" t="s">
        <v>5554</v>
      </c>
      <c r="B984" s="27" t="s">
        <v>1009</v>
      </c>
      <c r="D984" s="28" t="s">
        <v>3122</v>
      </c>
      <c r="E984" s="29" t="s">
        <v>563</v>
      </c>
      <c r="F984" s="30">
        <v>1</v>
      </c>
      <c r="G984" s="31">
        <v>185.1</v>
      </c>
      <c r="H984" s="31">
        <f t="shared" si="130"/>
        <v>185.1</v>
      </c>
      <c r="I984" s="170" t="s">
        <v>2842</v>
      </c>
      <c r="J984" t="s">
        <v>2853</v>
      </c>
      <c r="K984" s="188" t="s">
        <v>2853</v>
      </c>
    </row>
    <row r="985" spans="1:11" x14ac:dyDescent="0.25">
      <c r="A985" t="s">
        <v>5555</v>
      </c>
      <c r="B985" s="27" t="s">
        <v>1010</v>
      </c>
      <c r="D985" s="28" t="s">
        <v>3123</v>
      </c>
      <c r="E985" s="29" t="s">
        <v>563</v>
      </c>
      <c r="F985" s="30">
        <v>1</v>
      </c>
      <c r="G985" s="31">
        <v>185.1</v>
      </c>
      <c r="H985" s="31">
        <f t="shared" si="130"/>
        <v>185.1</v>
      </c>
      <c r="I985" s="170" t="s">
        <v>2842</v>
      </c>
      <c r="J985" t="s">
        <v>2853</v>
      </c>
      <c r="K985" s="188" t="s">
        <v>2853</v>
      </c>
    </row>
    <row r="986" spans="1:11" x14ac:dyDescent="0.25">
      <c r="A986" t="s">
        <v>5556</v>
      </c>
      <c r="B986" s="27" t="s">
        <v>1011</v>
      </c>
      <c r="D986" s="28" t="s">
        <v>3124</v>
      </c>
      <c r="E986" s="29" t="s">
        <v>671</v>
      </c>
      <c r="F986" s="30">
        <v>1</v>
      </c>
      <c r="G986" s="31">
        <v>185.1</v>
      </c>
      <c r="H986" s="31">
        <f t="shared" si="130"/>
        <v>185.1</v>
      </c>
      <c r="I986" s="170" t="s">
        <v>2842</v>
      </c>
      <c r="J986" t="s">
        <v>2853</v>
      </c>
      <c r="K986" s="188" t="s">
        <v>2853</v>
      </c>
    </row>
    <row r="987" spans="1:11" x14ac:dyDescent="0.25">
      <c r="A987" t="s">
        <v>5557</v>
      </c>
      <c r="B987" s="27" t="s">
        <v>1012</v>
      </c>
      <c r="D987" s="28" t="s">
        <v>3125</v>
      </c>
      <c r="E987" s="29" t="s">
        <v>671</v>
      </c>
      <c r="F987" s="30">
        <v>1</v>
      </c>
      <c r="G987" s="31">
        <v>185.1</v>
      </c>
      <c r="H987" s="31">
        <f t="shared" si="130"/>
        <v>185.1</v>
      </c>
      <c r="I987" s="170" t="s">
        <v>2842</v>
      </c>
      <c r="J987" t="s">
        <v>2853</v>
      </c>
      <c r="K987" s="188" t="s">
        <v>2853</v>
      </c>
    </row>
    <row r="988" spans="1:11" x14ac:dyDescent="0.25">
      <c r="A988" t="s">
        <v>5558</v>
      </c>
      <c r="B988" s="27" t="s">
        <v>1013</v>
      </c>
      <c r="D988" s="28" t="s">
        <v>3126</v>
      </c>
      <c r="E988" s="29" t="s">
        <v>671</v>
      </c>
      <c r="F988" s="30">
        <v>1</v>
      </c>
      <c r="G988" s="31">
        <v>185.1</v>
      </c>
      <c r="H988" s="31">
        <f t="shared" si="130"/>
        <v>185.1</v>
      </c>
      <c r="I988" s="170" t="s">
        <v>2842</v>
      </c>
      <c r="J988" t="s">
        <v>2853</v>
      </c>
      <c r="K988" s="188" t="s">
        <v>2853</v>
      </c>
    </row>
    <row r="989" spans="1:11" x14ac:dyDescent="0.25">
      <c r="A989" t="s">
        <v>5559</v>
      </c>
      <c r="B989" s="27" t="s">
        <v>1014</v>
      </c>
      <c r="D989" s="28" t="s">
        <v>3127</v>
      </c>
      <c r="E989" s="29" t="s">
        <v>21</v>
      </c>
      <c r="F989" s="30">
        <v>1</v>
      </c>
      <c r="G989" s="31">
        <v>218.15</v>
      </c>
      <c r="H989" s="31">
        <f t="shared" si="130"/>
        <v>218.15</v>
      </c>
      <c r="I989" s="170" t="s">
        <v>2842</v>
      </c>
      <c r="J989" t="s">
        <v>2853</v>
      </c>
      <c r="K989" s="188" t="s">
        <v>2853</v>
      </c>
    </row>
    <row r="990" spans="1:11" x14ac:dyDescent="0.25">
      <c r="A990" t="s">
        <v>5560</v>
      </c>
      <c r="B990" s="27" t="s">
        <v>1015</v>
      </c>
      <c r="D990" s="28" t="s">
        <v>3128</v>
      </c>
      <c r="E990" s="29" t="s">
        <v>21</v>
      </c>
      <c r="F990" s="30">
        <v>1</v>
      </c>
      <c r="G990" s="31">
        <v>218.15</v>
      </c>
      <c r="H990" s="31">
        <f t="shared" si="130"/>
        <v>218.15</v>
      </c>
      <c r="I990" s="170" t="s">
        <v>2842</v>
      </c>
      <c r="J990" t="s">
        <v>2853</v>
      </c>
      <c r="K990" s="188" t="s">
        <v>2853</v>
      </c>
    </row>
    <row r="991" spans="1:11" x14ac:dyDescent="0.25">
      <c r="A991" t="s">
        <v>5561</v>
      </c>
      <c r="B991" s="27" t="s">
        <v>1016</v>
      </c>
      <c r="D991" s="28" t="s">
        <v>3129</v>
      </c>
      <c r="E991" s="29" t="s">
        <v>21</v>
      </c>
      <c r="F991" s="30">
        <v>1</v>
      </c>
      <c r="G991" s="31">
        <v>218.15</v>
      </c>
      <c r="H991" s="31">
        <f t="shared" si="130"/>
        <v>218.15</v>
      </c>
      <c r="I991" s="170" t="s">
        <v>2842</v>
      </c>
      <c r="J991" t="s">
        <v>2853</v>
      </c>
      <c r="K991" s="188" t="s">
        <v>2853</v>
      </c>
    </row>
    <row r="992" spans="1:11" x14ac:dyDescent="0.25">
      <c r="A992" t="s">
        <v>5562</v>
      </c>
      <c r="B992" s="27" t="s">
        <v>1017</v>
      </c>
      <c r="D992" s="28" t="s">
        <v>3130</v>
      </c>
      <c r="E992" s="29" t="s">
        <v>563</v>
      </c>
      <c r="F992" s="30">
        <v>1</v>
      </c>
      <c r="G992" s="31">
        <v>218.15</v>
      </c>
      <c r="H992" s="31">
        <f t="shared" ref="H992:H1055" si="131">+F992*G992</f>
        <v>218.15</v>
      </c>
      <c r="I992" s="170" t="s">
        <v>2842</v>
      </c>
      <c r="J992" t="s">
        <v>2853</v>
      </c>
      <c r="K992" s="188" t="s">
        <v>2853</v>
      </c>
    </row>
    <row r="993" spans="1:11" x14ac:dyDescent="0.25">
      <c r="A993" t="s">
        <v>5563</v>
      </c>
      <c r="B993" s="27" t="s">
        <v>1018</v>
      </c>
      <c r="D993" s="28" t="s">
        <v>3131</v>
      </c>
      <c r="E993" s="29" t="s">
        <v>563</v>
      </c>
      <c r="F993" s="30">
        <v>1</v>
      </c>
      <c r="G993" s="31">
        <v>218.15</v>
      </c>
      <c r="H993" s="31">
        <f t="shared" si="131"/>
        <v>218.15</v>
      </c>
      <c r="I993" s="170" t="s">
        <v>2842</v>
      </c>
      <c r="J993" t="s">
        <v>2853</v>
      </c>
      <c r="K993" s="188" t="s">
        <v>2853</v>
      </c>
    </row>
    <row r="994" spans="1:11" x14ac:dyDescent="0.25">
      <c r="A994" t="s">
        <v>5564</v>
      </c>
      <c r="B994" s="27" t="s">
        <v>1019</v>
      </c>
      <c r="D994" s="28" t="s">
        <v>3132</v>
      </c>
      <c r="E994" s="29" t="s">
        <v>563</v>
      </c>
      <c r="F994" s="30">
        <v>1</v>
      </c>
      <c r="G994" s="31">
        <v>218.15</v>
      </c>
      <c r="H994" s="31">
        <f t="shared" si="131"/>
        <v>218.15</v>
      </c>
      <c r="I994" s="170" t="s">
        <v>2842</v>
      </c>
      <c r="J994" t="s">
        <v>2853</v>
      </c>
      <c r="K994" s="188" t="s">
        <v>2853</v>
      </c>
    </row>
    <row r="995" spans="1:11" x14ac:dyDescent="0.25">
      <c r="A995" t="s">
        <v>5565</v>
      </c>
      <c r="B995" s="27" t="s">
        <v>1020</v>
      </c>
      <c r="D995" s="28" t="s">
        <v>3133</v>
      </c>
      <c r="E995" s="29" t="s">
        <v>671</v>
      </c>
      <c r="F995" s="30">
        <v>1</v>
      </c>
      <c r="G995" s="31">
        <v>218.15</v>
      </c>
      <c r="H995" s="31">
        <f t="shared" si="131"/>
        <v>218.15</v>
      </c>
      <c r="I995" s="170" t="s">
        <v>2842</v>
      </c>
      <c r="J995" t="s">
        <v>2853</v>
      </c>
      <c r="K995" s="188" t="s">
        <v>2853</v>
      </c>
    </row>
    <row r="996" spans="1:11" x14ac:dyDescent="0.25">
      <c r="A996" t="s">
        <v>5566</v>
      </c>
      <c r="B996" s="27" t="s">
        <v>1021</v>
      </c>
      <c r="D996" s="28" t="s">
        <v>3134</v>
      </c>
      <c r="E996" s="29" t="s">
        <v>671</v>
      </c>
      <c r="F996" s="30">
        <v>1</v>
      </c>
      <c r="G996" s="31">
        <v>218.15</v>
      </c>
      <c r="H996" s="31">
        <f t="shared" si="131"/>
        <v>218.15</v>
      </c>
      <c r="I996" s="170" t="s">
        <v>2842</v>
      </c>
      <c r="J996" t="s">
        <v>2853</v>
      </c>
      <c r="K996" s="188" t="s">
        <v>2853</v>
      </c>
    </row>
    <row r="997" spans="1:11" x14ac:dyDescent="0.25">
      <c r="A997" t="s">
        <v>5567</v>
      </c>
      <c r="B997" s="27" t="s">
        <v>1022</v>
      </c>
      <c r="D997" s="28" t="s">
        <v>3135</v>
      </c>
      <c r="E997" s="29" t="s">
        <v>671</v>
      </c>
      <c r="F997" s="30">
        <v>1</v>
      </c>
      <c r="G997" s="31">
        <v>218.15</v>
      </c>
      <c r="H997" s="31">
        <f t="shared" si="131"/>
        <v>218.15</v>
      </c>
      <c r="I997" s="170" t="s">
        <v>2842</v>
      </c>
      <c r="J997" t="s">
        <v>2853</v>
      </c>
      <c r="K997" s="188" t="s">
        <v>2853</v>
      </c>
    </row>
    <row r="998" spans="1:11" x14ac:dyDescent="0.25">
      <c r="A998" t="s">
        <v>5568</v>
      </c>
      <c r="B998" s="27" t="s">
        <v>1023</v>
      </c>
      <c r="D998" s="28" t="s">
        <v>3136</v>
      </c>
      <c r="E998" s="29" t="s">
        <v>21</v>
      </c>
      <c r="F998" s="30">
        <v>1</v>
      </c>
      <c r="G998" s="31">
        <v>244.6</v>
      </c>
      <c r="H998" s="31">
        <f t="shared" si="131"/>
        <v>244.6</v>
      </c>
      <c r="I998" s="170" t="s">
        <v>2842</v>
      </c>
      <c r="J998" t="s">
        <v>2853</v>
      </c>
      <c r="K998" s="188" t="s">
        <v>2853</v>
      </c>
    </row>
    <row r="999" spans="1:11" x14ac:dyDescent="0.25">
      <c r="A999" t="s">
        <v>5569</v>
      </c>
      <c r="B999" s="27" t="s">
        <v>1024</v>
      </c>
      <c r="D999" s="28" t="s">
        <v>3137</v>
      </c>
      <c r="E999" s="29" t="s">
        <v>21</v>
      </c>
      <c r="F999" s="30">
        <v>1</v>
      </c>
      <c r="G999" s="31">
        <v>244.6</v>
      </c>
      <c r="H999" s="31">
        <f t="shared" si="131"/>
        <v>244.6</v>
      </c>
      <c r="I999" s="170" t="s">
        <v>2842</v>
      </c>
      <c r="J999" t="s">
        <v>2853</v>
      </c>
      <c r="K999" s="188" t="s">
        <v>2853</v>
      </c>
    </row>
    <row r="1000" spans="1:11" x14ac:dyDescent="0.25">
      <c r="A1000" t="s">
        <v>5570</v>
      </c>
      <c r="B1000" s="27" t="s">
        <v>1025</v>
      </c>
      <c r="D1000" s="28" t="s">
        <v>3138</v>
      </c>
      <c r="E1000" s="29" t="s">
        <v>21</v>
      </c>
      <c r="F1000" s="30">
        <v>1</v>
      </c>
      <c r="G1000" s="31">
        <v>244.6</v>
      </c>
      <c r="H1000" s="31">
        <f t="shared" si="131"/>
        <v>244.6</v>
      </c>
      <c r="I1000" s="170" t="s">
        <v>2842</v>
      </c>
      <c r="J1000" t="s">
        <v>2853</v>
      </c>
      <c r="K1000" s="188" t="s">
        <v>2853</v>
      </c>
    </row>
    <row r="1001" spans="1:11" x14ac:dyDescent="0.25">
      <c r="A1001" t="s">
        <v>5571</v>
      </c>
      <c r="B1001" s="27" t="s">
        <v>1026</v>
      </c>
      <c r="D1001" s="28" t="s">
        <v>3139</v>
      </c>
      <c r="E1001" s="29" t="s">
        <v>563</v>
      </c>
      <c r="F1001" s="30">
        <v>1</v>
      </c>
      <c r="G1001" s="31">
        <v>244.6</v>
      </c>
      <c r="H1001" s="31">
        <f t="shared" si="131"/>
        <v>244.6</v>
      </c>
      <c r="I1001" s="170" t="s">
        <v>2842</v>
      </c>
      <c r="J1001" t="s">
        <v>2853</v>
      </c>
      <c r="K1001" s="188" t="s">
        <v>2853</v>
      </c>
    </row>
    <row r="1002" spans="1:11" x14ac:dyDescent="0.25">
      <c r="A1002" t="s">
        <v>5572</v>
      </c>
      <c r="B1002" s="27" t="s">
        <v>1027</v>
      </c>
      <c r="D1002" s="28" t="s">
        <v>3140</v>
      </c>
      <c r="E1002" s="29" t="s">
        <v>563</v>
      </c>
      <c r="F1002" s="30">
        <v>1</v>
      </c>
      <c r="G1002" s="31">
        <v>244.6</v>
      </c>
      <c r="H1002" s="31">
        <f t="shared" si="131"/>
        <v>244.6</v>
      </c>
      <c r="I1002" s="170" t="s">
        <v>2842</v>
      </c>
      <c r="J1002" t="s">
        <v>2853</v>
      </c>
      <c r="K1002" s="188" t="s">
        <v>2853</v>
      </c>
    </row>
    <row r="1003" spans="1:11" x14ac:dyDescent="0.25">
      <c r="A1003" t="s">
        <v>5573</v>
      </c>
      <c r="B1003" s="27" t="s">
        <v>1028</v>
      </c>
      <c r="D1003" s="28" t="s">
        <v>3141</v>
      </c>
      <c r="E1003" s="29" t="s">
        <v>563</v>
      </c>
      <c r="F1003" s="30">
        <v>1</v>
      </c>
      <c r="G1003" s="31">
        <v>244.6</v>
      </c>
      <c r="H1003" s="31">
        <f t="shared" si="131"/>
        <v>244.6</v>
      </c>
      <c r="I1003" s="170" t="s">
        <v>2842</v>
      </c>
      <c r="J1003" t="s">
        <v>2853</v>
      </c>
      <c r="K1003" s="188" t="s">
        <v>2853</v>
      </c>
    </row>
    <row r="1004" spans="1:11" x14ac:dyDescent="0.25">
      <c r="A1004" t="s">
        <v>5574</v>
      </c>
      <c r="B1004" s="27" t="s">
        <v>1029</v>
      </c>
      <c r="D1004" s="28" t="s">
        <v>3142</v>
      </c>
      <c r="E1004" s="29" t="s">
        <v>671</v>
      </c>
      <c r="F1004" s="30">
        <v>1</v>
      </c>
      <c r="G1004" s="31">
        <v>244.6</v>
      </c>
      <c r="H1004" s="31">
        <f t="shared" si="131"/>
        <v>244.6</v>
      </c>
      <c r="I1004" s="170" t="s">
        <v>2842</v>
      </c>
      <c r="J1004" t="s">
        <v>2853</v>
      </c>
      <c r="K1004" s="188" t="s">
        <v>2853</v>
      </c>
    </row>
    <row r="1005" spans="1:11" x14ac:dyDescent="0.25">
      <c r="A1005" t="s">
        <v>5575</v>
      </c>
      <c r="B1005" s="27" t="s">
        <v>1030</v>
      </c>
      <c r="D1005" s="28" t="s">
        <v>3143</v>
      </c>
      <c r="E1005" s="29" t="s">
        <v>671</v>
      </c>
      <c r="F1005" s="30">
        <v>1</v>
      </c>
      <c r="G1005" s="31">
        <v>244.6</v>
      </c>
      <c r="H1005" s="31">
        <f t="shared" si="131"/>
        <v>244.6</v>
      </c>
      <c r="I1005" s="170" t="s">
        <v>2842</v>
      </c>
      <c r="J1005" t="s">
        <v>2853</v>
      </c>
      <c r="K1005" s="188" t="s">
        <v>2853</v>
      </c>
    </row>
    <row r="1006" spans="1:11" x14ac:dyDescent="0.25">
      <c r="A1006" t="s">
        <v>5576</v>
      </c>
      <c r="B1006" s="27" t="s">
        <v>1031</v>
      </c>
      <c r="D1006" s="28" t="s">
        <v>3144</v>
      </c>
      <c r="E1006" s="29" t="s">
        <v>671</v>
      </c>
      <c r="F1006" s="30">
        <v>1</v>
      </c>
      <c r="G1006" s="31">
        <v>244.6</v>
      </c>
      <c r="H1006" s="31">
        <f t="shared" si="131"/>
        <v>244.6</v>
      </c>
      <c r="I1006" s="170" t="s">
        <v>2842</v>
      </c>
      <c r="J1006" t="s">
        <v>2853</v>
      </c>
      <c r="K1006" s="188" t="s">
        <v>2853</v>
      </c>
    </row>
    <row r="1007" spans="1:11" x14ac:dyDescent="0.25">
      <c r="A1007" t="s">
        <v>5577</v>
      </c>
      <c r="B1007" s="27" t="s">
        <v>1032</v>
      </c>
      <c r="D1007" s="28" t="s">
        <v>3145</v>
      </c>
      <c r="E1007" s="29" t="s">
        <v>21</v>
      </c>
      <c r="F1007" s="30">
        <v>1</v>
      </c>
      <c r="G1007" s="31">
        <v>277.66000000000003</v>
      </c>
      <c r="H1007" s="31">
        <f t="shared" si="131"/>
        <v>277.66000000000003</v>
      </c>
      <c r="I1007" s="170" t="s">
        <v>2842</v>
      </c>
      <c r="J1007" t="s">
        <v>2853</v>
      </c>
      <c r="K1007" s="188" t="s">
        <v>2853</v>
      </c>
    </row>
    <row r="1008" spans="1:11" x14ac:dyDescent="0.25">
      <c r="A1008" t="s">
        <v>5578</v>
      </c>
      <c r="B1008" s="27" t="s">
        <v>1033</v>
      </c>
      <c r="D1008" s="28" t="s">
        <v>3146</v>
      </c>
      <c r="E1008" s="29" t="s">
        <v>21</v>
      </c>
      <c r="F1008" s="30">
        <v>1</v>
      </c>
      <c r="G1008" s="31">
        <v>277.66000000000003</v>
      </c>
      <c r="H1008" s="31">
        <f t="shared" si="131"/>
        <v>277.66000000000003</v>
      </c>
      <c r="I1008" s="170" t="s">
        <v>2842</v>
      </c>
      <c r="J1008" t="s">
        <v>2853</v>
      </c>
      <c r="K1008" s="188" t="s">
        <v>2853</v>
      </c>
    </row>
    <row r="1009" spans="1:11" x14ac:dyDescent="0.25">
      <c r="A1009" t="s">
        <v>5579</v>
      </c>
      <c r="B1009" s="27" t="s">
        <v>1034</v>
      </c>
      <c r="D1009" s="28" t="s">
        <v>3147</v>
      </c>
      <c r="E1009" s="29" t="s">
        <v>21</v>
      </c>
      <c r="F1009" s="30">
        <v>1</v>
      </c>
      <c r="G1009" s="31">
        <v>277.66000000000003</v>
      </c>
      <c r="H1009" s="31">
        <f t="shared" si="131"/>
        <v>277.66000000000003</v>
      </c>
      <c r="I1009" s="170" t="s">
        <v>2842</v>
      </c>
      <c r="J1009" t="s">
        <v>2853</v>
      </c>
      <c r="K1009" s="188" t="s">
        <v>2853</v>
      </c>
    </row>
    <row r="1010" spans="1:11" x14ac:dyDescent="0.25">
      <c r="A1010" t="s">
        <v>5580</v>
      </c>
      <c r="B1010" s="27" t="s">
        <v>1035</v>
      </c>
      <c r="D1010" s="28" t="s">
        <v>3148</v>
      </c>
      <c r="E1010" s="29" t="s">
        <v>563</v>
      </c>
      <c r="F1010" s="30">
        <v>1</v>
      </c>
      <c r="G1010" s="31">
        <v>277.66000000000003</v>
      </c>
      <c r="H1010" s="31">
        <f t="shared" si="131"/>
        <v>277.66000000000003</v>
      </c>
      <c r="I1010" s="170" t="s">
        <v>2842</v>
      </c>
      <c r="J1010" t="s">
        <v>2853</v>
      </c>
      <c r="K1010" s="188" t="s">
        <v>2853</v>
      </c>
    </row>
    <row r="1011" spans="1:11" x14ac:dyDescent="0.25">
      <c r="A1011" t="s">
        <v>5581</v>
      </c>
      <c r="B1011" s="27" t="s">
        <v>1036</v>
      </c>
      <c r="D1011" s="28" t="s">
        <v>3149</v>
      </c>
      <c r="E1011" s="29" t="s">
        <v>563</v>
      </c>
      <c r="F1011" s="30">
        <v>1</v>
      </c>
      <c r="G1011" s="31">
        <v>277.66000000000003</v>
      </c>
      <c r="H1011" s="31">
        <f t="shared" si="131"/>
        <v>277.66000000000003</v>
      </c>
      <c r="I1011" s="170" t="s">
        <v>2842</v>
      </c>
      <c r="J1011" t="s">
        <v>2853</v>
      </c>
      <c r="K1011" s="188" t="s">
        <v>2853</v>
      </c>
    </row>
    <row r="1012" spans="1:11" x14ac:dyDescent="0.25">
      <c r="A1012" t="s">
        <v>5582</v>
      </c>
      <c r="B1012" s="27" t="s">
        <v>1037</v>
      </c>
      <c r="D1012" s="28" t="s">
        <v>3150</v>
      </c>
      <c r="E1012" s="29" t="s">
        <v>563</v>
      </c>
      <c r="F1012" s="30">
        <v>1</v>
      </c>
      <c r="G1012" s="31">
        <v>277.66000000000003</v>
      </c>
      <c r="H1012" s="31">
        <f t="shared" si="131"/>
        <v>277.66000000000003</v>
      </c>
      <c r="I1012" s="170" t="s">
        <v>2842</v>
      </c>
      <c r="J1012" t="s">
        <v>2853</v>
      </c>
      <c r="K1012" s="188" t="s">
        <v>2853</v>
      </c>
    </row>
    <row r="1013" spans="1:11" x14ac:dyDescent="0.25">
      <c r="A1013" t="s">
        <v>5583</v>
      </c>
      <c r="B1013" s="27" t="s">
        <v>1038</v>
      </c>
      <c r="D1013" s="28" t="s">
        <v>3151</v>
      </c>
      <c r="E1013" s="29" t="s">
        <v>671</v>
      </c>
      <c r="F1013" s="30">
        <v>1</v>
      </c>
      <c r="G1013" s="31">
        <v>277.66000000000003</v>
      </c>
      <c r="H1013" s="31">
        <f t="shared" si="131"/>
        <v>277.66000000000003</v>
      </c>
      <c r="I1013" s="170" t="s">
        <v>2842</v>
      </c>
      <c r="J1013" t="s">
        <v>2853</v>
      </c>
      <c r="K1013" s="188" t="s">
        <v>2853</v>
      </c>
    </row>
    <row r="1014" spans="1:11" x14ac:dyDescent="0.25">
      <c r="A1014" t="s">
        <v>5584</v>
      </c>
      <c r="B1014" s="27" t="s">
        <v>1039</v>
      </c>
      <c r="D1014" s="28" t="s">
        <v>3152</v>
      </c>
      <c r="E1014" s="29" t="s">
        <v>671</v>
      </c>
      <c r="F1014" s="30">
        <v>1</v>
      </c>
      <c r="G1014" s="31">
        <v>277.66000000000003</v>
      </c>
      <c r="H1014" s="31">
        <f t="shared" si="131"/>
        <v>277.66000000000003</v>
      </c>
      <c r="I1014" s="170" t="s">
        <v>2842</v>
      </c>
      <c r="J1014" t="s">
        <v>2853</v>
      </c>
      <c r="K1014" s="188" t="s">
        <v>2853</v>
      </c>
    </row>
    <row r="1015" spans="1:11" x14ac:dyDescent="0.25">
      <c r="A1015" t="s">
        <v>5585</v>
      </c>
      <c r="B1015" s="27" t="s">
        <v>1040</v>
      </c>
      <c r="D1015" s="28" t="s">
        <v>3153</v>
      </c>
      <c r="E1015" s="29" t="s">
        <v>671</v>
      </c>
      <c r="F1015" s="30">
        <v>1</v>
      </c>
      <c r="G1015" s="31">
        <v>277.66000000000003</v>
      </c>
      <c r="H1015" s="31">
        <f t="shared" si="131"/>
        <v>277.66000000000003</v>
      </c>
      <c r="I1015" s="170" t="s">
        <v>2842</v>
      </c>
      <c r="J1015" t="s">
        <v>2853</v>
      </c>
      <c r="K1015" s="188" t="s">
        <v>2853</v>
      </c>
    </row>
    <row r="1016" spans="1:11" x14ac:dyDescent="0.25">
      <c r="A1016" t="s">
        <v>5586</v>
      </c>
      <c r="B1016" s="27" t="s">
        <v>1041</v>
      </c>
      <c r="D1016" s="28" t="s">
        <v>3154</v>
      </c>
      <c r="E1016" s="29" t="s">
        <v>21</v>
      </c>
      <c r="F1016" s="30">
        <v>1</v>
      </c>
      <c r="G1016" s="31">
        <v>158.66999999999999</v>
      </c>
      <c r="H1016" s="31">
        <f t="shared" si="131"/>
        <v>158.66999999999999</v>
      </c>
      <c r="I1016" s="170" t="s">
        <v>2842</v>
      </c>
      <c r="J1016" t="s">
        <v>2853</v>
      </c>
      <c r="K1016" s="188" t="s">
        <v>2853</v>
      </c>
    </row>
    <row r="1017" spans="1:11" x14ac:dyDescent="0.25">
      <c r="A1017" t="s">
        <v>5587</v>
      </c>
      <c r="B1017" s="27" t="s">
        <v>1042</v>
      </c>
      <c r="D1017" s="28" t="s">
        <v>3155</v>
      </c>
      <c r="E1017" s="29" t="s">
        <v>21</v>
      </c>
      <c r="F1017" s="30">
        <v>1</v>
      </c>
      <c r="G1017" s="31">
        <v>158.66999999999999</v>
      </c>
      <c r="H1017" s="31">
        <f t="shared" si="131"/>
        <v>158.66999999999999</v>
      </c>
      <c r="I1017" s="170" t="s">
        <v>2842</v>
      </c>
      <c r="J1017" t="s">
        <v>2853</v>
      </c>
      <c r="K1017" s="188" t="s">
        <v>2853</v>
      </c>
    </row>
    <row r="1018" spans="1:11" x14ac:dyDescent="0.25">
      <c r="A1018" t="s">
        <v>5588</v>
      </c>
      <c r="B1018" s="27" t="s">
        <v>1043</v>
      </c>
      <c r="D1018" s="28" t="s">
        <v>3156</v>
      </c>
      <c r="E1018" s="29" t="s">
        <v>21</v>
      </c>
      <c r="F1018" s="30">
        <v>1</v>
      </c>
      <c r="G1018" s="31">
        <v>158.66999999999999</v>
      </c>
      <c r="H1018" s="31">
        <f t="shared" si="131"/>
        <v>158.66999999999999</v>
      </c>
      <c r="I1018" s="170" t="s">
        <v>2842</v>
      </c>
      <c r="J1018" t="s">
        <v>2853</v>
      </c>
      <c r="K1018" s="188" t="s">
        <v>2853</v>
      </c>
    </row>
    <row r="1019" spans="1:11" x14ac:dyDescent="0.25">
      <c r="A1019" t="s">
        <v>5589</v>
      </c>
      <c r="B1019" s="27" t="s">
        <v>1044</v>
      </c>
      <c r="D1019" s="28" t="s">
        <v>3157</v>
      </c>
      <c r="E1019" s="29" t="s">
        <v>563</v>
      </c>
      <c r="F1019" s="30">
        <v>1</v>
      </c>
      <c r="G1019" s="31">
        <v>158.66999999999999</v>
      </c>
      <c r="H1019" s="31">
        <f t="shared" si="131"/>
        <v>158.66999999999999</v>
      </c>
      <c r="I1019" s="170" t="s">
        <v>2842</v>
      </c>
      <c r="J1019" t="s">
        <v>2853</v>
      </c>
      <c r="K1019" s="188" t="s">
        <v>2853</v>
      </c>
    </row>
    <row r="1020" spans="1:11" x14ac:dyDescent="0.25">
      <c r="A1020" t="s">
        <v>5590</v>
      </c>
      <c r="B1020" s="27" t="s">
        <v>1045</v>
      </c>
      <c r="D1020" s="28" t="s">
        <v>3158</v>
      </c>
      <c r="E1020" s="29" t="s">
        <v>563</v>
      </c>
      <c r="F1020" s="30">
        <v>1</v>
      </c>
      <c r="G1020" s="31">
        <v>158.66999999999999</v>
      </c>
      <c r="H1020" s="31">
        <f t="shared" si="131"/>
        <v>158.66999999999999</v>
      </c>
      <c r="I1020" s="170" t="s">
        <v>2842</v>
      </c>
      <c r="J1020" t="s">
        <v>2853</v>
      </c>
      <c r="K1020" s="188" t="s">
        <v>2853</v>
      </c>
    </row>
    <row r="1021" spans="1:11" x14ac:dyDescent="0.25">
      <c r="A1021" t="s">
        <v>5591</v>
      </c>
      <c r="B1021" s="27" t="s">
        <v>1046</v>
      </c>
      <c r="D1021" s="28" t="s">
        <v>3159</v>
      </c>
      <c r="E1021" s="29" t="s">
        <v>563</v>
      </c>
      <c r="F1021" s="30">
        <v>1</v>
      </c>
      <c r="G1021" s="31">
        <v>158.66999999999999</v>
      </c>
      <c r="H1021" s="31">
        <f t="shared" si="131"/>
        <v>158.66999999999999</v>
      </c>
      <c r="I1021" s="170" t="s">
        <v>2842</v>
      </c>
      <c r="J1021" t="s">
        <v>2853</v>
      </c>
      <c r="K1021" s="188" t="s">
        <v>2853</v>
      </c>
    </row>
    <row r="1022" spans="1:11" x14ac:dyDescent="0.25">
      <c r="A1022" t="s">
        <v>5592</v>
      </c>
      <c r="B1022" s="27" t="s">
        <v>1047</v>
      </c>
      <c r="D1022" s="28" t="s">
        <v>3160</v>
      </c>
      <c r="E1022" s="29" t="s">
        <v>671</v>
      </c>
      <c r="F1022" s="30">
        <v>1</v>
      </c>
      <c r="G1022" s="31">
        <v>158.66999999999999</v>
      </c>
      <c r="H1022" s="31">
        <f t="shared" si="131"/>
        <v>158.66999999999999</v>
      </c>
      <c r="I1022" s="170" t="s">
        <v>2842</v>
      </c>
      <c r="J1022" t="s">
        <v>2853</v>
      </c>
      <c r="K1022" s="188" t="s">
        <v>2853</v>
      </c>
    </row>
    <row r="1023" spans="1:11" x14ac:dyDescent="0.25">
      <c r="A1023" t="s">
        <v>5593</v>
      </c>
      <c r="B1023" s="27" t="s">
        <v>1048</v>
      </c>
      <c r="D1023" s="28" t="s">
        <v>3161</v>
      </c>
      <c r="E1023" s="29" t="s">
        <v>671</v>
      </c>
      <c r="F1023" s="30">
        <v>1</v>
      </c>
      <c r="G1023" s="31">
        <v>158.66999999999999</v>
      </c>
      <c r="H1023" s="31">
        <f t="shared" si="131"/>
        <v>158.66999999999999</v>
      </c>
      <c r="I1023" s="170" t="s">
        <v>2842</v>
      </c>
      <c r="J1023" t="s">
        <v>2853</v>
      </c>
      <c r="K1023" s="188" t="s">
        <v>2853</v>
      </c>
    </row>
    <row r="1024" spans="1:11" x14ac:dyDescent="0.25">
      <c r="A1024" t="s">
        <v>5594</v>
      </c>
      <c r="B1024" s="27" t="s">
        <v>1049</v>
      </c>
      <c r="D1024" s="28" t="s">
        <v>3162</v>
      </c>
      <c r="E1024" s="29" t="s">
        <v>671</v>
      </c>
      <c r="F1024" s="30">
        <v>1</v>
      </c>
      <c r="G1024" s="31">
        <v>158.66999999999999</v>
      </c>
      <c r="H1024" s="31">
        <f t="shared" si="131"/>
        <v>158.66999999999999</v>
      </c>
      <c r="I1024" s="170" t="s">
        <v>2842</v>
      </c>
      <c r="J1024" t="s">
        <v>2853</v>
      </c>
      <c r="K1024" s="188" t="s">
        <v>2853</v>
      </c>
    </row>
    <row r="1025" spans="1:11" x14ac:dyDescent="0.25">
      <c r="A1025" t="s">
        <v>5595</v>
      </c>
      <c r="B1025" s="27" t="s">
        <v>1050</v>
      </c>
      <c r="D1025" s="28" t="s">
        <v>3163</v>
      </c>
      <c r="E1025" s="29" t="s">
        <v>21</v>
      </c>
      <c r="F1025" s="30">
        <v>1</v>
      </c>
      <c r="G1025" s="31">
        <v>185.1</v>
      </c>
      <c r="H1025" s="31">
        <f t="shared" si="131"/>
        <v>185.1</v>
      </c>
      <c r="I1025" s="170" t="s">
        <v>2842</v>
      </c>
      <c r="J1025" t="s">
        <v>2853</v>
      </c>
      <c r="K1025" s="188" t="s">
        <v>2853</v>
      </c>
    </row>
    <row r="1026" spans="1:11" x14ac:dyDescent="0.25">
      <c r="A1026" t="s">
        <v>5596</v>
      </c>
      <c r="B1026" s="27" t="s">
        <v>1051</v>
      </c>
      <c r="D1026" s="28" t="s">
        <v>3164</v>
      </c>
      <c r="E1026" s="29" t="s">
        <v>21</v>
      </c>
      <c r="F1026" s="30">
        <v>1</v>
      </c>
      <c r="G1026" s="31">
        <v>185.1</v>
      </c>
      <c r="H1026" s="31">
        <f t="shared" si="131"/>
        <v>185.1</v>
      </c>
      <c r="I1026" s="170" t="s">
        <v>2842</v>
      </c>
      <c r="J1026" t="s">
        <v>2853</v>
      </c>
      <c r="K1026" s="188" t="s">
        <v>2853</v>
      </c>
    </row>
    <row r="1027" spans="1:11" x14ac:dyDescent="0.25">
      <c r="A1027" t="s">
        <v>5597</v>
      </c>
      <c r="B1027" s="27" t="s">
        <v>1052</v>
      </c>
      <c r="D1027" s="28" t="s">
        <v>3165</v>
      </c>
      <c r="E1027" s="29" t="s">
        <v>21</v>
      </c>
      <c r="F1027" s="30">
        <v>1</v>
      </c>
      <c r="G1027" s="31">
        <v>185.1</v>
      </c>
      <c r="H1027" s="31">
        <f t="shared" si="131"/>
        <v>185.1</v>
      </c>
      <c r="I1027" s="170" t="s">
        <v>2842</v>
      </c>
      <c r="J1027" t="s">
        <v>2853</v>
      </c>
      <c r="K1027" s="188" t="s">
        <v>2853</v>
      </c>
    </row>
    <row r="1028" spans="1:11" x14ac:dyDescent="0.25">
      <c r="A1028" t="s">
        <v>5598</v>
      </c>
      <c r="B1028" s="27" t="s">
        <v>1053</v>
      </c>
      <c r="D1028" s="28" t="s">
        <v>3166</v>
      </c>
      <c r="E1028" s="29" t="s">
        <v>563</v>
      </c>
      <c r="F1028" s="30">
        <v>1</v>
      </c>
      <c r="G1028" s="31">
        <v>185.1</v>
      </c>
      <c r="H1028" s="31">
        <f t="shared" si="131"/>
        <v>185.1</v>
      </c>
      <c r="I1028" s="170" t="s">
        <v>2842</v>
      </c>
      <c r="J1028" t="s">
        <v>2853</v>
      </c>
      <c r="K1028" s="188" t="s">
        <v>2853</v>
      </c>
    </row>
    <row r="1029" spans="1:11" x14ac:dyDescent="0.25">
      <c r="A1029" t="s">
        <v>5599</v>
      </c>
      <c r="B1029" s="27" t="s">
        <v>1054</v>
      </c>
      <c r="D1029" s="28" t="s">
        <v>3167</v>
      </c>
      <c r="E1029" s="29" t="s">
        <v>563</v>
      </c>
      <c r="F1029" s="30">
        <v>1</v>
      </c>
      <c r="G1029" s="31">
        <v>185.1</v>
      </c>
      <c r="H1029" s="31">
        <f t="shared" si="131"/>
        <v>185.1</v>
      </c>
      <c r="I1029" s="170" t="s">
        <v>2842</v>
      </c>
      <c r="J1029" t="s">
        <v>2853</v>
      </c>
      <c r="K1029" s="188" t="s">
        <v>2853</v>
      </c>
    </row>
    <row r="1030" spans="1:11" x14ac:dyDescent="0.25">
      <c r="A1030" t="s">
        <v>5600</v>
      </c>
      <c r="B1030" s="27" t="s">
        <v>1055</v>
      </c>
      <c r="D1030" s="28" t="s">
        <v>3168</v>
      </c>
      <c r="E1030" s="29" t="s">
        <v>563</v>
      </c>
      <c r="F1030" s="30">
        <v>1</v>
      </c>
      <c r="G1030" s="31">
        <v>185.1</v>
      </c>
      <c r="H1030" s="31">
        <f t="shared" si="131"/>
        <v>185.1</v>
      </c>
      <c r="I1030" s="170" t="s">
        <v>2842</v>
      </c>
      <c r="J1030" t="s">
        <v>2853</v>
      </c>
      <c r="K1030" s="188" t="s">
        <v>2853</v>
      </c>
    </row>
    <row r="1031" spans="1:11" x14ac:dyDescent="0.25">
      <c r="A1031" t="s">
        <v>5601</v>
      </c>
      <c r="B1031" s="27" t="s">
        <v>1056</v>
      </c>
      <c r="D1031" s="28" t="s">
        <v>3169</v>
      </c>
      <c r="E1031" s="29" t="s">
        <v>671</v>
      </c>
      <c r="F1031" s="30">
        <v>1</v>
      </c>
      <c r="G1031" s="31">
        <v>185.1</v>
      </c>
      <c r="H1031" s="31">
        <f t="shared" si="131"/>
        <v>185.1</v>
      </c>
      <c r="I1031" s="170" t="s">
        <v>2842</v>
      </c>
      <c r="J1031" t="s">
        <v>2853</v>
      </c>
      <c r="K1031" s="188" t="s">
        <v>2853</v>
      </c>
    </row>
    <row r="1032" spans="1:11" x14ac:dyDescent="0.25">
      <c r="A1032" t="s">
        <v>5602</v>
      </c>
      <c r="B1032" s="27" t="s">
        <v>1057</v>
      </c>
      <c r="D1032" s="28" t="s">
        <v>3170</v>
      </c>
      <c r="E1032" s="29" t="s">
        <v>671</v>
      </c>
      <c r="F1032" s="30">
        <v>1</v>
      </c>
      <c r="G1032" s="31">
        <v>185.1</v>
      </c>
      <c r="H1032" s="31">
        <f t="shared" si="131"/>
        <v>185.1</v>
      </c>
      <c r="I1032" s="170" t="s">
        <v>2842</v>
      </c>
      <c r="J1032" t="s">
        <v>2853</v>
      </c>
      <c r="K1032" s="188" t="s">
        <v>2853</v>
      </c>
    </row>
    <row r="1033" spans="1:11" x14ac:dyDescent="0.25">
      <c r="A1033" t="s">
        <v>5603</v>
      </c>
      <c r="B1033" s="27" t="s">
        <v>1058</v>
      </c>
      <c r="D1033" s="28" t="s">
        <v>3171</v>
      </c>
      <c r="E1033" s="29" t="s">
        <v>671</v>
      </c>
      <c r="F1033" s="30">
        <v>1</v>
      </c>
      <c r="G1033" s="31">
        <v>185.1</v>
      </c>
      <c r="H1033" s="31">
        <f t="shared" si="131"/>
        <v>185.1</v>
      </c>
      <c r="I1033" s="170" t="s">
        <v>2842</v>
      </c>
      <c r="J1033" t="s">
        <v>2853</v>
      </c>
      <c r="K1033" s="188" t="s">
        <v>2853</v>
      </c>
    </row>
    <row r="1034" spans="1:11" x14ac:dyDescent="0.25">
      <c r="A1034" t="s">
        <v>5604</v>
      </c>
      <c r="B1034" s="27" t="s">
        <v>1059</v>
      </c>
      <c r="D1034" s="28" t="s">
        <v>3172</v>
      </c>
      <c r="E1034" s="29" t="s">
        <v>21</v>
      </c>
      <c r="F1034" s="30">
        <v>1</v>
      </c>
      <c r="G1034" s="31">
        <v>204.93</v>
      </c>
      <c r="H1034" s="31">
        <f t="shared" si="131"/>
        <v>204.93</v>
      </c>
      <c r="I1034" s="170" t="s">
        <v>2842</v>
      </c>
      <c r="J1034" t="s">
        <v>2853</v>
      </c>
      <c r="K1034" s="188" t="s">
        <v>2853</v>
      </c>
    </row>
    <row r="1035" spans="1:11" x14ac:dyDescent="0.25">
      <c r="A1035" t="s">
        <v>5605</v>
      </c>
      <c r="B1035" s="27" t="s">
        <v>1060</v>
      </c>
      <c r="D1035" s="28" t="s">
        <v>3173</v>
      </c>
      <c r="E1035" s="29" t="s">
        <v>21</v>
      </c>
      <c r="F1035" s="30">
        <v>1</v>
      </c>
      <c r="G1035" s="31">
        <v>204.93</v>
      </c>
      <c r="H1035" s="31">
        <f t="shared" si="131"/>
        <v>204.93</v>
      </c>
      <c r="I1035" s="170" t="s">
        <v>2842</v>
      </c>
      <c r="J1035" t="s">
        <v>2853</v>
      </c>
      <c r="K1035" s="188" t="s">
        <v>2853</v>
      </c>
    </row>
    <row r="1036" spans="1:11" x14ac:dyDescent="0.25">
      <c r="A1036" t="s">
        <v>5606</v>
      </c>
      <c r="B1036" s="27" t="s">
        <v>1061</v>
      </c>
      <c r="D1036" s="28" t="s">
        <v>3174</v>
      </c>
      <c r="E1036" s="29" t="s">
        <v>21</v>
      </c>
      <c r="F1036" s="30">
        <v>1</v>
      </c>
      <c r="G1036" s="31">
        <v>204.93</v>
      </c>
      <c r="H1036" s="31">
        <f t="shared" si="131"/>
        <v>204.93</v>
      </c>
      <c r="I1036" s="170" t="s">
        <v>2842</v>
      </c>
      <c r="J1036" t="s">
        <v>2853</v>
      </c>
      <c r="K1036" s="188" t="s">
        <v>2853</v>
      </c>
    </row>
    <row r="1037" spans="1:11" x14ac:dyDescent="0.25">
      <c r="A1037" t="s">
        <v>5607</v>
      </c>
      <c r="B1037" s="27" t="s">
        <v>1062</v>
      </c>
      <c r="D1037" s="28" t="s">
        <v>3175</v>
      </c>
      <c r="E1037" s="29" t="s">
        <v>563</v>
      </c>
      <c r="F1037" s="30">
        <v>1</v>
      </c>
      <c r="G1037" s="31">
        <v>204.93</v>
      </c>
      <c r="H1037" s="31">
        <f t="shared" si="131"/>
        <v>204.93</v>
      </c>
      <c r="I1037" s="170" t="s">
        <v>2842</v>
      </c>
      <c r="J1037" t="s">
        <v>2853</v>
      </c>
      <c r="K1037" s="188" t="s">
        <v>2853</v>
      </c>
    </row>
    <row r="1038" spans="1:11" x14ac:dyDescent="0.25">
      <c r="A1038" t="s">
        <v>5608</v>
      </c>
      <c r="B1038" s="27" t="s">
        <v>1063</v>
      </c>
      <c r="D1038" s="28" t="s">
        <v>3176</v>
      </c>
      <c r="E1038" s="29" t="s">
        <v>563</v>
      </c>
      <c r="F1038" s="30">
        <v>1</v>
      </c>
      <c r="G1038" s="31">
        <v>204.93</v>
      </c>
      <c r="H1038" s="31">
        <f t="shared" si="131"/>
        <v>204.93</v>
      </c>
      <c r="I1038" s="170" t="s">
        <v>2842</v>
      </c>
      <c r="J1038" t="s">
        <v>2853</v>
      </c>
      <c r="K1038" s="188" t="s">
        <v>2853</v>
      </c>
    </row>
    <row r="1039" spans="1:11" x14ac:dyDescent="0.25">
      <c r="A1039" t="s">
        <v>5609</v>
      </c>
      <c r="B1039" s="27" t="s">
        <v>1064</v>
      </c>
      <c r="D1039" s="28" t="s">
        <v>3177</v>
      </c>
      <c r="E1039" s="29" t="s">
        <v>563</v>
      </c>
      <c r="F1039" s="30">
        <v>1</v>
      </c>
      <c r="G1039" s="31">
        <v>204.93</v>
      </c>
      <c r="H1039" s="31">
        <f t="shared" si="131"/>
        <v>204.93</v>
      </c>
      <c r="I1039" s="170" t="s">
        <v>2842</v>
      </c>
      <c r="J1039" t="s">
        <v>2853</v>
      </c>
      <c r="K1039" s="188" t="s">
        <v>2853</v>
      </c>
    </row>
    <row r="1040" spans="1:11" x14ac:dyDescent="0.25">
      <c r="A1040" t="s">
        <v>5610</v>
      </c>
      <c r="B1040" s="27" t="s">
        <v>1065</v>
      </c>
      <c r="D1040" s="28" t="s">
        <v>3178</v>
      </c>
      <c r="E1040" s="29" t="s">
        <v>671</v>
      </c>
      <c r="F1040" s="30">
        <v>1</v>
      </c>
      <c r="G1040" s="31">
        <v>204.93</v>
      </c>
      <c r="H1040" s="31">
        <f t="shared" si="131"/>
        <v>204.93</v>
      </c>
      <c r="I1040" s="170" t="s">
        <v>2842</v>
      </c>
      <c r="J1040" t="s">
        <v>2853</v>
      </c>
      <c r="K1040" s="188" t="s">
        <v>2853</v>
      </c>
    </row>
    <row r="1041" spans="1:11" x14ac:dyDescent="0.25">
      <c r="A1041" t="s">
        <v>5611</v>
      </c>
      <c r="B1041" s="27" t="s">
        <v>1066</v>
      </c>
      <c r="D1041" s="28" t="s">
        <v>3179</v>
      </c>
      <c r="E1041" s="29" t="s">
        <v>671</v>
      </c>
      <c r="F1041" s="30">
        <v>1</v>
      </c>
      <c r="G1041" s="31">
        <v>204.93</v>
      </c>
      <c r="H1041" s="31">
        <f t="shared" si="131"/>
        <v>204.93</v>
      </c>
      <c r="I1041" s="170" t="s">
        <v>2842</v>
      </c>
      <c r="J1041" t="s">
        <v>2853</v>
      </c>
      <c r="K1041" s="188" t="s">
        <v>2853</v>
      </c>
    </row>
    <row r="1042" spans="1:11" x14ac:dyDescent="0.25">
      <c r="A1042" t="s">
        <v>5612</v>
      </c>
      <c r="B1042" s="27" t="s">
        <v>1067</v>
      </c>
      <c r="D1042" s="28" t="s">
        <v>3180</v>
      </c>
      <c r="E1042" s="29" t="s">
        <v>671</v>
      </c>
      <c r="F1042" s="30">
        <v>1</v>
      </c>
      <c r="G1042" s="31">
        <v>204.93</v>
      </c>
      <c r="H1042" s="31">
        <f t="shared" si="131"/>
        <v>204.93</v>
      </c>
      <c r="I1042" s="170" t="s">
        <v>2842</v>
      </c>
      <c r="J1042" t="s">
        <v>2853</v>
      </c>
      <c r="K1042" s="188" t="s">
        <v>2853</v>
      </c>
    </row>
    <row r="1043" spans="1:11" x14ac:dyDescent="0.25">
      <c r="A1043" t="s">
        <v>5613</v>
      </c>
      <c r="B1043" s="27" t="s">
        <v>1068</v>
      </c>
      <c r="D1043" s="28" t="s">
        <v>3181</v>
      </c>
      <c r="E1043" s="29" t="s">
        <v>21</v>
      </c>
      <c r="F1043" s="30">
        <v>1</v>
      </c>
      <c r="G1043" s="31">
        <v>231.38</v>
      </c>
      <c r="H1043" s="31">
        <f t="shared" si="131"/>
        <v>231.38</v>
      </c>
      <c r="I1043" s="170" t="s">
        <v>2842</v>
      </c>
      <c r="J1043" t="s">
        <v>2853</v>
      </c>
      <c r="K1043" s="188" t="s">
        <v>2853</v>
      </c>
    </row>
    <row r="1044" spans="1:11" x14ac:dyDescent="0.25">
      <c r="A1044" t="s">
        <v>5614</v>
      </c>
      <c r="B1044" s="27" t="s">
        <v>1069</v>
      </c>
      <c r="D1044" s="28" t="s">
        <v>3182</v>
      </c>
      <c r="E1044" s="29" t="s">
        <v>21</v>
      </c>
      <c r="F1044" s="30">
        <v>1</v>
      </c>
      <c r="G1044" s="31">
        <v>231.38</v>
      </c>
      <c r="H1044" s="31">
        <f t="shared" si="131"/>
        <v>231.38</v>
      </c>
      <c r="I1044" s="170" t="s">
        <v>2842</v>
      </c>
      <c r="J1044" t="s">
        <v>2853</v>
      </c>
      <c r="K1044" s="188" t="s">
        <v>2853</v>
      </c>
    </row>
    <row r="1045" spans="1:11" x14ac:dyDescent="0.25">
      <c r="A1045" t="s">
        <v>5615</v>
      </c>
      <c r="B1045" s="27" t="s">
        <v>1070</v>
      </c>
      <c r="D1045" s="28" t="s">
        <v>3183</v>
      </c>
      <c r="E1045" s="29" t="s">
        <v>21</v>
      </c>
      <c r="F1045" s="30">
        <v>1</v>
      </c>
      <c r="G1045" s="31">
        <v>231.38</v>
      </c>
      <c r="H1045" s="31">
        <f t="shared" si="131"/>
        <v>231.38</v>
      </c>
      <c r="I1045" s="170" t="s">
        <v>2842</v>
      </c>
      <c r="J1045" t="s">
        <v>2853</v>
      </c>
      <c r="K1045" s="188" t="s">
        <v>2853</v>
      </c>
    </row>
    <row r="1046" spans="1:11" x14ac:dyDescent="0.25">
      <c r="A1046" t="s">
        <v>5616</v>
      </c>
      <c r="B1046" s="27" t="s">
        <v>1071</v>
      </c>
      <c r="D1046" s="28" t="s">
        <v>3184</v>
      </c>
      <c r="E1046" s="29" t="s">
        <v>563</v>
      </c>
      <c r="F1046" s="30">
        <v>1</v>
      </c>
      <c r="G1046" s="31">
        <v>231.38</v>
      </c>
      <c r="H1046" s="31">
        <f t="shared" si="131"/>
        <v>231.38</v>
      </c>
      <c r="I1046" s="170" t="s">
        <v>2842</v>
      </c>
      <c r="J1046" t="s">
        <v>2853</v>
      </c>
      <c r="K1046" s="188" t="s">
        <v>2853</v>
      </c>
    </row>
    <row r="1047" spans="1:11" x14ac:dyDescent="0.25">
      <c r="A1047" t="s">
        <v>5617</v>
      </c>
      <c r="B1047" s="27" t="s">
        <v>1072</v>
      </c>
      <c r="D1047" s="28" t="s">
        <v>3185</v>
      </c>
      <c r="E1047" s="29" t="s">
        <v>563</v>
      </c>
      <c r="F1047" s="30">
        <v>1</v>
      </c>
      <c r="G1047" s="31">
        <v>231.38</v>
      </c>
      <c r="H1047" s="31">
        <f t="shared" si="131"/>
        <v>231.38</v>
      </c>
      <c r="I1047" s="170" t="s">
        <v>2842</v>
      </c>
      <c r="J1047" t="s">
        <v>2853</v>
      </c>
      <c r="K1047" s="188" t="s">
        <v>2853</v>
      </c>
    </row>
    <row r="1048" spans="1:11" x14ac:dyDescent="0.25">
      <c r="A1048" t="s">
        <v>5618</v>
      </c>
      <c r="B1048" s="27" t="s">
        <v>1073</v>
      </c>
      <c r="D1048" s="28" t="s">
        <v>3186</v>
      </c>
      <c r="E1048" s="29" t="s">
        <v>563</v>
      </c>
      <c r="F1048" s="30">
        <v>1</v>
      </c>
      <c r="G1048" s="31">
        <v>231.38</v>
      </c>
      <c r="H1048" s="31">
        <f t="shared" si="131"/>
        <v>231.38</v>
      </c>
      <c r="I1048" s="170" t="s">
        <v>2842</v>
      </c>
      <c r="J1048" t="s">
        <v>2853</v>
      </c>
      <c r="K1048" s="188" t="s">
        <v>2853</v>
      </c>
    </row>
    <row r="1049" spans="1:11" x14ac:dyDescent="0.25">
      <c r="A1049" t="s">
        <v>5619</v>
      </c>
      <c r="B1049" s="27" t="s">
        <v>1074</v>
      </c>
      <c r="D1049" s="28" t="s">
        <v>3187</v>
      </c>
      <c r="E1049" s="29" t="s">
        <v>671</v>
      </c>
      <c r="F1049" s="30">
        <v>1</v>
      </c>
      <c r="G1049" s="31">
        <v>231.38</v>
      </c>
      <c r="H1049" s="31">
        <f t="shared" si="131"/>
        <v>231.38</v>
      </c>
      <c r="I1049" s="170" t="s">
        <v>2842</v>
      </c>
      <c r="J1049" t="s">
        <v>2853</v>
      </c>
      <c r="K1049" s="188" t="s">
        <v>2853</v>
      </c>
    </row>
    <row r="1050" spans="1:11" x14ac:dyDescent="0.25">
      <c r="A1050" t="s">
        <v>5620</v>
      </c>
      <c r="B1050" s="27" t="s">
        <v>1075</v>
      </c>
      <c r="D1050" s="28" t="s">
        <v>3188</v>
      </c>
      <c r="E1050" s="29" t="s">
        <v>671</v>
      </c>
      <c r="F1050" s="30">
        <v>1</v>
      </c>
      <c r="G1050" s="31">
        <v>231.38</v>
      </c>
      <c r="H1050" s="31">
        <f t="shared" si="131"/>
        <v>231.38</v>
      </c>
      <c r="I1050" s="170" t="s">
        <v>2842</v>
      </c>
      <c r="J1050" t="s">
        <v>2853</v>
      </c>
      <c r="K1050" s="188" t="s">
        <v>2853</v>
      </c>
    </row>
    <row r="1051" spans="1:11" x14ac:dyDescent="0.25">
      <c r="A1051" t="s">
        <v>5621</v>
      </c>
      <c r="B1051" s="27" t="s">
        <v>1076</v>
      </c>
      <c r="D1051" s="28" t="s">
        <v>3189</v>
      </c>
      <c r="E1051" s="29" t="s">
        <v>671</v>
      </c>
      <c r="F1051" s="30">
        <v>1</v>
      </c>
      <c r="G1051" s="31">
        <v>231.38</v>
      </c>
      <c r="H1051" s="31">
        <f t="shared" si="131"/>
        <v>231.38</v>
      </c>
      <c r="I1051" s="170" t="s">
        <v>2842</v>
      </c>
      <c r="J1051" t="s">
        <v>2853</v>
      </c>
      <c r="K1051" s="188" t="s">
        <v>2853</v>
      </c>
    </row>
    <row r="1052" spans="1:11" x14ac:dyDescent="0.25">
      <c r="A1052" t="s">
        <v>5622</v>
      </c>
      <c r="B1052" s="27" t="s">
        <v>1077</v>
      </c>
      <c r="D1052" s="28" t="s">
        <v>3190</v>
      </c>
      <c r="E1052" s="29" t="s">
        <v>21</v>
      </c>
      <c r="F1052" s="30">
        <v>1</v>
      </c>
      <c r="G1052" s="31">
        <v>198.33</v>
      </c>
      <c r="H1052" s="31">
        <f t="shared" si="131"/>
        <v>198.33</v>
      </c>
      <c r="I1052" s="170" t="s">
        <v>2842</v>
      </c>
      <c r="J1052" t="s">
        <v>2853</v>
      </c>
      <c r="K1052" s="188" t="s">
        <v>2853</v>
      </c>
    </row>
    <row r="1053" spans="1:11" x14ac:dyDescent="0.25">
      <c r="A1053" t="s">
        <v>5623</v>
      </c>
      <c r="B1053" s="27" t="s">
        <v>1078</v>
      </c>
      <c r="D1053" s="28" t="s">
        <v>3191</v>
      </c>
      <c r="E1053" s="29" t="s">
        <v>21</v>
      </c>
      <c r="F1053" s="30">
        <v>1</v>
      </c>
      <c r="G1053" s="31">
        <v>198.33</v>
      </c>
      <c r="H1053" s="31">
        <f t="shared" si="131"/>
        <v>198.33</v>
      </c>
      <c r="I1053" s="170" t="s">
        <v>2842</v>
      </c>
      <c r="J1053" t="s">
        <v>2853</v>
      </c>
      <c r="K1053" s="188" t="s">
        <v>2853</v>
      </c>
    </row>
    <row r="1054" spans="1:11" x14ac:dyDescent="0.25">
      <c r="A1054" t="s">
        <v>5624</v>
      </c>
      <c r="B1054" s="27" t="s">
        <v>1079</v>
      </c>
      <c r="D1054" s="28" t="s">
        <v>3192</v>
      </c>
      <c r="E1054" s="29" t="s">
        <v>21</v>
      </c>
      <c r="F1054" s="30">
        <v>1</v>
      </c>
      <c r="G1054" s="31">
        <v>198.33</v>
      </c>
      <c r="H1054" s="31">
        <f t="shared" si="131"/>
        <v>198.33</v>
      </c>
      <c r="I1054" s="170" t="s">
        <v>2842</v>
      </c>
      <c r="J1054" t="s">
        <v>2853</v>
      </c>
      <c r="K1054" s="188" t="s">
        <v>2853</v>
      </c>
    </row>
    <row r="1055" spans="1:11" x14ac:dyDescent="0.25">
      <c r="A1055" t="s">
        <v>5625</v>
      </c>
      <c r="B1055" s="27" t="s">
        <v>1080</v>
      </c>
      <c r="D1055" s="28" t="s">
        <v>3193</v>
      </c>
      <c r="E1055" s="29" t="s">
        <v>563</v>
      </c>
      <c r="F1055" s="30">
        <v>1</v>
      </c>
      <c r="G1055" s="31">
        <v>198.33</v>
      </c>
      <c r="H1055" s="31">
        <f t="shared" si="131"/>
        <v>198.33</v>
      </c>
      <c r="I1055" s="170" t="s">
        <v>2842</v>
      </c>
      <c r="J1055" t="s">
        <v>2853</v>
      </c>
      <c r="K1055" s="188" t="s">
        <v>2853</v>
      </c>
    </row>
    <row r="1056" spans="1:11" x14ac:dyDescent="0.25">
      <c r="A1056" t="s">
        <v>5626</v>
      </c>
      <c r="B1056" s="27" t="s">
        <v>1081</v>
      </c>
      <c r="D1056" s="28" t="s">
        <v>3194</v>
      </c>
      <c r="E1056" s="29" t="s">
        <v>563</v>
      </c>
      <c r="F1056" s="30">
        <v>1</v>
      </c>
      <c r="G1056" s="31">
        <v>198.33</v>
      </c>
      <c r="H1056" s="31">
        <f t="shared" ref="H1056:H1119" si="132">+F1056*G1056</f>
        <v>198.33</v>
      </c>
      <c r="I1056" s="170" t="s">
        <v>2842</v>
      </c>
      <c r="J1056" t="s">
        <v>2853</v>
      </c>
      <c r="K1056" s="188" t="s">
        <v>2853</v>
      </c>
    </row>
    <row r="1057" spans="1:11" x14ac:dyDescent="0.25">
      <c r="A1057" t="s">
        <v>5627</v>
      </c>
      <c r="B1057" s="27" t="s">
        <v>1082</v>
      </c>
      <c r="D1057" s="28" t="s">
        <v>3195</v>
      </c>
      <c r="E1057" s="29" t="s">
        <v>563</v>
      </c>
      <c r="F1057" s="30">
        <v>1</v>
      </c>
      <c r="G1057" s="31">
        <v>198.33</v>
      </c>
      <c r="H1057" s="31">
        <f t="shared" si="132"/>
        <v>198.33</v>
      </c>
      <c r="I1057" s="170" t="s">
        <v>2842</v>
      </c>
      <c r="J1057" t="s">
        <v>2853</v>
      </c>
      <c r="K1057" s="188" t="s">
        <v>2853</v>
      </c>
    </row>
    <row r="1058" spans="1:11" x14ac:dyDescent="0.25">
      <c r="A1058" t="s">
        <v>5628</v>
      </c>
      <c r="B1058" s="27" t="s">
        <v>1083</v>
      </c>
      <c r="D1058" s="28" t="s">
        <v>3196</v>
      </c>
      <c r="E1058" s="29" t="s">
        <v>671</v>
      </c>
      <c r="F1058" s="30">
        <v>1</v>
      </c>
      <c r="G1058" s="31">
        <v>198.33</v>
      </c>
      <c r="H1058" s="31">
        <f t="shared" si="132"/>
        <v>198.33</v>
      </c>
      <c r="I1058" s="170" t="s">
        <v>2842</v>
      </c>
      <c r="J1058" t="s">
        <v>2853</v>
      </c>
      <c r="K1058" s="188" t="s">
        <v>2853</v>
      </c>
    </row>
    <row r="1059" spans="1:11" x14ac:dyDescent="0.25">
      <c r="A1059" t="s">
        <v>5629</v>
      </c>
      <c r="B1059" s="27" t="s">
        <v>1084</v>
      </c>
      <c r="D1059" s="28" t="s">
        <v>3197</v>
      </c>
      <c r="E1059" s="29" t="s">
        <v>671</v>
      </c>
      <c r="F1059" s="30">
        <v>1</v>
      </c>
      <c r="G1059" s="31">
        <v>198.33</v>
      </c>
      <c r="H1059" s="31">
        <f t="shared" si="132"/>
        <v>198.33</v>
      </c>
      <c r="I1059" s="170" t="s">
        <v>2842</v>
      </c>
      <c r="J1059" t="s">
        <v>2853</v>
      </c>
      <c r="K1059" s="188" t="s">
        <v>2853</v>
      </c>
    </row>
    <row r="1060" spans="1:11" x14ac:dyDescent="0.25">
      <c r="A1060" t="s">
        <v>5630</v>
      </c>
      <c r="B1060" s="27" t="s">
        <v>1085</v>
      </c>
      <c r="D1060" s="28" t="s">
        <v>3198</v>
      </c>
      <c r="E1060" s="29" t="s">
        <v>671</v>
      </c>
      <c r="F1060" s="30">
        <v>1</v>
      </c>
      <c r="G1060" s="31">
        <v>198.33</v>
      </c>
      <c r="H1060" s="31">
        <f t="shared" si="132"/>
        <v>198.33</v>
      </c>
      <c r="I1060" s="170" t="s">
        <v>2842</v>
      </c>
      <c r="J1060" t="s">
        <v>2853</v>
      </c>
      <c r="K1060" s="188" t="s">
        <v>2853</v>
      </c>
    </row>
    <row r="1061" spans="1:11" x14ac:dyDescent="0.25">
      <c r="A1061" t="s">
        <v>5631</v>
      </c>
      <c r="B1061" s="27" t="s">
        <v>1086</v>
      </c>
      <c r="D1061" s="28" t="s">
        <v>3199</v>
      </c>
      <c r="E1061" s="29" t="s">
        <v>21</v>
      </c>
      <c r="F1061" s="30">
        <v>1</v>
      </c>
      <c r="G1061" s="31">
        <v>237.99</v>
      </c>
      <c r="H1061" s="31">
        <f t="shared" si="132"/>
        <v>237.99</v>
      </c>
      <c r="I1061" s="170" t="s">
        <v>2842</v>
      </c>
      <c r="J1061" t="s">
        <v>2853</v>
      </c>
      <c r="K1061" s="188" t="s">
        <v>2853</v>
      </c>
    </row>
    <row r="1062" spans="1:11" x14ac:dyDescent="0.25">
      <c r="A1062" t="s">
        <v>5632</v>
      </c>
      <c r="B1062" s="27" t="s">
        <v>1087</v>
      </c>
      <c r="D1062" s="28" t="s">
        <v>3200</v>
      </c>
      <c r="E1062" s="29" t="s">
        <v>21</v>
      </c>
      <c r="F1062" s="30">
        <v>1</v>
      </c>
      <c r="G1062" s="31">
        <v>237.99</v>
      </c>
      <c r="H1062" s="31">
        <f t="shared" si="132"/>
        <v>237.99</v>
      </c>
      <c r="I1062" s="170" t="s">
        <v>2842</v>
      </c>
      <c r="J1062" t="s">
        <v>2853</v>
      </c>
      <c r="K1062" s="188" t="s">
        <v>2853</v>
      </c>
    </row>
    <row r="1063" spans="1:11" x14ac:dyDescent="0.25">
      <c r="A1063" t="s">
        <v>5633</v>
      </c>
      <c r="B1063" s="27" t="s">
        <v>1088</v>
      </c>
      <c r="D1063" s="28" t="s">
        <v>3201</v>
      </c>
      <c r="E1063" s="29" t="s">
        <v>21</v>
      </c>
      <c r="F1063" s="30">
        <v>1</v>
      </c>
      <c r="G1063" s="31">
        <v>237.99</v>
      </c>
      <c r="H1063" s="31">
        <f t="shared" si="132"/>
        <v>237.99</v>
      </c>
      <c r="I1063" s="170" t="s">
        <v>2842</v>
      </c>
      <c r="J1063" t="s">
        <v>2853</v>
      </c>
      <c r="K1063" s="188" t="s">
        <v>2853</v>
      </c>
    </row>
    <row r="1064" spans="1:11" x14ac:dyDescent="0.25">
      <c r="A1064" t="s">
        <v>5634</v>
      </c>
      <c r="B1064" s="27" t="s">
        <v>1089</v>
      </c>
      <c r="D1064" s="28" t="s">
        <v>3202</v>
      </c>
      <c r="E1064" s="29" t="s">
        <v>563</v>
      </c>
      <c r="F1064" s="30">
        <v>1</v>
      </c>
      <c r="G1064" s="31">
        <v>237.99</v>
      </c>
      <c r="H1064" s="31">
        <f t="shared" si="132"/>
        <v>237.99</v>
      </c>
      <c r="I1064" s="170" t="s">
        <v>2842</v>
      </c>
      <c r="J1064" t="s">
        <v>2853</v>
      </c>
      <c r="K1064" s="188" t="s">
        <v>2853</v>
      </c>
    </row>
    <row r="1065" spans="1:11" x14ac:dyDescent="0.25">
      <c r="A1065" t="s">
        <v>5635</v>
      </c>
      <c r="B1065" s="27" t="s">
        <v>1090</v>
      </c>
      <c r="D1065" s="28" t="s">
        <v>3203</v>
      </c>
      <c r="E1065" s="29" t="s">
        <v>563</v>
      </c>
      <c r="F1065" s="30">
        <v>1</v>
      </c>
      <c r="G1065" s="31">
        <v>237.99</v>
      </c>
      <c r="H1065" s="31">
        <f t="shared" si="132"/>
        <v>237.99</v>
      </c>
      <c r="I1065" s="170" t="s">
        <v>2842</v>
      </c>
      <c r="J1065" t="s">
        <v>2853</v>
      </c>
      <c r="K1065" s="188" t="s">
        <v>2853</v>
      </c>
    </row>
    <row r="1066" spans="1:11" x14ac:dyDescent="0.25">
      <c r="A1066" t="s">
        <v>5636</v>
      </c>
      <c r="B1066" s="27" t="s">
        <v>1091</v>
      </c>
      <c r="D1066" s="28" t="s">
        <v>3204</v>
      </c>
      <c r="E1066" s="29" t="s">
        <v>563</v>
      </c>
      <c r="F1066" s="30">
        <v>1</v>
      </c>
      <c r="G1066" s="31">
        <v>237.99</v>
      </c>
      <c r="H1066" s="31">
        <f t="shared" si="132"/>
        <v>237.99</v>
      </c>
      <c r="I1066" s="170" t="s">
        <v>2842</v>
      </c>
      <c r="J1066" t="s">
        <v>2853</v>
      </c>
      <c r="K1066" s="188" t="s">
        <v>2853</v>
      </c>
    </row>
    <row r="1067" spans="1:11" x14ac:dyDescent="0.25">
      <c r="A1067" t="s">
        <v>5637</v>
      </c>
      <c r="B1067" s="27" t="s">
        <v>1092</v>
      </c>
      <c r="D1067" s="28" t="s">
        <v>3205</v>
      </c>
      <c r="E1067" s="29" t="s">
        <v>671</v>
      </c>
      <c r="F1067" s="30">
        <v>1</v>
      </c>
      <c r="G1067" s="31">
        <v>237.99</v>
      </c>
      <c r="H1067" s="31">
        <f t="shared" si="132"/>
        <v>237.99</v>
      </c>
      <c r="I1067" s="170" t="s">
        <v>2842</v>
      </c>
      <c r="J1067" t="s">
        <v>2853</v>
      </c>
      <c r="K1067" s="188" t="s">
        <v>2853</v>
      </c>
    </row>
    <row r="1068" spans="1:11" x14ac:dyDescent="0.25">
      <c r="A1068" t="s">
        <v>5638</v>
      </c>
      <c r="B1068" s="27" t="s">
        <v>1093</v>
      </c>
      <c r="D1068" s="28" t="s">
        <v>3206</v>
      </c>
      <c r="E1068" s="29" t="s">
        <v>671</v>
      </c>
      <c r="F1068" s="30">
        <v>1</v>
      </c>
      <c r="G1068" s="31">
        <v>237.99</v>
      </c>
      <c r="H1068" s="31">
        <f t="shared" si="132"/>
        <v>237.99</v>
      </c>
      <c r="I1068" s="170" t="s">
        <v>2842</v>
      </c>
      <c r="J1068" t="s">
        <v>2853</v>
      </c>
      <c r="K1068" s="188" t="s">
        <v>2853</v>
      </c>
    </row>
    <row r="1069" spans="1:11" x14ac:dyDescent="0.25">
      <c r="A1069" t="s">
        <v>5639</v>
      </c>
      <c r="B1069" s="27" t="s">
        <v>1094</v>
      </c>
      <c r="D1069" s="28" t="s">
        <v>3207</v>
      </c>
      <c r="E1069" s="29" t="s">
        <v>671</v>
      </c>
      <c r="F1069" s="30">
        <v>1</v>
      </c>
      <c r="G1069" s="31">
        <v>237.99</v>
      </c>
      <c r="H1069" s="31">
        <f t="shared" si="132"/>
        <v>237.99</v>
      </c>
      <c r="I1069" s="170" t="s">
        <v>2842</v>
      </c>
      <c r="J1069" t="s">
        <v>2853</v>
      </c>
      <c r="K1069" s="188" t="s">
        <v>2853</v>
      </c>
    </row>
    <row r="1070" spans="1:11" x14ac:dyDescent="0.25">
      <c r="A1070" t="s">
        <v>5640</v>
      </c>
      <c r="B1070" s="27" t="s">
        <v>1095</v>
      </c>
      <c r="D1070" s="28" t="s">
        <v>3208</v>
      </c>
      <c r="E1070" s="29" t="s">
        <v>21</v>
      </c>
      <c r="F1070" s="30">
        <v>1</v>
      </c>
      <c r="G1070" s="31">
        <v>125.61</v>
      </c>
      <c r="H1070" s="31">
        <f t="shared" si="132"/>
        <v>125.61</v>
      </c>
      <c r="I1070" s="170" t="s">
        <v>2842</v>
      </c>
      <c r="J1070" t="s">
        <v>2853</v>
      </c>
      <c r="K1070" s="188" t="s">
        <v>2853</v>
      </c>
    </row>
    <row r="1071" spans="1:11" x14ac:dyDescent="0.25">
      <c r="A1071" t="s">
        <v>5641</v>
      </c>
      <c r="B1071" s="27" t="s">
        <v>1096</v>
      </c>
      <c r="D1071" s="28" t="s">
        <v>3209</v>
      </c>
      <c r="E1071" s="29" t="s">
        <v>21</v>
      </c>
      <c r="F1071" s="30">
        <v>1</v>
      </c>
      <c r="G1071" s="31">
        <v>125.61</v>
      </c>
      <c r="H1071" s="31">
        <f t="shared" si="132"/>
        <v>125.61</v>
      </c>
      <c r="I1071" s="170" t="s">
        <v>2842</v>
      </c>
      <c r="J1071" t="s">
        <v>2853</v>
      </c>
      <c r="K1071" s="188" t="s">
        <v>2853</v>
      </c>
    </row>
    <row r="1072" spans="1:11" x14ac:dyDescent="0.25">
      <c r="A1072" t="s">
        <v>5642</v>
      </c>
      <c r="B1072" s="27" t="s">
        <v>1097</v>
      </c>
      <c r="D1072" s="28" t="s">
        <v>3210</v>
      </c>
      <c r="E1072" s="29" t="s">
        <v>21</v>
      </c>
      <c r="F1072" s="30">
        <v>1</v>
      </c>
      <c r="G1072" s="31">
        <v>125.61</v>
      </c>
      <c r="H1072" s="31">
        <f t="shared" si="132"/>
        <v>125.61</v>
      </c>
      <c r="I1072" s="170" t="s">
        <v>2842</v>
      </c>
      <c r="J1072" t="s">
        <v>2853</v>
      </c>
      <c r="K1072" s="188" t="s">
        <v>2853</v>
      </c>
    </row>
    <row r="1073" spans="1:11" x14ac:dyDescent="0.25">
      <c r="A1073" t="s">
        <v>5643</v>
      </c>
      <c r="B1073" s="27" t="s">
        <v>1098</v>
      </c>
      <c r="D1073" s="28" t="s">
        <v>3211</v>
      </c>
      <c r="E1073" s="29" t="s">
        <v>563</v>
      </c>
      <c r="F1073" s="30">
        <v>1</v>
      </c>
      <c r="G1073" s="31">
        <v>125.61</v>
      </c>
      <c r="H1073" s="31">
        <f t="shared" si="132"/>
        <v>125.61</v>
      </c>
      <c r="I1073" s="170" t="s">
        <v>2842</v>
      </c>
      <c r="J1073" t="s">
        <v>2853</v>
      </c>
      <c r="K1073" s="188" t="s">
        <v>2853</v>
      </c>
    </row>
    <row r="1074" spans="1:11" x14ac:dyDescent="0.25">
      <c r="A1074" t="s">
        <v>5644</v>
      </c>
      <c r="B1074" s="27" t="s">
        <v>1099</v>
      </c>
      <c r="D1074" s="28" t="s">
        <v>3212</v>
      </c>
      <c r="E1074" s="29" t="s">
        <v>563</v>
      </c>
      <c r="F1074" s="30">
        <v>1</v>
      </c>
      <c r="G1074" s="31">
        <v>125.61</v>
      </c>
      <c r="H1074" s="31">
        <f t="shared" si="132"/>
        <v>125.61</v>
      </c>
      <c r="I1074" s="170" t="s">
        <v>2842</v>
      </c>
      <c r="J1074" t="s">
        <v>2853</v>
      </c>
      <c r="K1074" s="188" t="s">
        <v>2853</v>
      </c>
    </row>
    <row r="1075" spans="1:11" x14ac:dyDescent="0.25">
      <c r="A1075" t="s">
        <v>5645</v>
      </c>
      <c r="B1075" s="27" t="s">
        <v>1100</v>
      </c>
      <c r="D1075" s="28" t="s">
        <v>3213</v>
      </c>
      <c r="E1075" s="29" t="s">
        <v>563</v>
      </c>
      <c r="F1075" s="30">
        <v>1</v>
      </c>
      <c r="G1075" s="31">
        <v>125.61</v>
      </c>
      <c r="H1075" s="31">
        <f t="shared" si="132"/>
        <v>125.61</v>
      </c>
      <c r="I1075" s="170" t="s">
        <v>2842</v>
      </c>
      <c r="J1075" t="s">
        <v>2853</v>
      </c>
      <c r="K1075" s="188" t="s">
        <v>2853</v>
      </c>
    </row>
    <row r="1076" spans="1:11" x14ac:dyDescent="0.25">
      <c r="A1076" t="s">
        <v>5646</v>
      </c>
      <c r="B1076" s="27" t="s">
        <v>1101</v>
      </c>
      <c r="D1076" s="28" t="s">
        <v>3214</v>
      </c>
      <c r="E1076" s="29" t="s">
        <v>671</v>
      </c>
      <c r="F1076" s="30">
        <v>1</v>
      </c>
      <c r="G1076" s="31">
        <v>125.61</v>
      </c>
      <c r="H1076" s="31">
        <f t="shared" si="132"/>
        <v>125.61</v>
      </c>
      <c r="I1076" s="170" t="s">
        <v>2842</v>
      </c>
      <c r="J1076" t="s">
        <v>2853</v>
      </c>
      <c r="K1076" s="188" t="s">
        <v>2853</v>
      </c>
    </row>
    <row r="1077" spans="1:11" x14ac:dyDescent="0.25">
      <c r="A1077" t="s">
        <v>5647</v>
      </c>
      <c r="B1077" s="27" t="s">
        <v>1102</v>
      </c>
      <c r="D1077" s="28" t="s">
        <v>3215</v>
      </c>
      <c r="E1077" s="29" t="s">
        <v>671</v>
      </c>
      <c r="F1077" s="30">
        <v>1</v>
      </c>
      <c r="G1077" s="31">
        <v>125.61</v>
      </c>
      <c r="H1077" s="31">
        <f t="shared" si="132"/>
        <v>125.61</v>
      </c>
      <c r="I1077" s="170" t="s">
        <v>2842</v>
      </c>
      <c r="J1077" t="s">
        <v>2853</v>
      </c>
      <c r="K1077" s="188" t="s">
        <v>2853</v>
      </c>
    </row>
    <row r="1078" spans="1:11" x14ac:dyDescent="0.25">
      <c r="A1078" t="s">
        <v>5648</v>
      </c>
      <c r="B1078" s="27" t="s">
        <v>1103</v>
      </c>
      <c r="D1078" s="28" t="s">
        <v>3216</v>
      </c>
      <c r="E1078" s="29" t="s">
        <v>671</v>
      </c>
      <c r="F1078" s="30">
        <v>1</v>
      </c>
      <c r="G1078" s="31">
        <v>125.61</v>
      </c>
      <c r="H1078" s="31">
        <f t="shared" si="132"/>
        <v>125.61</v>
      </c>
      <c r="I1078" s="170" t="s">
        <v>2842</v>
      </c>
      <c r="J1078" t="s">
        <v>2853</v>
      </c>
      <c r="K1078" s="188" t="s">
        <v>2853</v>
      </c>
    </row>
    <row r="1079" spans="1:11" x14ac:dyDescent="0.25">
      <c r="A1079" t="s">
        <v>5649</v>
      </c>
      <c r="B1079" s="27" t="s">
        <v>1104</v>
      </c>
      <c r="D1079" s="28" t="s">
        <v>3217</v>
      </c>
      <c r="E1079" s="29" t="s">
        <v>21</v>
      </c>
      <c r="F1079" s="30">
        <v>1</v>
      </c>
      <c r="G1079" s="31">
        <v>145.44</v>
      </c>
      <c r="H1079" s="31">
        <f t="shared" si="132"/>
        <v>145.44</v>
      </c>
      <c r="I1079" s="170" t="s">
        <v>2842</v>
      </c>
      <c r="J1079" t="s">
        <v>2853</v>
      </c>
      <c r="K1079" s="188" t="s">
        <v>2853</v>
      </c>
    </row>
    <row r="1080" spans="1:11" x14ac:dyDescent="0.25">
      <c r="A1080" t="s">
        <v>5650</v>
      </c>
      <c r="B1080" s="27" t="s">
        <v>1105</v>
      </c>
      <c r="D1080" s="28" t="s">
        <v>3218</v>
      </c>
      <c r="E1080" s="29" t="s">
        <v>21</v>
      </c>
      <c r="F1080" s="30">
        <v>1</v>
      </c>
      <c r="G1080" s="31">
        <v>145.44</v>
      </c>
      <c r="H1080" s="31">
        <f t="shared" si="132"/>
        <v>145.44</v>
      </c>
      <c r="I1080" s="170" t="s">
        <v>2842</v>
      </c>
      <c r="J1080" t="s">
        <v>2853</v>
      </c>
      <c r="K1080" s="188" t="s">
        <v>2853</v>
      </c>
    </row>
    <row r="1081" spans="1:11" x14ac:dyDescent="0.25">
      <c r="A1081" t="s">
        <v>5651</v>
      </c>
      <c r="B1081" s="27" t="s">
        <v>1106</v>
      </c>
      <c r="D1081" s="28" t="s">
        <v>3219</v>
      </c>
      <c r="E1081" s="29" t="s">
        <v>21</v>
      </c>
      <c r="F1081" s="30">
        <v>1</v>
      </c>
      <c r="G1081" s="31">
        <v>145.44</v>
      </c>
      <c r="H1081" s="31">
        <f t="shared" si="132"/>
        <v>145.44</v>
      </c>
      <c r="I1081" s="170" t="s">
        <v>2842</v>
      </c>
      <c r="J1081" t="s">
        <v>2853</v>
      </c>
      <c r="K1081" s="188" t="s">
        <v>2853</v>
      </c>
    </row>
    <row r="1082" spans="1:11" x14ac:dyDescent="0.25">
      <c r="A1082" t="s">
        <v>5652</v>
      </c>
      <c r="B1082" s="27" t="s">
        <v>1107</v>
      </c>
      <c r="D1082" s="28" t="s">
        <v>3220</v>
      </c>
      <c r="E1082" s="29" t="s">
        <v>563</v>
      </c>
      <c r="F1082" s="30">
        <v>1</v>
      </c>
      <c r="G1082" s="31">
        <v>145.44</v>
      </c>
      <c r="H1082" s="31">
        <f t="shared" si="132"/>
        <v>145.44</v>
      </c>
      <c r="I1082" s="170" t="s">
        <v>2842</v>
      </c>
      <c r="J1082" t="s">
        <v>2853</v>
      </c>
      <c r="K1082" s="188" t="s">
        <v>2853</v>
      </c>
    </row>
    <row r="1083" spans="1:11" x14ac:dyDescent="0.25">
      <c r="A1083" t="s">
        <v>5653</v>
      </c>
      <c r="B1083" s="27" t="s">
        <v>1108</v>
      </c>
      <c r="D1083" s="28" t="s">
        <v>3221</v>
      </c>
      <c r="E1083" s="29" t="s">
        <v>563</v>
      </c>
      <c r="F1083" s="30">
        <v>1</v>
      </c>
      <c r="G1083" s="31">
        <v>145.44</v>
      </c>
      <c r="H1083" s="31">
        <f t="shared" si="132"/>
        <v>145.44</v>
      </c>
      <c r="I1083" s="170" t="s">
        <v>2842</v>
      </c>
      <c r="J1083" t="s">
        <v>2853</v>
      </c>
      <c r="K1083" s="188" t="s">
        <v>2853</v>
      </c>
    </row>
    <row r="1084" spans="1:11" x14ac:dyDescent="0.25">
      <c r="A1084" t="s">
        <v>5654</v>
      </c>
      <c r="B1084" s="27" t="s">
        <v>1109</v>
      </c>
      <c r="D1084" s="28" t="s">
        <v>3222</v>
      </c>
      <c r="E1084" s="29" t="s">
        <v>563</v>
      </c>
      <c r="F1084" s="30">
        <v>1</v>
      </c>
      <c r="G1084" s="31">
        <v>145.44</v>
      </c>
      <c r="H1084" s="31">
        <f t="shared" si="132"/>
        <v>145.44</v>
      </c>
      <c r="I1084" s="170" t="s">
        <v>2842</v>
      </c>
      <c r="J1084" t="s">
        <v>2853</v>
      </c>
      <c r="K1084" s="188" t="s">
        <v>2853</v>
      </c>
    </row>
    <row r="1085" spans="1:11" x14ac:dyDescent="0.25">
      <c r="A1085" t="s">
        <v>5655</v>
      </c>
      <c r="B1085" s="27" t="s">
        <v>1110</v>
      </c>
      <c r="D1085" s="28" t="s">
        <v>3223</v>
      </c>
      <c r="E1085" s="29" t="s">
        <v>671</v>
      </c>
      <c r="F1085" s="30">
        <v>1</v>
      </c>
      <c r="G1085" s="31">
        <v>145.44</v>
      </c>
      <c r="H1085" s="31">
        <f t="shared" si="132"/>
        <v>145.44</v>
      </c>
      <c r="I1085" s="170" t="s">
        <v>2842</v>
      </c>
      <c r="J1085" t="s">
        <v>2853</v>
      </c>
      <c r="K1085" s="188" t="s">
        <v>2853</v>
      </c>
    </row>
    <row r="1086" spans="1:11" x14ac:dyDescent="0.25">
      <c r="A1086" t="s">
        <v>5656</v>
      </c>
      <c r="B1086" s="27" t="s">
        <v>1111</v>
      </c>
      <c r="D1086" s="28" t="s">
        <v>3224</v>
      </c>
      <c r="E1086" s="29" t="s">
        <v>671</v>
      </c>
      <c r="F1086" s="30">
        <v>1</v>
      </c>
      <c r="G1086" s="31">
        <v>145.44</v>
      </c>
      <c r="H1086" s="31">
        <f t="shared" si="132"/>
        <v>145.44</v>
      </c>
      <c r="I1086" s="170" t="s">
        <v>2842</v>
      </c>
      <c r="J1086" t="s">
        <v>2853</v>
      </c>
      <c r="K1086" s="188" t="s">
        <v>2853</v>
      </c>
    </row>
    <row r="1087" spans="1:11" x14ac:dyDescent="0.25">
      <c r="A1087" t="s">
        <v>5657</v>
      </c>
      <c r="B1087" s="27" t="s">
        <v>1112</v>
      </c>
      <c r="D1087" s="28" t="s">
        <v>3225</v>
      </c>
      <c r="E1087" s="29" t="s">
        <v>671</v>
      </c>
      <c r="F1087" s="30">
        <v>1</v>
      </c>
      <c r="G1087" s="31">
        <v>145.44</v>
      </c>
      <c r="H1087" s="31">
        <f t="shared" si="132"/>
        <v>145.44</v>
      </c>
      <c r="I1087" s="170" t="s">
        <v>2842</v>
      </c>
      <c r="J1087" t="s">
        <v>2853</v>
      </c>
      <c r="K1087" s="188" t="s">
        <v>2853</v>
      </c>
    </row>
    <row r="1088" spans="1:11" x14ac:dyDescent="0.25">
      <c r="A1088" t="s">
        <v>5658</v>
      </c>
      <c r="B1088" s="27" t="s">
        <v>1113</v>
      </c>
      <c r="D1088" s="28" t="s">
        <v>3226</v>
      </c>
      <c r="E1088" s="29" t="s">
        <v>21</v>
      </c>
      <c r="F1088" s="30">
        <v>1</v>
      </c>
      <c r="G1088" s="31">
        <v>158.66999999999999</v>
      </c>
      <c r="H1088" s="31">
        <f t="shared" si="132"/>
        <v>158.66999999999999</v>
      </c>
      <c r="I1088" s="170" t="s">
        <v>2842</v>
      </c>
      <c r="J1088" t="s">
        <v>2853</v>
      </c>
      <c r="K1088" s="188" t="s">
        <v>2853</v>
      </c>
    </row>
    <row r="1089" spans="1:11" x14ac:dyDescent="0.25">
      <c r="A1089" t="s">
        <v>5659</v>
      </c>
      <c r="B1089" s="27" t="s">
        <v>1114</v>
      </c>
      <c r="D1089" s="28" t="s">
        <v>3227</v>
      </c>
      <c r="E1089" s="29" t="s">
        <v>21</v>
      </c>
      <c r="F1089" s="30">
        <v>1</v>
      </c>
      <c r="G1089" s="31">
        <v>158.66999999999999</v>
      </c>
      <c r="H1089" s="31">
        <f t="shared" si="132"/>
        <v>158.66999999999999</v>
      </c>
      <c r="I1089" s="170" t="s">
        <v>2842</v>
      </c>
      <c r="J1089" t="s">
        <v>2853</v>
      </c>
      <c r="K1089" s="188" t="s">
        <v>2853</v>
      </c>
    </row>
    <row r="1090" spans="1:11" x14ac:dyDescent="0.25">
      <c r="A1090" t="s">
        <v>5660</v>
      </c>
      <c r="B1090" s="27" t="s">
        <v>1115</v>
      </c>
      <c r="D1090" s="28" t="s">
        <v>3228</v>
      </c>
      <c r="E1090" s="29" t="s">
        <v>21</v>
      </c>
      <c r="F1090" s="30">
        <v>1</v>
      </c>
      <c r="G1090" s="31">
        <v>158.66999999999999</v>
      </c>
      <c r="H1090" s="31">
        <f t="shared" si="132"/>
        <v>158.66999999999999</v>
      </c>
      <c r="I1090" s="170" t="s">
        <v>2842</v>
      </c>
      <c r="J1090" t="s">
        <v>2853</v>
      </c>
      <c r="K1090" s="188" t="s">
        <v>2853</v>
      </c>
    </row>
    <row r="1091" spans="1:11" x14ac:dyDescent="0.25">
      <c r="A1091" t="s">
        <v>5661</v>
      </c>
      <c r="B1091" s="27" t="s">
        <v>1116</v>
      </c>
      <c r="D1091" s="28" t="s">
        <v>3229</v>
      </c>
      <c r="E1091" s="29" t="s">
        <v>563</v>
      </c>
      <c r="F1091" s="30">
        <v>1</v>
      </c>
      <c r="G1091" s="31">
        <v>158.66999999999999</v>
      </c>
      <c r="H1091" s="31">
        <f t="shared" si="132"/>
        <v>158.66999999999999</v>
      </c>
      <c r="I1091" s="170" t="s">
        <v>2842</v>
      </c>
      <c r="J1091" t="s">
        <v>2853</v>
      </c>
      <c r="K1091" s="188" t="s">
        <v>2853</v>
      </c>
    </row>
    <row r="1092" spans="1:11" x14ac:dyDescent="0.25">
      <c r="A1092" t="s">
        <v>5662</v>
      </c>
      <c r="B1092" s="27" t="s">
        <v>1117</v>
      </c>
      <c r="D1092" s="28" t="s">
        <v>3230</v>
      </c>
      <c r="E1092" s="29" t="s">
        <v>563</v>
      </c>
      <c r="F1092" s="30">
        <v>1</v>
      </c>
      <c r="G1092" s="31">
        <v>158.66999999999999</v>
      </c>
      <c r="H1092" s="31">
        <f t="shared" si="132"/>
        <v>158.66999999999999</v>
      </c>
      <c r="I1092" s="170" t="s">
        <v>2842</v>
      </c>
      <c r="J1092" t="s">
        <v>2853</v>
      </c>
      <c r="K1092" s="188" t="s">
        <v>2853</v>
      </c>
    </row>
    <row r="1093" spans="1:11" x14ac:dyDescent="0.25">
      <c r="A1093" t="s">
        <v>5663</v>
      </c>
      <c r="B1093" s="27" t="s">
        <v>1118</v>
      </c>
      <c r="D1093" s="28" t="s">
        <v>3231</v>
      </c>
      <c r="E1093" s="29" t="s">
        <v>563</v>
      </c>
      <c r="F1093" s="30">
        <v>1</v>
      </c>
      <c r="G1093" s="31">
        <v>158.66999999999999</v>
      </c>
      <c r="H1093" s="31">
        <f t="shared" si="132"/>
        <v>158.66999999999999</v>
      </c>
      <c r="I1093" s="170" t="s">
        <v>2842</v>
      </c>
      <c r="J1093" t="s">
        <v>2853</v>
      </c>
      <c r="K1093" s="188" t="s">
        <v>2853</v>
      </c>
    </row>
    <row r="1094" spans="1:11" x14ac:dyDescent="0.25">
      <c r="A1094" t="s">
        <v>5664</v>
      </c>
      <c r="B1094" s="27" t="s">
        <v>1119</v>
      </c>
      <c r="D1094" s="28" t="s">
        <v>3232</v>
      </c>
      <c r="E1094" s="29" t="s">
        <v>671</v>
      </c>
      <c r="F1094" s="30">
        <v>1</v>
      </c>
      <c r="G1094" s="31">
        <v>158.66999999999999</v>
      </c>
      <c r="H1094" s="31">
        <f t="shared" si="132"/>
        <v>158.66999999999999</v>
      </c>
      <c r="I1094" s="170" t="s">
        <v>2842</v>
      </c>
      <c r="J1094" t="s">
        <v>2853</v>
      </c>
      <c r="K1094" s="188" t="s">
        <v>2853</v>
      </c>
    </row>
    <row r="1095" spans="1:11" x14ac:dyDescent="0.25">
      <c r="A1095" t="s">
        <v>5665</v>
      </c>
      <c r="B1095" s="27" t="s">
        <v>1120</v>
      </c>
      <c r="D1095" s="28" t="s">
        <v>3233</v>
      </c>
      <c r="E1095" s="29" t="s">
        <v>671</v>
      </c>
      <c r="F1095" s="30">
        <v>1</v>
      </c>
      <c r="G1095" s="31">
        <v>158.66999999999999</v>
      </c>
      <c r="H1095" s="31">
        <f t="shared" si="132"/>
        <v>158.66999999999999</v>
      </c>
      <c r="I1095" s="170" t="s">
        <v>2842</v>
      </c>
      <c r="J1095" t="s">
        <v>2853</v>
      </c>
      <c r="K1095" s="188" t="s">
        <v>2853</v>
      </c>
    </row>
    <row r="1096" spans="1:11" x14ac:dyDescent="0.25">
      <c r="A1096" t="s">
        <v>5666</v>
      </c>
      <c r="B1096" s="27" t="s">
        <v>1121</v>
      </c>
      <c r="D1096" s="28" t="s">
        <v>3234</v>
      </c>
      <c r="E1096" s="29" t="s">
        <v>671</v>
      </c>
      <c r="F1096" s="30">
        <v>1</v>
      </c>
      <c r="G1096" s="31">
        <v>158.66999999999999</v>
      </c>
      <c r="H1096" s="31">
        <f t="shared" si="132"/>
        <v>158.66999999999999</v>
      </c>
      <c r="I1096" s="170" t="s">
        <v>2842</v>
      </c>
      <c r="J1096" t="s">
        <v>2853</v>
      </c>
      <c r="K1096" s="188" t="s">
        <v>2853</v>
      </c>
    </row>
    <row r="1097" spans="1:11" x14ac:dyDescent="0.25">
      <c r="A1097" t="s">
        <v>5667</v>
      </c>
      <c r="B1097" s="27" t="s">
        <v>1122</v>
      </c>
      <c r="D1097" s="28" t="s">
        <v>3235</v>
      </c>
      <c r="E1097" s="29" t="s">
        <v>21</v>
      </c>
      <c r="F1097" s="30">
        <v>1</v>
      </c>
      <c r="G1097" s="31">
        <v>178.49</v>
      </c>
      <c r="H1097" s="31">
        <f t="shared" si="132"/>
        <v>178.49</v>
      </c>
      <c r="I1097" s="170" t="s">
        <v>2842</v>
      </c>
      <c r="J1097" t="s">
        <v>2853</v>
      </c>
      <c r="K1097" s="188" t="s">
        <v>2853</v>
      </c>
    </row>
    <row r="1098" spans="1:11" x14ac:dyDescent="0.25">
      <c r="A1098" t="s">
        <v>5668</v>
      </c>
      <c r="B1098" s="27" t="s">
        <v>1123</v>
      </c>
      <c r="D1098" s="28" t="s">
        <v>3236</v>
      </c>
      <c r="E1098" s="29" t="s">
        <v>21</v>
      </c>
      <c r="F1098" s="30">
        <v>1</v>
      </c>
      <c r="G1098" s="31">
        <v>178.49</v>
      </c>
      <c r="H1098" s="31">
        <f t="shared" si="132"/>
        <v>178.49</v>
      </c>
      <c r="I1098" s="170" t="s">
        <v>2842</v>
      </c>
      <c r="J1098" t="s">
        <v>2853</v>
      </c>
      <c r="K1098" s="188" t="s">
        <v>2853</v>
      </c>
    </row>
    <row r="1099" spans="1:11" x14ac:dyDescent="0.25">
      <c r="A1099" t="s">
        <v>5669</v>
      </c>
      <c r="B1099" s="27" t="s">
        <v>1124</v>
      </c>
      <c r="D1099" s="28" t="s">
        <v>3237</v>
      </c>
      <c r="E1099" s="29" t="s">
        <v>21</v>
      </c>
      <c r="F1099" s="30">
        <v>1</v>
      </c>
      <c r="G1099" s="31">
        <v>178.49</v>
      </c>
      <c r="H1099" s="31">
        <f t="shared" si="132"/>
        <v>178.49</v>
      </c>
      <c r="I1099" s="170" t="s">
        <v>2842</v>
      </c>
      <c r="J1099" t="s">
        <v>2853</v>
      </c>
      <c r="K1099" s="188" t="s">
        <v>2853</v>
      </c>
    </row>
    <row r="1100" spans="1:11" x14ac:dyDescent="0.25">
      <c r="A1100" t="s">
        <v>5670</v>
      </c>
      <c r="B1100" s="27" t="s">
        <v>1125</v>
      </c>
      <c r="D1100" s="28" t="s">
        <v>3238</v>
      </c>
      <c r="E1100" s="29" t="s">
        <v>563</v>
      </c>
      <c r="F1100" s="30">
        <v>1</v>
      </c>
      <c r="G1100" s="31">
        <v>178.49</v>
      </c>
      <c r="H1100" s="31">
        <f t="shared" si="132"/>
        <v>178.49</v>
      </c>
      <c r="I1100" s="170" t="s">
        <v>2842</v>
      </c>
      <c r="J1100" t="s">
        <v>2853</v>
      </c>
      <c r="K1100" s="188" t="s">
        <v>2853</v>
      </c>
    </row>
    <row r="1101" spans="1:11" x14ac:dyDescent="0.25">
      <c r="A1101" t="s">
        <v>5671</v>
      </c>
      <c r="B1101" s="27" t="s">
        <v>1126</v>
      </c>
      <c r="D1101" s="28" t="s">
        <v>3239</v>
      </c>
      <c r="E1101" s="29" t="s">
        <v>563</v>
      </c>
      <c r="F1101" s="30">
        <v>1</v>
      </c>
      <c r="G1101" s="31">
        <v>178.49</v>
      </c>
      <c r="H1101" s="31">
        <f t="shared" si="132"/>
        <v>178.49</v>
      </c>
      <c r="I1101" s="170" t="s">
        <v>2842</v>
      </c>
      <c r="J1101" t="s">
        <v>2853</v>
      </c>
      <c r="K1101" s="188" t="s">
        <v>2853</v>
      </c>
    </row>
    <row r="1102" spans="1:11" x14ac:dyDescent="0.25">
      <c r="A1102" t="s">
        <v>5672</v>
      </c>
      <c r="B1102" s="27" t="s">
        <v>1127</v>
      </c>
      <c r="D1102" s="28" t="s">
        <v>3240</v>
      </c>
      <c r="E1102" s="29" t="s">
        <v>563</v>
      </c>
      <c r="F1102" s="30">
        <v>1</v>
      </c>
      <c r="G1102" s="31">
        <v>178.49</v>
      </c>
      <c r="H1102" s="31">
        <f t="shared" si="132"/>
        <v>178.49</v>
      </c>
      <c r="I1102" s="170" t="s">
        <v>2842</v>
      </c>
      <c r="J1102" t="s">
        <v>2853</v>
      </c>
      <c r="K1102" s="188" t="s">
        <v>2853</v>
      </c>
    </row>
    <row r="1103" spans="1:11" x14ac:dyDescent="0.25">
      <c r="A1103" t="s">
        <v>5673</v>
      </c>
      <c r="B1103" s="27" t="s">
        <v>1128</v>
      </c>
      <c r="D1103" s="28" t="s">
        <v>3241</v>
      </c>
      <c r="E1103" s="29" t="s">
        <v>671</v>
      </c>
      <c r="F1103" s="30">
        <v>1</v>
      </c>
      <c r="G1103" s="31">
        <v>178.49</v>
      </c>
      <c r="H1103" s="31">
        <f t="shared" si="132"/>
        <v>178.49</v>
      </c>
      <c r="I1103" s="170" t="s">
        <v>2842</v>
      </c>
      <c r="J1103" t="s">
        <v>2853</v>
      </c>
      <c r="K1103" s="188" t="s">
        <v>2853</v>
      </c>
    </row>
    <row r="1104" spans="1:11" x14ac:dyDescent="0.25">
      <c r="A1104" t="s">
        <v>5674</v>
      </c>
      <c r="B1104" s="27" t="s">
        <v>1129</v>
      </c>
      <c r="D1104" s="28" t="s">
        <v>3242</v>
      </c>
      <c r="E1104" s="29" t="s">
        <v>671</v>
      </c>
      <c r="F1104" s="30">
        <v>1</v>
      </c>
      <c r="G1104" s="31">
        <v>178.49</v>
      </c>
      <c r="H1104" s="31">
        <f t="shared" si="132"/>
        <v>178.49</v>
      </c>
      <c r="I1104" s="170" t="s">
        <v>2842</v>
      </c>
      <c r="J1104" t="s">
        <v>2853</v>
      </c>
      <c r="K1104" s="188" t="s">
        <v>2853</v>
      </c>
    </row>
    <row r="1105" spans="1:11" x14ac:dyDescent="0.25">
      <c r="A1105" t="s">
        <v>5675</v>
      </c>
      <c r="B1105" s="27" t="s">
        <v>1130</v>
      </c>
      <c r="D1105" s="28" t="s">
        <v>3243</v>
      </c>
      <c r="E1105" s="29" t="s">
        <v>671</v>
      </c>
      <c r="F1105" s="30">
        <v>1</v>
      </c>
      <c r="G1105" s="31">
        <v>178.49</v>
      </c>
      <c r="H1105" s="31">
        <f t="shared" si="132"/>
        <v>178.49</v>
      </c>
      <c r="I1105" s="170" t="s">
        <v>2842</v>
      </c>
      <c r="J1105" t="s">
        <v>2853</v>
      </c>
      <c r="K1105" s="188" t="s">
        <v>2853</v>
      </c>
    </row>
    <row r="1106" spans="1:11" x14ac:dyDescent="0.25">
      <c r="A1106" t="s">
        <v>5676</v>
      </c>
      <c r="B1106" s="27" t="s">
        <v>1131</v>
      </c>
      <c r="D1106" s="28" t="s">
        <v>3244</v>
      </c>
      <c r="E1106" s="29" t="s">
        <v>21</v>
      </c>
      <c r="F1106" s="30">
        <v>1</v>
      </c>
      <c r="G1106" s="31">
        <v>158.66999999999999</v>
      </c>
      <c r="H1106" s="31">
        <f t="shared" si="132"/>
        <v>158.66999999999999</v>
      </c>
      <c r="I1106" s="170" t="s">
        <v>2842</v>
      </c>
      <c r="J1106" t="s">
        <v>2853</v>
      </c>
      <c r="K1106" s="188" t="s">
        <v>2853</v>
      </c>
    </row>
    <row r="1107" spans="1:11" x14ac:dyDescent="0.25">
      <c r="A1107" t="s">
        <v>5677</v>
      </c>
      <c r="B1107" s="27" t="s">
        <v>1132</v>
      </c>
      <c r="D1107" s="28" t="s">
        <v>3245</v>
      </c>
      <c r="E1107" s="29" t="s">
        <v>21</v>
      </c>
      <c r="F1107" s="30">
        <v>1</v>
      </c>
      <c r="G1107" s="31">
        <v>158.66999999999999</v>
      </c>
      <c r="H1107" s="31">
        <f t="shared" si="132"/>
        <v>158.66999999999999</v>
      </c>
      <c r="I1107" s="170" t="s">
        <v>2842</v>
      </c>
      <c r="J1107" t="s">
        <v>2853</v>
      </c>
      <c r="K1107" s="188" t="s">
        <v>2853</v>
      </c>
    </row>
    <row r="1108" spans="1:11" x14ac:dyDescent="0.25">
      <c r="A1108" t="s">
        <v>5678</v>
      </c>
      <c r="B1108" s="27" t="s">
        <v>1133</v>
      </c>
      <c r="D1108" s="28" t="s">
        <v>3246</v>
      </c>
      <c r="E1108" s="29" t="s">
        <v>21</v>
      </c>
      <c r="F1108" s="30">
        <v>1</v>
      </c>
      <c r="G1108" s="31">
        <v>158.66999999999999</v>
      </c>
      <c r="H1108" s="31">
        <f t="shared" si="132"/>
        <v>158.66999999999999</v>
      </c>
      <c r="I1108" s="170" t="s">
        <v>2842</v>
      </c>
      <c r="J1108" t="s">
        <v>2853</v>
      </c>
      <c r="K1108" s="188" t="s">
        <v>2853</v>
      </c>
    </row>
    <row r="1109" spans="1:11" x14ac:dyDescent="0.25">
      <c r="A1109" t="s">
        <v>5679</v>
      </c>
      <c r="B1109" s="27" t="s">
        <v>1134</v>
      </c>
      <c r="D1109" s="28" t="s">
        <v>3247</v>
      </c>
      <c r="E1109" s="29" t="s">
        <v>563</v>
      </c>
      <c r="F1109" s="30">
        <v>1</v>
      </c>
      <c r="G1109" s="31">
        <v>158.66999999999999</v>
      </c>
      <c r="H1109" s="31">
        <f t="shared" si="132"/>
        <v>158.66999999999999</v>
      </c>
      <c r="I1109" s="170" t="s">
        <v>2842</v>
      </c>
      <c r="J1109" t="s">
        <v>2853</v>
      </c>
      <c r="K1109" s="188" t="s">
        <v>2853</v>
      </c>
    </row>
    <row r="1110" spans="1:11" x14ac:dyDescent="0.25">
      <c r="A1110" t="s">
        <v>5680</v>
      </c>
      <c r="B1110" s="27" t="s">
        <v>1135</v>
      </c>
      <c r="D1110" s="28" t="s">
        <v>3248</v>
      </c>
      <c r="E1110" s="29" t="s">
        <v>563</v>
      </c>
      <c r="F1110" s="30">
        <v>1</v>
      </c>
      <c r="G1110" s="31">
        <v>158.66999999999999</v>
      </c>
      <c r="H1110" s="31">
        <f t="shared" si="132"/>
        <v>158.66999999999999</v>
      </c>
      <c r="I1110" s="170" t="s">
        <v>2842</v>
      </c>
      <c r="J1110" t="s">
        <v>2853</v>
      </c>
      <c r="K1110" s="188" t="s">
        <v>2853</v>
      </c>
    </row>
    <row r="1111" spans="1:11" x14ac:dyDescent="0.25">
      <c r="A1111" t="s">
        <v>5681</v>
      </c>
      <c r="B1111" s="27" t="s">
        <v>1136</v>
      </c>
      <c r="D1111" s="28" t="s">
        <v>3249</v>
      </c>
      <c r="E1111" s="29" t="s">
        <v>563</v>
      </c>
      <c r="F1111" s="30">
        <v>1</v>
      </c>
      <c r="G1111" s="31">
        <v>158.66999999999999</v>
      </c>
      <c r="H1111" s="31">
        <f t="shared" si="132"/>
        <v>158.66999999999999</v>
      </c>
      <c r="I1111" s="170" t="s">
        <v>2842</v>
      </c>
      <c r="J1111" t="s">
        <v>2853</v>
      </c>
      <c r="K1111" s="188" t="s">
        <v>2853</v>
      </c>
    </row>
    <row r="1112" spans="1:11" x14ac:dyDescent="0.25">
      <c r="A1112" t="s">
        <v>5682</v>
      </c>
      <c r="B1112" s="27" t="s">
        <v>1137</v>
      </c>
      <c r="D1112" s="28" t="s">
        <v>3250</v>
      </c>
      <c r="E1112" s="29" t="s">
        <v>671</v>
      </c>
      <c r="F1112" s="30">
        <v>1</v>
      </c>
      <c r="G1112" s="31">
        <v>158.66999999999999</v>
      </c>
      <c r="H1112" s="31">
        <f t="shared" si="132"/>
        <v>158.66999999999999</v>
      </c>
      <c r="I1112" s="170" t="s">
        <v>2842</v>
      </c>
      <c r="J1112" t="s">
        <v>2853</v>
      </c>
      <c r="K1112" s="188" t="s">
        <v>2853</v>
      </c>
    </row>
    <row r="1113" spans="1:11" x14ac:dyDescent="0.25">
      <c r="A1113" t="s">
        <v>5683</v>
      </c>
      <c r="B1113" s="27" t="s">
        <v>1138</v>
      </c>
      <c r="D1113" s="28" t="s">
        <v>3251</v>
      </c>
      <c r="E1113" s="29" t="s">
        <v>671</v>
      </c>
      <c r="F1113" s="30">
        <v>1</v>
      </c>
      <c r="G1113" s="31">
        <v>158.66999999999999</v>
      </c>
      <c r="H1113" s="31">
        <f t="shared" si="132"/>
        <v>158.66999999999999</v>
      </c>
      <c r="I1113" s="170" t="s">
        <v>2842</v>
      </c>
      <c r="J1113" t="s">
        <v>2853</v>
      </c>
      <c r="K1113" s="188" t="s">
        <v>2853</v>
      </c>
    </row>
    <row r="1114" spans="1:11" x14ac:dyDescent="0.25">
      <c r="A1114" t="s">
        <v>5684</v>
      </c>
      <c r="B1114" s="27" t="s">
        <v>1139</v>
      </c>
      <c r="D1114" s="28" t="s">
        <v>3252</v>
      </c>
      <c r="E1114" s="29" t="s">
        <v>671</v>
      </c>
      <c r="F1114" s="30">
        <v>1</v>
      </c>
      <c r="G1114" s="31">
        <v>158.66999999999999</v>
      </c>
      <c r="H1114" s="31">
        <f t="shared" si="132"/>
        <v>158.66999999999999</v>
      </c>
      <c r="I1114" s="170" t="s">
        <v>2842</v>
      </c>
      <c r="J1114" t="s">
        <v>2853</v>
      </c>
      <c r="K1114" s="188" t="s">
        <v>2853</v>
      </c>
    </row>
    <row r="1115" spans="1:11" x14ac:dyDescent="0.25">
      <c r="A1115" t="s">
        <v>5685</v>
      </c>
      <c r="B1115" s="27" t="s">
        <v>1140</v>
      </c>
      <c r="D1115" s="28" t="s">
        <v>3253</v>
      </c>
      <c r="E1115" s="29" t="s">
        <v>21</v>
      </c>
      <c r="F1115" s="30">
        <v>1</v>
      </c>
      <c r="G1115" s="31">
        <v>178.49</v>
      </c>
      <c r="H1115" s="31">
        <f t="shared" si="132"/>
        <v>178.49</v>
      </c>
      <c r="I1115" s="170" t="s">
        <v>2842</v>
      </c>
      <c r="J1115" t="s">
        <v>2853</v>
      </c>
      <c r="K1115" s="188" t="s">
        <v>2853</v>
      </c>
    </row>
    <row r="1116" spans="1:11" x14ac:dyDescent="0.25">
      <c r="A1116" t="s">
        <v>5686</v>
      </c>
      <c r="B1116" s="27" t="s">
        <v>1141</v>
      </c>
      <c r="D1116" s="28" t="s">
        <v>3254</v>
      </c>
      <c r="E1116" s="29" t="s">
        <v>21</v>
      </c>
      <c r="F1116" s="30">
        <v>1</v>
      </c>
      <c r="G1116" s="31">
        <v>178.49</v>
      </c>
      <c r="H1116" s="31">
        <f t="shared" si="132"/>
        <v>178.49</v>
      </c>
      <c r="I1116" s="170" t="s">
        <v>2842</v>
      </c>
      <c r="J1116" t="s">
        <v>2853</v>
      </c>
      <c r="K1116" s="188" t="s">
        <v>2853</v>
      </c>
    </row>
    <row r="1117" spans="1:11" x14ac:dyDescent="0.25">
      <c r="A1117" t="s">
        <v>5687</v>
      </c>
      <c r="B1117" s="27" t="s">
        <v>1142</v>
      </c>
      <c r="D1117" s="28" t="s">
        <v>3255</v>
      </c>
      <c r="E1117" s="29" t="s">
        <v>21</v>
      </c>
      <c r="F1117" s="30">
        <v>1</v>
      </c>
      <c r="G1117" s="31">
        <v>178.49</v>
      </c>
      <c r="H1117" s="31">
        <f t="shared" si="132"/>
        <v>178.49</v>
      </c>
      <c r="I1117" s="170" t="s">
        <v>2842</v>
      </c>
      <c r="J1117" t="s">
        <v>2853</v>
      </c>
      <c r="K1117" s="188" t="s">
        <v>2853</v>
      </c>
    </row>
    <row r="1118" spans="1:11" x14ac:dyDescent="0.25">
      <c r="A1118" t="s">
        <v>5688</v>
      </c>
      <c r="B1118" s="27" t="s">
        <v>1143</v>
      </c>
      <c r="D1118" s="28" t="s">
        <v>3256</v>
      </c>
      <c r="E1118" s="29" t="s">
        <v>563</v>
      </c>
      <c r="F1118" s="30">
        <v>1</v>
      </c>
      <c r="G1118" s="31">
        <v>178.49</v>
      </c>
      <c r="H1118" s="31">
        <f t="shared" si="132"/>
        <v>178.49</v>
      </c>
      <c r="I1118" s="170" t="s">
        <v>2842</v>
      </c>
      <c r="J1118" t="s">
        <v>2853</v>
      </c>
      <c r="K1118" s="188" t="s">
        <v>2853</v>
      </c>
    </row>
    <row r="1119" spans="1:11" x14ac:dyDescent="0.25">
      <c r="A1119" t="s">
        <v>5689</v>
      </c>
      <c r="B1119" s="27" t="s">
        <v>1144</v>
      </c>
      <c r="D1119" s="28" t="s">
        <v>3257</v>
      </c>
      <c r="E1119" s="29" t="s">
        <v>563</v>
      </c>
      <c r="F1119" s="30">
        <v>1</v>
      </c>
      <c r="G1119" s="31">
        <v>178.49</v>
      </c>
      <c r="H1119" s="31">
        <f t="shared" si="132"/>
        <v>178.49</v>
      </c>
      <c r="I1119" s="170" t="s">
        <v>2842</v>
      </c>
      <c r="J1119" t="s">
        <v>2853</v>
      </c>
      <c r="K1119" s="188" t="s">
        <v>2853</v>
      </c>
    </row>
    <row r="1120" spans="1:11" x14ac:dyDescent="0.25">
      <c r="A1120" t="s">
        <v>5690</v>
      </c>
      <c r="B1120" s="27" t="s">
        <v>1145</v>
      </c>
      <c r="D1120" s="28" t="s">
        <v>3258</v>
      </c>
      <c r="E1120" s="29" t="s">
        <v>563</v>
      </c>
      <c r="F1120" s="30">
        <v>1</v>
      </c>
      <c r="G1120" s="31">
        <v>178.49</v>
      </c>
      <c r="H1120" s="31">
        <f t="shared" ref="H1120:H1183" si="133">+F1120*G1120</f>
        <v>178.49</v>
      </c>
      <c r="I1120" s="170" t="s">
        <v>2842</v>
      </c>
      <c r="J1120" t="s">
        <v>2853</v>
      </c>
      <c r="K1120" s="188" t="s">
        <v>2853</v>
      </c>
    </row>
    <row r="1121" spans="1:11" x14ac:dyDescent="0.25">
      <c r="A1121" t="s">
        <v>5691</v>
      </c>
      <c r="B1121" s="27" t="s">
        <v>1146</v>
      </c>
      <c r="D1121" s="28" t="s">
        <v>3259</v>
      </c>
      <c r="E1121" s="29" t="s">
        <v>671</v>
      </c>
      <c r="F1121" s="30">
        <v>1</v>
      </c>
      <c r="G1121" s="31">
        <v>178.49</v>
      </c>
      <c r="H1121" s="31">
        <f t="shared" si="133"/>
        <v>178.49</v>
      </c>
      <c r="I1121" s="170" t="s">
        <v>2842</v>
      </c>
      <c r="J1121" t="s">
        <v>2853</v>
      </c>
      <c r="K1121" s="188" t="s">
        <v>2853</v>
      </c>
    </row>
    <row r="1122" spans="1:11" x14ac:dyDescent="0.25">
      <c r="A1122" t="s">
        <v>5692</v>
      </c>
      <c r="B1122" s="27" t="s">
        <v>1147</v>
      </c>
      <c r="D1122" s="28" t="s">
        <v>3260</v>
      </c>
      <c r="E1122" s="29" t="s">
        <v>671</v>
      </c>
      <c r="F1122" s="30">
        <v>1</v>
      </c>
      <c r="G1122" s="31">
        <v>178.49</v>
      </c>
      <c r="H1122" s="31">
        <f t="shared" si="133"/>
        <v>178.49</v>
      </c>
      <c r="I1122" s="170" t="s">
        <v>2842</v>
      </c>
      <c r="J1122" t="s">
        <v>2853</v>
      </c>
      <c r="K1122" s="188" t="s">
        <v>2853</v>
      </c>
    </row>
    <row r="1123" spans="1:11" x14ac:dyDescent="0.25">
      <c r="A1123" t="s">
        <v>5693</v>
      </c>
      <c r="B1123" s="27" t="s">
        <v>1148</v>
      </c>
      <c r="D1123" s="28" t="s">
        <v>3261</v>
      </c>
      <c r="E1123" s="29" t="s">
        <v>671</v>
      </c>
      <c r="F1123" s="30">
        <v>1</v>
      </c>
      <c r="G1123" s="31">
        <v>178.49</v>
      </c>
      <c r="H1123" s="31">
        <f t="shared" si="133"/>
        <v>178.49</v>
      </c>
      <c r="I1123" s="170" t="s">
        <v>2842</v>
      </c>
      <c r="J1123" t="s">
        <v>2853</v>
      </c>
      <c r="K1123" s="188" t="s">
        <v>2853</v>
      </c>
    </row>
    <row r="1124" spans="1:11" x14ac:dyDescent="0.25">
      <c r="A1124" t="s">
        <v>5694</v>
      </c>
      <c r="B1124" s="27" t="s">
        <v>1149</v>
      </c>
      <c r="D1124" s="28" t="s">
        <v>3262</v>
      </c>
      <c r="E1124" s="29" t="s">
        <v>21</v>
      </c>
      <c r="F1124" s="30">
        <v>1</v>
      </c>
      <c r="G1124" s="31">
        <v>198.33</v>
      </c>
      <c r="H1124" s="31">
        <f t="shared" si="133"/>
        <v>198.33</v>
      </c>
      <c r="I1124" s="170" t="s">
        <v>2842</v>
      </c>
      <c r="J1124" t="s">
        <v>2853</v>
      </c>
      <c r="K1124" s="188" t="s">
        <v>2853</v>
      </c>
    </row>
    <row r="1125" spans="1:11" x14ac:dyDescent="0.25">
      <c r="A1125" t="s">
        <v>5695</v>
      </c>
      <c r="B1125" s="27" t="s">
        <v>1150</v>
      </c>
      <c r="D1125" s="28" t="s">
        <v>3263</v>
      </c>
      <c r="E1125" s="29" t="s">
        <v>21</v>
      </c>
      <c r="F1125" s="30">
        <v>1</v>
      </c>
      <c r="G1125" s="31">
        <v>198.33</v>
      </c>
      <c r="H1125" s="31">
        <f t="shared" si="133"/>
        <v>198.33</v>
      </c>
      <c r="I1125" s="170" t="s">
        <v>2842</v>
      </c>
      <c r="J1125" t="s">
        <v>2853</v>
      </c>
      <c r="K1125" s="188" t="s">
        <v>2853</v>
      </c>
    </row>
    <row r="1126" spans="1:11" x14ac:dyDescent="0.25">
      <c r="A1126" t="s">
        <v>5696</v>
      </c>
      <c r="B1126" s="27" t="s">
        <v>1151</v>
      </c>
      <c r="D1126" s="28" t="s">
        <v>3264</v>
      </c>
      <c r="E1126" s="29" t="s">
        <v>21</v>
      </c>
      <c r="F1126" s="30">
        <v>1</v>
      </c>
      <c r="G1126" s="31">
        <v>198.33</v>
      </c>
      <c r="H1126" s="31">
        <f t="shared" si="133"/>
        <v>198.33</v>
      </c>
      <c r="I1126" s="170" t="s">
        <v>2842</v>
      </c>
      <c r="J1126" t="s">
        <v>2853</v>
      </c>
      <c r="K1126" s="188" t="s">
        <v>2853</v>
      </c>
    </row>
    <row r="1127" spans="1:11" x14ac:dyDescent="0.25">
      <c r="A1127" t="s">
        <v>5697</v>
      </c>
      <c r="B1127" s="27" t="s">
        <v>1152</v>
      </c>
      <c r="D1127" s="28" t="s">
        <v>3265</v>
      </c>
      <c r="E1127" s="29" t="s">
        <v>563</v>
      </c>
      <c r="F1127" s="30">
        <v>1</v>
      </c>
      <c r="G1127" s="31">
        <v>198.33</v>
      </c>
      <c r="H1127" s="31">
        <f t="shared" si="133"/>
        <v>198.33</v>
      </c>
      <c r="I1127" s="170" t="s">
        <v>2842</v>
      </c>
      <c r="J1127" t="s">
        <v>2853</v>
      </c>
      <c r="K1127" s="188" t="s">
        <v>2853</v>
      </c>
    </row>
    <row r="1128" spans="1:11" x14ac:dyDescent="0.25">
      <c r="A1128" t="s">
        <v>5698</v>
      </c>
      <c r="B1128" s="27" t="s">
        <v>1153</v>
      </c>
      <c r="D1128" s="28" t="s">
        <v>3266</v>
      </c>
      <c r="E1128" s="29" t="s">
        <v>563</v>
      </c>
      <c r="F1128" s="30">
        <v>1</v>
      </c>
      <c r="G1128" s="31">
        <v>198.33</v>
      </c>
      <c r="H1128" s="31">
        <f t="shared" si="133"/>
        <v>198.33</v>
      </c>
      <c r="I1128" s="170" t="s">
        <v>2842</v>
      </c>
      <c r="J1128" t="s">
        <v>2853</v>
      </c>
      <c r="K1128" s="188" t="s">
        <v>2853</v>
      </c>
    </row>
    <row r="1129" spans="1:11" x14ac:dyDescent="0.25">
      <c r="A1129" t="s">
        <v>5699</v>
      </c>
      <c r="B1129" s="27" t="s">
        <v>1154</v>
      </c>
      <c r="D1129" s="28" t="s">
        <v>3267</v>
      </c>
      <c r="E1129" s="29" t="s">
        <v>563</v>
      </c>
      <c r="F1129" s="30">
        <v>1</v>
      </c>
      <c r="G1129" s="31">
        <v>198.33</v>
      </c>
      <c r="H1129" s="31">
        <f t="shared" si="133"/>
        <v>198.33</v>
      </c>
      <c r="I1129" s="170" t="s">
        <v>2842</v>
      </c>
      <c r="J1129" t="s">
        <v>2853</v>
      </c>
      <c r="K1129" s="188" t="s">
        <v>2853</v>
      </c>
    </row>
    <row r="1130" spans="1:11" x14ac:dyDescent="0.25">
      <c r="A1130" t="s">
        <v>5700</v>
      </c>
      <c r="B1130" s="27" t="s">
        <v>1155</v>
      </c>
      <c r="D1130" s="28" t="s">
        <v>3268</v>
      </c>
      <c r="E1130" s="29" t="s">
        <v>671</v>
      </c>
      <c r="F1130" s="30">
        <v>1</v>
      </c>
      <c r="G1130" s="31">
        <v>198.33</v>
      </c>
      <c r="H1130" s="31">
        <f t="shared" si="133"/>
        <v>198.33</v>
      </c>
      <c r="I1130" s="170" t="s">
        <v>2842</v>
      </c>
      <c r="J1130" t="s">
        <v>2853</v>
      </c>
      <c r="K1130" s="188" t="s">
        <v>2853</v>
      </c>
    </row>
    <row r="1131" spans="1:11" x14ac:dyDescent="0.25">
      <c r="A1131" t="s">
        <v>5701</v>
      </c>
      <c r="B1131" s="27" t="s">
        <v>1156</v>
      </c>
      <c r="D1131" s="28" t="s">
        <v>3269</v>
      </c>
      <c r="E1131" s="29" t="s">
        <v>671</v>
      </c>
      <c r="F1131" s="30">
        <v>1</v>
      </c>
      <c r="G1131" s="31">
        <v>198.33</v>
      </c>
      <c r="H1131" s="31">
        <f t="shared" si="133"/>
        <v>198.33</v>
      </c>
      <c r="I1131" s="170" t="s">
        <v>2842</v>
      </c>
      <c r="J1131" t="s">
        <v>2853</v>
      </c>
      <c r="K1131" s="188" t="s">
        <v>2853</v>
      </c>
    </row>
    <row r="1132" spans="1:11" x14ac:dyDescent="0.25">
      <c r="A1132" t="s">
        <v>5702</v>
      </c>
      <c r="B1132" s="27" t="s">
        <v>1157</v>
      </c>
      <c r="D1132" s="28" t="s">
        <v>3270</v>
      </c>
      <c r="E1132" s="29" t="s">
        <v>671</v>
      </c>
      <c r="F1132" s="30">
        <v>1</v>
      </c>
      <c r="G1132" s="31">
        <v>198.33</v>
      </c>
      <c r="H1132" s="31">
        <f t="shared" si="133"/>
        <v>198.33</v>
      </c>
      <c r="I1132" s="170" t="s">
        <v>2842</v>
      </c>
      <c r="J1132" t="s">
        <v>2853</v>
      </c>
      <c r="K1132" s="188" t="s">
        <v>2853</v>
      </c>
    </row>
    <row r="1133" spans="1:11" x14ac:dyDescent="0.25">
      <c r="A1133" t="s">
        <v>5703</v>
      </c>
      <c r="B1133" s="27" t="s">
        <v>1158</v>
      </c>
      <c r="D1133" s="28" t="s">
        <v>3271</v>
      </c>
      <c r="E1133" s="29" t="s">
        <v>21</v>
      </c>
      <c r="F1133" s="30">
        <v>1</v>
      </c>
      <c r="G1133" s="31">
        <v>218.15</v>
      </c>
      <c r="H1133" s="31">
        <f t="shared" si="133"/>
        <v>218.15</v>
      </c>
      <c r="I1133" s="170" t="s">
        <v>2842</v>
      </c>
      <c r="J1133" t="s">
        <v>2853</v>
      </c>
      <c r="K1133" s="188" t="s">
        <v>2853</v>
      </c>
    </row>
    <row r="1134" spans="1:11" x14ac:dyDescent="0.25">
      <c r="A1134" t="s">
        <v>5704</v>
      </c>
      <c r="B1134" s="27" t="s">
        <v>1159</v>
      </c>
      <c r="D1134" s="28" t="s">
        <v>3272</v>
      </c>
      <c r="E1134" s="29" t="s">
        <v>21</v>
      </c>
      <c r="F1134" s="30">
        <v>1</v>
      </c>
      <c r="G1134" s="31">
        <v>218.15</v>
      </c>
      <c r="H1134" s="31">
        <f t="shared" si="133"/>
        <v>218.15</v>
      </c>
      <c r="I1134" s="170" t="s">
        <v>2842</v>
      </c>
      <c r="J1134" t="s">
        <v>2853</v>
      </c>
      <c r="K1134" s="188" t="s">
        <v>2853</v>
      </c>
    </row>
    <row r="1135" spans="1:11" x14ac:dyDescent="0.25">
      <c r="A1135" t="s">
        <v>5705</v>
      </c>
      <c r="B1135" s="27" t="s">
        <v>1160</v>
      </c>
      <c r="D1135" s="28" t="s">
        <v>3273</v>
      </c>
      <c r="E1135" s="29" t="s">
        <v>21</v>
      </c>
      <c r="F1135" s="30">
        <v>1</v>
      </c>
      <c r="G1135" s="31">
        <v>218.15</v>
      </c>
      <c r="H1135" s="31">
        <f t="shared" si="133"/>
        <v>218.15</v>
      </c>
      <c r="I1135" s="170" t="s">
        <v>2842</v>
      </c>
      <c r="J1135" t="s">
        <v>2853</v>
      </c>
      <c r="K1135" s="188" t="s">
        <v>2853</v>
      </c>
    </row>
    <row r="1136" spans="1:11" x14ac:dyDescent="0.25">
      <c r="A1136" t="s">
        <v>5706</v>
      </c>
      <c r="B1136" s="27" t="s">
        <v>1161</v>
      </c>
      <c r="D1136" s="28" t="s">
        <v>3274</v>
      </c>
      <c r="E1136" s="29" t="s">
        <v>563</v>
      </c>
      <c r="F1136" s="30">
        <v>1</v>
      </c>
      <c r="G1136" s="31">
        <v>218.15</v>
      </c>
      <c r="H1136" s="31">
        <f t="shared" si="133"/>
        <v>218.15</v>
      </c>
      <c r="I1136" s="170" t="s">
        <v>2842</v>
      </c>
      <c r="J1136" t="s">
        <v>2853</v>
      </c>
      <c r="K1136" s="188" t="s">
        <v>2853</v>
      </c>
    </row>
    <row r="1137" spans="1:11" x14ac:dyDescent="0.25">
      <c r="A1137" t="s">
        <v>5707</v>
      </c>
      <c r="B1137" s="27" t="s">
        <v>1162</v>
      </c>
      <c r="D1137" s="28" t="s">
        <v>3275</v>
      </c>
      <c r="E1137" s="29" t="s">
        <v>563</v>
      </c>
      <c r="F1137" s="30">
        <v>1</v>
      </c>
      <c r="G1137" s="31">
        <v>218.15</v>
      </c>
      <c r="H1137" s="31">
        <f t="shared" si="133"/>
        <v>218.15</v>
      </c>
      <c r="I1137" s="170" t="s">
        <v>2842</v>
      </c>
      <c r="J1137" t="s">
        <v>2853</v>
      </c>
      <c r="K1137" s="188" t="s">
        <v>2853</v>
      </c>
    </row>
    <row r="1138" spans="1:11" x14ac:dyDescent="0.25">
      <c r="A1138" t="s">
        <v>5708</v>
      </c>
      <c r="B1138" s="27" t="s">
        <v>1163</v>
      </c>
      <c r="D1138" s="28" t="s">
        <v>3276</v>
      </c>
      <c r="E1138" s="29" t="s">
        <v>563</v>
      </c>
      <c r="F1138" s="30">
        <v>1</v>
      </c>
      <c r="G1138" s="31">
        <v>218.15</v>
      </c>
      <c r="H1138" s="31">
        <f t="shared" si="133"/>
        <v>218.15</v>
      </c>
      <c r="I1138" s="170" t="s">
        <v>2842</v>
      </c>
      <c r="J1138" t="s">
        <v>2853</v>
      </c>
      <c r="K1138" s="188" t="s">
        <v>2853</v>
      </c>
    </row>
    <row r="1139" spans="1:11" x14ac:dyDescent="0.25">
      <c r="A1139" t="s">
        <v>5709</v>
      </c>
      <c r="B1139" s="27" t="s">
        <v>1164</v>
      </c>
      <c r="D1139" s="28" t="s">
        <v>3277</v>
      </c>
      <c r="E1139" s="29" t="s">
        <v>671</v>
      </c>
      <c r="F1139" s="30">
        <v>1</v>
      </c>
      <c r="G1139" s="31">
        <v>218.15</v>
      </c>
      <c r="H1139" s="31">
        <f t="shared" si="133"/>
        <v>218.15</v>
      </c>
      <c r="I1139" s="170" t="s">
        <v>2842</v>
      </c>
      <c r="J1139" t="s">
        <v>2853</v>
      </c>
      <c r="K1139" s="188" t="s">
        <v>2853</v>
      </c>
    </row>
    <row r="1140" spans="1:11" x14ac:dyDescent="0.25">
      <c r="A1140" t="s">
        <v>5710</v>
      </c>
      <c r="B1140" s="27" t="s">
        <v>1165</v>
      </c>
      <c r="D1140" s="28" t="s">
        <v>3278</v>
      </c>
      <c r="E1140" s="29" t="s">
        <v>671</v>
      </c>
      <c r="F1140" s="30">
        <v>1</v>
      </c>
      <c r="G1140" s="31">
        <v>218.15</v>
      </c>
      <c r="H1140" s="31">
        <f t="shared" si="133"/>
        <v>218.15</v>
      </c>
      <c r="I1140" s="170" t="s">
        <v>2842</v>
      </c>
      <c r="J1140" t="s">
        <v>2853</v>
      </c>
      <c r="K1140" s="188" t="s">
        <v>2853</v>
      </c>
    </row>
    <row r="1141" spans="1:11" x14ac:dyDescent="0.25">
      <c r="A1141" t="s">
        <v>5711</v>
      </c>
      <c r="B1141" s="27" t="s">
        <v>1166</v>
      </c>
      <c r="D1141" s="28" t="s">
        <v>3279</v>
      </c>
      <c r="E1141" s="29" t="s">
        <v>671</v>
      </c>
      <c r="F1141" s="30">
        <v>1</v>
      </c>
      <c r="G1141" s="31">
        <v>218.15</v>
      </c>
      <c r="H1141" s="31">
        <f t="shared" si="133"/>
        <v>218.15</v>
      </c>
      <c r="I1141" s="170" t="s">
        <v>2842</v>
      </c>
      <c r="J1141" t="s">
        <v>2853</v>
      </c>
      <c r="K1141" s="188" t="s">
        <v>2853</v>
      </c>
    </row>
    <row r="1142" spans="1:11" x14ac:dyDescent="0.25">
      <c r="A1142" t="s">
        <v>5712</v>
      </c>
      <c r="B1142" s="27" t="s">
        <v>1167</v>
      </c>
      <c r="D1142" s="28" t="s">
        <v>3280</v>
      </c>
      <c r="E1142" s="29" t="s">
        <v>21</v>
      </c>
      <c r="F1142" s="30">
        <v>1</v>
      </c>
      <c r="G1142" s="31">
        <v>165.27</v>
      </c>
      <c r="H1142" s="31">
        <f t="shared" si="133"/>
        <v>165.27</v>
      </c>
      <c r="I1142" s="170" t="s">
        <v>2842</v>
      </c>
      <c r="J1142" t="s">
        <v>2853</v>
      </c>
      <c r="K1142" s="188" t="s">
        <v>2853</v>
      </c>
    </row>
    <row r="1143" spans="1:11" x14ac:dyDescent="0.25">
      <c r="A1143" t="s">
        <v>5713</v>
      </c>
      <c r="B1143" s="27" t="s">
        <v>1168</v>
      </c>
      <c r="D1143" s="28" t="s">
        <v>3281</v>
      </c>
      <c r="E1143" s="29" t="s">
        <v>21</v>
      </c>
      <c r="F1143" s="30">
        <v>1</v>
      </c>
      <c r="G1143" s="31">
        <v>165.27</v>
      </c>
      <c r="H1143" s="31">
        <f t="shared" si="133"/>
        <v>165.27</v>
      </c>
      <c r="I1143" s="170" t="s">
        <v>2842</v>
      </c>
      <c r="J1143" t="s">
        <v>2853</v>
      </c>
      <c r="K1143" s="188" t="s">
        <v>2853</v>
      </c>
    </row>
    <row r="1144" spans="1:11" x14ac:dyDescent="0.25">
      <c r="A1144" t="s">
        <v>5714</v>
      </c>
      <c r="B1144" s="27" t="s">
        <v>1169</v>
      </c>
      <c r="D1144" s="28" t="s">
        <v>3282</v>
      </c>
      <c r="E1144" s="29" t="s">
        <v>21</v>
      </c>
      <c r="F1144" s="30">
        <v>1</v>
      </c>
      <c r="G1144" s="31">
        <v>165.27</v>
      </c>
      <c r="H1144" s="31">
        <f t="shared" si="133"/>
        <v>165.27</v>
      </c>
      <c r="I1144" s="170" t="s">
        <v>2842</v>
      </c>
      <c r="J1144" t="s">
        <v>2853</v>
      </c>
      <c r="K1144" s="188" t="s">
        <v>2853</v>
      </c>
    </row>
    <row r="1145" spans="1:11" x14ac:dyDescent="0.25">
      <c r="A1145" t="s">
        <v>5715</v>
      </c>
      <c r="B1145" s="27" t="s">
        <v>1170</v>
      </c>
      <c r="D1145" s="28" t="s">
        <v>3283</v>
      </c>
      <c r="E1145" s="29" t="s">
        <v>563</v>
      </c>
      <c r="F1145" s="30">
        <v>1</v>
      </c>
      <c r="G1145" s="31">
        <v>165.27</v>
      </c>
      <c r="H1145" s="31">
        <f t="shared" si="133"/>
        <v>165.27</v>
      </c>
      <c r="I1145" s="170" t="s">
        <v>2842</v>
      </c>
      <c r="J1145" t="s">
        <v>2853</v>
      </c>
      <c r="K1145" s="188" t="s">
        <v>2853</v>
      </c>
    </row>
    <row r="1146" spans="1:11" x14ac:dyDescent="0.25">
      <c r="A1146" t="s">
        <v>5716</v>
      </c>
      <c r="B1146" s="27" t="s">
        <v>1171</v>
      </c>
      <c r="D1146" s="28" t="s">
        <v>3284</v>
      </c>
      <c r="E1146" s="29" t="s">
        <v>563</v>
      </c>
      <c r="F1146" s="30">
        <v>1</v>
      </c>
      <c r="G1146" s="31">
        <v>165.27</v>
      </c>
      <c r="H1146" s="31">
        <f t="shared" si="133"/>
        <v>165.27</v>
      </c>
      <c r="I1146" s="170" t="s">
        <v>2842</v>
      </c>
      <c r="J1146" t="s">
        <v>2853</v>
      </c>
      <c r="K1146" s="188" t="s">
        <v>2853</v>
      </c>
    </row>
    <row r="1147" spans="1:11" x14ac:dyDescent="0.25">
      <c r="A1147" t="s">
        <v>5717</v>
      </c>
      <c r="B1147" s="27" t="s">
        <v>1172</v>
      </c>
      <c r="D1147" s="28" t="s">
        <v>3285</v>
      </c>
      <c r="E1147" s="29" t="s">
        <v>563</v>
      </c>
      <c r="F1147" s="30">
        <v>1</v>
      </c>
      <c r="G1147" s="31">
        <v>165.27</v>
      </c>
      <c r="H1147" s="31">
        <f t="shared" si="133"/>
        <v>165.27</v>
      </c>
      <c r="I1147" s="170" t="s">
        <v>2842</v>
      </c>
      <c r="J1147" t="s">
        <v>2853</v>
      </c>
      <c r="K1147" s="188" t="s">
        <v>2853</v>
      </c>
    </row>
    <row r="1148" spans="1:11" x14ac:dyDescent="0.25">
      <c r="A1148" t="s">
        <v>5718</v>
      </c>
      <c r="B1148" s="27" t="s">
        <v>1173</v>
      </c>
      <c r="D1148" s="28" t="s">
        <v>3286</v>
      </c>
      <c r="E1148" s="29" t="s">
        <v>671</v>
      </c>
      <c r="F1148" s="30">
        <v>1</v>
      </c>
      <c r="G1148" s="31">
        <v>165.27</v>
      </c>
      <c r="H1148" s="31">
        <f t="shared" si="133"/>
        <v>165.27</v>
      </c>
      <c r="I1148" s="170" t="s">
        <v>2842</v>
      </c>
      <c r="J1148" t="s">
        <v>2853</v>
      </c>
      <c r="K1148" s="188" t="s">
        <v>2853</v>
      </c>
    </row>
    <row r="1149" spans="1:11" x14ac:dyDescent="0.25">
      <c r="A1149" t="s">
        <v>5719</v>
      </c>
      <c r="B1149" s="27" t="s">
        <v>1174</v>
      </c>
      <c r="D1149" s="28" t="s">
        <v>3287</v>
      </c>
      <c r="E1149" s="29" t="s">
        <v>671</v>
      </c>
      <c r="F1149" s="30">
        <v>1</v>
      </c>
      <c r="G1149" s="31">
        <v>165.27</v>
      </c>
      <c r="H1149" s="31">
        <f t="shared" si="133"/>
        <v>165.27</v>
      </c>
      <c r="I1149" s="170" t="s">
        <v>2842</v>
      </c>
      <c r="J1149" t="s">
        <v>2853</v>
      </c>
      <c r="K1149" s="188" t="s">
        <v>2853</v>
      </c>
    </row>
    <row r="1150" spans="1:11" x14ac:dyDescent="0.25">
      <c r="A1150" t="s">
        <v>5720</v>
      </c>
      <c r="B1150" s="27" t="s">
        <v>1175</v>
      </c>
      <c r="D1150" s="28" t="s">
        <v>3288</v>
      </c>
      <c r="E1150" s="29" t="s">
        <v>671</v>
      </c>
      <c r="F1150" s="30">
        <v>1</v>
      </c>
      <c r="G1150" s="31">
        <v>165.27</v>
      </c>
      <c r="H1150" s="31">
        <f t="shared" si="133"/>
        <v>165.27</v>
      </c>
      <c r="I1150" s="170" t="s">
        <v>2842</v>
      </c>
      <c r="J1150" t="s">
        <v>2853</v>
      </c>
      <c r="K1150" s="188" t="s">
        <v>2853</v>
      </c>
    </row>
    <row r="1151" spans="1:11" x14ac:dyDescent="0.25">
      <c r="A1151" t="s">
        <v>5721</v>
      </c>
      <c r="B1151" s="27" t="s">
        <v>1176</v>
      </c>
      <c r="D1151" s="28" t="s">
        <v>3289</v>
      </c>
      <c r="E1151" s="29" t="s">
        <v>21</v>
      </c>
      <c r="F1151" s="30">
        <v>1</v>
      </c>
      <c r="G1151" s="31">
        <v>185.1</v>
      </c>
      <c r="H1151" s="31">
        <f t="shared" si="133"/>
        <v>185.1</v>
      </c>
      <c r="I1151" s="170" t="s">
        <v>2842</v>
      </c>
      <c r="J1151" t="s">
        <v>2853</v>
      </c>
      <c r="K1151" s="188" t="s">
        <v>2853</v>
      </c>
    </row>
    <row r="1152" spans="1:11" x14ac:dyDescent="0.25">
      <c r="A1152" t="s">
        <v>5722</v>
      </c>
      <c r="B1152" s="27" t="s">
        <v>1177</v>
      </c>
      <c r="D1152" s="28" t="s">
        <v>3290</v>
      </c>
      <c r="E1152" s="29" t="s">
        <v>21</v>
      </c>
      <c r="F1152" s="30">
        <v>1</v>
      </c>
      <c r="G1152" s="31">
        <v>185.1</v>
      </c>
      <c r="H1152" s="31">
        <f t="shared" si="133"/>
        <v>185.1</v>
      </c>
      <c r="I1152" s="170" t="s">
        <v>2842</v>
      </c>
      <c r="J1152" t="s">
        <v>2853</v>
      </c>
      <c r="K1152" s="188" t="s">
        <v>2853</v>
      </c>
    </row>
    <row r="1153" spans="1:11" x14ac:dyDescent="0.25">
      <c r="A1153" t="s">
        <v>5723</v>
      </c>
      <c r="B1153" s="27" t="s">
        <v>1178</v>
      </c>
      <c r="D1153" s="28" t="s">
        <v>3291</v>
      </c>
      <c r="E1153" s="29" t="s">
        <v>21</v>
      </c>
      <c r="F1153" s="30">
        <v>1</v>
      </c>
      <c r="G1153" s="31">
        <v>185.1</v>
      </c>
      <c r="H1153" s="31">
        <f t="shared" si="133"/>
        <v>185.1</v>
      </c>
      <c r="I1153" s="170" t="s">
        <v>2842</v>
      </c>
      <c r="J1153" t="s">
        <v>2853</v>
      </c>
      <c r="K1153" s="188" t="s">
        <v>2853</v>
      </c>
    </row>
    <row r="1154" spans="1:11" x14ac:dyDescent="0.25">
      <c r="A1154" t="s">
        <v>5724</v>
      </c>
      <c r="B1154" s="27" t="s">
        <v>1179</v>
      </c>
      <c r="D1154" s="28" t="s">
        <v>3292</v>
      </c>
      <c r="E1154" s="29" t="s">
        <v>563</v>
      </c>
      <c r="F1154" s="30">
        <v>1</v>
      </c>
      <c r="G1154" s="31">
        <v>185.1</v>
      </c>
      <c r="H1154" s="31">
        <f t="shared" si="133"/>
        <v>185.1</v>
      </c>
      <c r="I1154" s="170" t="s">
        <v>2842</v>
      </c>
      <c r="J1154" t="s">
        <v>2853</v>
      </c>
      <c r="K1154" s="188" t="s">
        <v>2853</v>
      </c>
    </row>
    <row r="1155" spans="1:11" x14ac:dyDescent="0.25">
      <c r="A1155" t="s">
        <v>5725</v>
      </c>
      <c r="B1155" s="27" t="s">
        <v>1180</v>
      </c>
      <c r="D1155" s="28" t="s">
        <v>3293</v>
      </c>
      <c r="E1155" s="29" t="s">
        <v>563</v>
      </c>
      <c r="F1155" s="30">
        <v>1</v>
      </c>
      <c r="G1155" s="31">
        <v>185.1</v>
      </c>
      <c r="H1155" s="31">
        <f t="shared" si="133"/>
        <v>185.1</v>
      </c>
      <c r="I1155" s="170" t="s">
        <v>2842</v>
      </c>
      <c r="J1155" t="s">
        <v>2853</v>
      </c>
      <c r="K1155" s="188" t="s">
        <v>2853</v>
      </c>
    </row>
    <row r="1156" spans="1:11" x14ac:dyDescent="0.25">
      <c r="A1156" t="s">
        <v>5726</v>
      </c>
      <c r="B1156" s="27" t="s">
        <v>1181</v>
      </c>
      <c r="D1156" s="28" t="s">
        <v>3294</v>
      </c>
      <c r="E1156" s="29" t="s">
        <v>563</v>
      </c>
      <c r="F1156" s="30">
        <v>1</v>
      </c>
      <c r="G1156" s="31">
        <v>185.1</v>
      </c>
      <c r="H1156" s="31">
        <f t="shared" si="133"/>
        <v>185.1</v>
      </c>
      <c r="I1156" s="170" t="s">
        <v>2842</v>
      </c>
      <c r="J1156" t="s">
        <v>2853</v>
      </c>
      <c r="K1156" s="188" t="s">
        <v>2853</v>
      </c>
    </row>
    <row r="1157" spans="1:11" x14ac:dyDescent="0.25">
      <c r="A1157" t="s">
        <v>5727</v>
      </c>
      <c r="B1157" s="27" t="s">
        <v>1182</v>
      </c>
      <c r="D1157" s="28" t="s">
        <v>3295</v>
      </c>
      <c r="E1157" s="29" t="s">
        <v>671</v>
      </c>
      <c r="F1157" s="30">
        <v>1</v>
      </c>
      <c r="G1157" s="31">
        <v>185.1</v>
      </c>
      <c r="H1157" s="31">
        <f t="shared" si="133"/>
        <v>185.1</v>
      </c>
      <c r="I1157" s="170" t="s">
        <v>2842</v>
      </c>
      <c r="J1157" t="s">
        <v>2853</v>
      </c>
      <c r="K1157" s="188" t="s">
        <v>2853</v>
      </c>
    </row>
    <row r="1158" spans="1:11" x14ac:dyDescent="0.25">
      <c r="A1158" t="s">
        <v>5728</v>
      </c>
      <c r="B1158" s="27" t="s">
        <v>1183</v>
      </c>
      <c r="D1158" s="28" t="s">
        <v>3296</v>
      </c>
      <c r="E1158" s="29" t="s">
        <v>671</v>
      </c>
      <c r="F1158" s="30">
        <v>1</v>
      </c>
      <c r="G1158" s="31">
        <v>185.1</v>
      </c>
      <c r="H1158" s="31">
        <f t="shared" si="133"/>
        <v>185.1</v>
      </c>
      <c r="I1158" s="170" t="s">
        <v>2842</v>
      </c>
      <c r="J1158" t="s">
        <v>2853</v>
      </c>
      <c r="K1158" s="188" t="s">
        <v>2853</v>
      </c>
    </row>
    <row r="1159" spans="1:11" x14ac:dyDescent="0.25">
      <c r="A1159" t="s">
        <v>5729</v>
      </c>
      <c r="B1159" s="27" t="s">
        <v>1184</v>
      </c>
      <c r="D1159" s="28" t="s">
        <v>3297</v>
      </c>
      <c r="E1159" s="29" t="s">
        <v>671</v>
      </c>
      <c r="F1159" s="30">
        <v>1</v>
      </c>
      <c r="G1159" s="31">
        <v>185.1</v>
      </c>
      <c r="H1159" s="31">
        <f t="shared" si="133"/>
        <v>185.1</v>
      </c>
      <c r="I1159" s="170" t="s">
        <v>2842</v>
      </c>
      <c r="J1159" t="s">
        <v>2853</v>
      </c>
      <c r="K1159" s="188" t="s">
        <v>2853</v>
      </c>
    </row>
    <row r="1160" spans="1:11" x14ac:dyDescent="0.25">
      <c r="A1160" t="s">
        <v>5730</v>
      </c>
      <c r="B1160" s="27" t="s">
        <v>1185</v>
      </c>
      <c r="D1160" s="28" t="s">
        <v>3298</v>
      </c>
      <c r="E1160" s="29" t="s">
        <v>21</v>
      </c>
      <c r="F1160" s="30">
        <v>1</v>
      </c>
      <c r="G1160" s="31">
        <v>198.33</v>
      </c>
      <c r="H1160" s="31">
        <f t="shared" si="133"/>
        <v>198.33</v>
      </c>
      <c r="I1160" s="170" t="s">
        <v>2842</v>
      </c>
      <c r="J1160" t="s">
        <v>2853</v>
      </c>
      <c r="K1160" s="188" t="s">
        <v>2853</v>
      </c>
    </row>
    <row r="1161" spans="1:11" x14ac:dyDescent="0.25">
      <c r="A1161" t="s">
        <v>5731</v>
      </c>
      <c r="B1161" s="27" t="s">
        <v>1186</v>
      </c>
      <c r="D1161" s="28" t="s">
        <v>3299</v>
      </c>
      <c r="E1161" s="29" t="s">
        <v>21</v>
      </c>
      <c r="F1161" s="30">
        <v>1</v>
      </c>
      <c r="G1161" s="31">
        <v>198.33</v>
      </c>
      <c r="H1161" s="31">
        <f t="shared" si="133"/>
        <v>198.33</v>
      </c>
      <c r="I1161" s="170" t="s">
        <v>2842</v>
      </c>
      <c r="J1161" t="s">
        <v>2853</v>
      </c>
      <c r="K1161" s="188" t="s">
        <v>2853</v>
      </c>
    </row>
    <row r="1162" spans="1:11" x14ac:dyDescent="0.25">
      <c r="A1162" t="s">
        <v>5732</v>
      </c>
      <c r="B1162" s="27" t="s">
        <v>1187</v>
      </c>
      <c r="D1162" s="28" t="s">
        <v>3300</v>
      </c>
      <c r="E1162" s="29" t="s">
        <v>21</v>
      </c>
      <c r="F1162" s="30">
        <v>1</v>
      </c>
      <c r="G1162" s="31">
        <v>198.33</v>
      </c>
      <c r="H1162" s="31">
        <f t="shared" si="133"/>
        <v>198.33</v>
      </c>
      <c r="I1162" s="170" t="s">
        <v>2842</v>
      </c>
      <c r="J1162" t="s">
        <v>2853</v>
      </c>
      <c r="K1162" s="188" t="s">
        <v>2853</v>
      </c>
    </row>
    <row r="1163" spans="1:11" x14ac:dyDescent="0.25">
      <c r="A1163" t="s">
        <v>5733</v>
      </c>
      <c r="B1163" s="27" t="s">
        <v>1188</v>
      </c>
      <c r="D1163" s="28" t="s">
        <v>3301</v>
      </c>
      <c r="E1163" s="29" t="s">
        <v>563</v>
      </c>
      <c r="F1163" s="30">
        <v>1</v>
      </c>
      <c r="G1163" s="31">
        <v>198.33</v>
      </c>
      <c r="H1163" s="31">
        <f t="shared" si="133"/>
        <v>198.33</v>
      </c>
      <c r="I1163" s="170" t="s">
        <v>2842</v>
      </c>
      <c r="J1163" t="s">
        <v>2853</v>
      </c>
      <c r="K1163" s="188" t="s">
        <v>2853</v>
      </c>
    </row>
    <row r="1164" spans="1:11" x14ac:dyDescent="0.25">
      <c r="A1164" t="s">
        <v>5734</v>
      </c>
      <c r="B1164" s="27" t="s">
        <v>1189</v>
      </c>
      <c r="D1164" s="28" t="s">
        <v>3302</v>
      </c>
      <c r="E1164" s="29" t="s">
        <v>563</v>
      </c>
      <c r="F1164" s="30">
        <v>1</v>
      </c>
      <c r="G1164" s="31">
        <v>198.33</v>
      </c>
      <c r="H1164" s="31">
        <f t="shared" si="133"/>
        <v>198.33</v>
      </c>
      <c r="I1164" s="170" t="s">
        <v>2842</v>
      </c>
      <c r="J1164" t="s">
        <v>2853</v>
      </c>
      <c r="K1164" s="188" t="s">
        <v>2853</v>
      </c>
    </row>
    <row r="1165" spans="1:11" x14ac:dyDescent="0.25">
      <c r="A1165" t="s">
        <v>5735</v>
      </c>
      <c r="B1165" s="27" t="s">
        <v>1190</v>
      </c>
      <c r="D1165" s="28" t="s">
        <v>3303</v>
      </c>
      <c r="E1165" s="29" t="s">
        <v>563</v>
      </c>
      <c r="F1165" s="30">
        <v>1</v>
      </c>
      <c r="G1165" s="31">
        <v>198.33</v>
      </c>
      <c r="H1165" s="31">
        <f t="shared" si="133"/>
        <v>198.33</v>
      </c>
      <c r="I1165" s="170" t="s">
        <v>2842</v>
      </c>
      <c r="J1165" t="s">
        <v>2853</v>
      </c>
      <c r="K1165" s="188" t="s">
        <v>2853</v>
      </c>
    </row>
    <row r="1166" spans="1:11" x14ac:dyDescent="0.25">
      <c r="A1166" t="s">
        <v>5736</v>
      </c>
      <c r="B1166" s="27" t="s">
        <v>1191</v>
      </c>
      <c r="D1166" s="28" t="s">
        <v>3304</v>
      </c>
      <c r="E1166" s="29" t="s">
        <v>671</v>
      </c>
      <c r="F1166" s="30">
        <v>1</v>
      </c>
      <c r="G1166" s="31">
        <v>198.33</v>
      </c>
      <c r="H1166" s="31">
        <f t="shared" si="133"/>
        <v>198.33</v>
      </c>
      <c r="I1166" s="170" t="s">
        <v>2842</v>
      </c>
      <c r="J1166" t="s">
        <v>2853</v>
      </c>
      <c r="K1166" s="188" t="s">
        <v>2853</v>
      </c>
    </row>
    <row r="1167" spans="1:11" x14ac:dyDescent="0.25">
      <c r="A1167" t="s">
        <v>5737</v>
      </c>
      <c r="B1167" s="27" t="s">
        <v>1192</v>
      </c>
      <c r="D1167" s="28" t="s">
        <v>3305</v>
      </c>
      <c r="E1167" s="29" t="s">
        <v>671</v>
      </c>
      <c r="F1167" s="30">
        <v>1</v>
      </c>
      <c r="G1167" s="31">
        <v>198.33</v>
      </c>
      <c r="H1167" s="31">
        <f t="shared" si="133"/>
        <v>198.33</v>
      </c>
      <c r="I1167" s="170" t="s">
        <v>2842</v>
      </c>
      <c r="J1167" t="s">
        <v>2853</v>
      </c>
      <c r="K1167" s="188" t="s">
        <v>2853</v>
      </c>
    </row>
    <row r="1168" spans="1:11" x14ac:dyDescent="0.25">
      <c r="A1168" t="s">
        <v>5738</v>
      </c>
      <c r="B1168" s="27" t="s">
        <v>1193</v>
      </c>
      <c r="D1168" s="28" t="s">
        <v>3306</v>
      </c>
      <c r="E1168" s="29" t="s">
        <v>671</v>
      </c>
      <c r="F1168" s="30">
        <v>1</v>
      </c>
      <c r="G1168" s="31">
        <v>198.33</v>
      </c>
      <c r="H1168" s="31">
        <f t="shared" si="133"/>
        <v>198.33</v>
      </c>
      <c r="I1168" s="170" t="s">
        <v>2842</v>
      </c>
      <c r="J1168" t="s">
        <v>2853</v>
      </c>
      <c r="K1168" s="188" t="s">
        <v>2853</v>
      </c>
    </row>
    <row r="1169" spans="1:11" x14ac:dyDescent="0.25">
      <c r="A1169" t="s">
        <v>5739</v>
      </c>
      <c r="B1169" s="27" t="s">
        <v>1194</v>
      </c>
      <c r="D1169" s="28" t="s">
        <v>3307</v>
      </c>
      <c r="E1169" s="29" t="s">
        <v>21</v>
      </c>
      <c r="F1169" s="30">
        <v>1</v>
      </c>
      <c r="G1169" s="31">
        <v>218.15</v>
      </c>
      <c r="H1169" s="31">
        <f t="shared" si="133"/>
        <v>218.15</v>
      </c>
      <c r="I1169" s="170" t="s">
        <v>2842</v>
      </c>
      <c r="J1169" t="s">
        <v>2853</v>
      </c>
      <c r="K1169" s="188" t="s">
        <v>2853</v>
      </c>
    </row>
    <row r="1170" spans="1:11" x14ac:dyDescent="0.25">
      <c r="A1170" t="s">
        <v>5740</v>
      </c>
      <c r="B1170" s="27" t="s">
        <v>1195</v>
      </c>
      <c r="D1170" s="28" t="s">
        <v>3308</v>
      </c>
      <c r="E1170" s="29" t="s">
        <v>21</v>
      </c>
      <c r="F1170" s="30">
        <v>1</v>
      </c>
      <c r="G1170" s="31">
        <v>218.15</v>
      </c>
      <c r="H1170" s="31">
        <f t="shared" si="133"/>
        <v>218.15</v>
      </c>
      <c r="I1170" s="170" t="s">
        <v>2842</v>
      </c>
      <c r="J1170" t="s">
        <v>2853</v>
      </c>
      <c r="K1170" s="188" t="s">
        <v>2853</v>
      </c>
    </row>
    <row r="1171" spans="1:11" x14ac:dyDescent="0.25">
      <c r="A1171" t="s">
        <v>5741</v>
      </c>
      <c r="B1171" s="27" t="s">
        <v>1196</v>
      </c>
      <c r="D1171" s="28" t="s">
        <v>3309</v>
      </c>
      <c r="E1171" s="29" t="s">
        <v>21</v>
      </c>
      <c r="F1171" s="30">
        <v>1</v>
      </c>
      <c r="G1171" s="31">
        <v>218.15</v>
      </c>
      <c r="H1171" s="31">
        <f t="shared" si="133"/>
        <v>218.15</v>
      </c>
      <c r="I1171" s="170" t="s">
        <v>2842</v>
      </c>
      <c r="J1171" t="s">
        <v>2853</v>
      </c>
      <c r="K1171" s="188" t="s">
        <v>2853</v>
      </c>
    </row>
    <row r="1172" spans="1:11" x14ac:dyDescent="0.25">
      <c r="A1172" t="s">
        <v>5742</v>
      </c>
      <c r="B1172" s="27" t="s">
        <v>1197</v>
      </c>
      <c r="D1172" s="28" t="s">
        <v>3310</v>
      </c>
      <c r="E1172" s="29" t="s">
        <v>563</v>
      </c>
      <c r="F1172" s="30">
        <v>1</v>
      </c>
      <c r="G1172" s="31">
        <v>218.15</v>
      </c>
      <c r="H1172" s="31">
        <f t="shared" si="133"/>
        <v>218.15</v>
      </c>
      <c r="I1172" s="170" t="s">
        <v>2842</v>
      </c>
      <c r="J1172" t="s">
        <v>2853</v>
      </c>
      <c r="K1172" s="188" t="s">
        <v>2853</v>
      </c>
    </row>
    <row r="1173" spans="1:11" x14ac:dyDescent="0.25">
      <c r="A1173" t="s">
        <v>5743</v>
      </c>
      <c r="B1173" s="27" t="s">
        <v>1198</v>
      </c>
      <c r="D1173" s="28" t="s">
        <v>3311</v>
      </c>
      <c r="E1173" s="29" t="s">
        <v>563</v>
      </c>
      <c r="F1173" s="30">
        <v>1</v>
      </c>
      <c r="G1173" s="31">
        <v>218.15</v>
      </c>
      <c r="H1173" s="31">
        <f t="shared" si="133"/>
        <v>218.15</v>
      </c>
      <c r="I1173" s="170" t="s">
        <v>2842</v>
      </c>
      <c r="J1173" t="s">
        <v>2853</v>
      </c>
      <c r="K1173" s="188" t="s">
        <v>2853</v>
      </c>
    </row>
    <row r="1174" spans="1:11" x14ac:dyDescent="0.25">
      <c r="A1174" t="s">
        <v>5744</v>
      </c>
      <c r="B1174" s="27" t="s">
        <v>1199</v>
      </c>
      <c r="D1174" s="28" t="s">
        <v>3312</v>
      </c>
      <c r="E1174" s="29" t="s">
        <v>563</v>
      </c>
      <c r="F1174" s="30">
        <v>1</v>
      </c>
      <c r="G1174" s="31">
        <v>218.15</v>
      </c>
      <c r="H1174" s="31">
        <f t="shared" si="133"/>
        <v>218.15</v>
      </c>
      <c r="I1174" s="170" t="s">
        <v>2842</v>
      </c>
      <c r="J1174" t="s">
        <v>2853</v>
      </c>
      <c r="K1174" s="188" t="s">
        <v>2853</v>
      </c>
    </row>
    <row r="1175" spans="1:11" x14ac:dyDescent="0.25">
      <c r="A1175" t="s">
        <v>5745</v>
      </c>
      <c r="B1175" s="27" t="s">
        <v>1200</v>
      </c>
      <c r="D1175" s="28" t="s">
        <v>3313</v>
      </c>
      <c r="E1175" s="29" t="s">
        <v>671</v>
      </c>
      <c r="F1175" s="30">
        <v>1</v>
      </c>
      <c r="G1175" s="31">
        <v>218.15</v>
      </c>
      <c r="H1175" s="31">
        <f t="shared" si="133"/>
        <v>218.15</v>
      </c>
      <c r="I1175" s="170" t="s">
        <v>2842</v>
      </c>
      <c r="J1175" t="s">
        <v>2853</v>
      </c>
      <c r="K1175" s="188" t="s">
        <v>2853</v>
      </c>
    </row>
    <row r="1176" spans="1:11" x14ac:dyDescent="0.25">
      <c r="A1176" t="s">
        <v>5746</v>
      </c>
      <c r="B1176" s="27" t="s">
        <v>1201</v>
      </c>
      <c r="D1176" s="28" t="s">
        <v>3314</v>
      </c>
      <c r="E1176" s="29" t="s">
        <v>671</v>
      </c>
      <c r="F1176" s="30">
        <v>1</v>
      </c>
      <c r="G1176" s="31">
        <v>218.15</v>
      </c>
      <c r="H1176" s="31">
        <f t="shared" si="133"/>
        <v>218.15</v>
      </c>
      <c r="I1176" s="170" t="s">
        <v>2842</v>
      </c>
      <c r="J1176" t="s">
        <v>2853</v>
      </c>
      <c r="K1176" s="188" t="s">
        <v>2853</v>
      </c>
    </row>
    <row r="1177" spans="1:11" x14ac:dyDescent="0.25">
      <c r="A1177" t="s">
        <v>5747</v>
      </c>
      <c r="B1177" s="27" t="s">
        <v>1202</v>
      </c>
      <c r="D1177" s="28" t="s">
        <v>3315</v>
      </c>
      <c r="E1177" s="29" t="s">
        <v>671</v>
      </c>
      <c r="F1177" s="30">
        <v>1</v>
      </c>
      <c r="G1177" s="31">
        <v>218.15</v>
      </c>
      <c r="H1177" s="31">
        <f t="shared" si="133"/>
        <v>218.15</v>
      </c>
      <c r="I1177" s="170" t="s">
        <v>2842</v>
      </c>
      <c r="J1177" t="s">
        <v>2853</v>
      </c>
      <c r="K1177" s="188" t="s">
        <v>2853</v>
      </c>
    </row>
    <row r="1178" spans="1:11" x14ac:dyDescent="0.25">
      <c r="A1178" t="s">
        <v>5748</v>
      </c>
      <c r="B1178" s="27" t="s">
        <v>1203</v>
      </c>
      <c r="D1178" s="28" t="s">
        <v>3316</v>
      </c>
      <c r="E1178" s="29" t="s">
        <v>21</v>
      </c>
      <c r="F1178" s="30">
        <v>1</v>
      </c>
      <c r="G1178" s="31">
        <v>132.22</v>
      </c>
      <c r="H1178" s="31">
        <f t="shared" si="133"/>
        <v>132.22</v>
      </c>
      <c r="I1178" s="170" t="s">
        <v>2842</v>
      </c>
      <c r="J1178" t="s">
        <v>2853</v>
      </c>
      <c r="K1178" s="188" t="s">
        <v>2853</v>
      </c>
    </row>
    <row r="1179" spans="1:11" x14ac:dyDescent="0.25">
      <c r="A1179" t="s">
        <v>5749</v>
      </c>
      <c r="B1179" s="27" t="s">
        <v>1204</v>
      </c>
      <c r="D1179" s="28" t="s">
        <v>3317</v>
      </c>
      <c r="E1179" s="29" t="s">
        <v>563</v>
      </c>
      <c r="F1179" s="30">
        <v>1</v>
      </c>
      <c r="G1179" s="31">
        <v>132.22</v>
      </c>
      <c r="H1179" s="31">
        <f t="shared" si="133"/>
        <v>132.22</v>
      </c>
      <c r="I1179" s="170" t="s">
        <v>2842</v>
      </c>
      <c r="J1179" t="s">
        <v>2853</v>
      </c>
      <c r="K1179" s="188" t="s">
        <v>2853</v>
      </c>
    </row>
    <row r="1180" spans="1:11" x14ac:dyDescent="0.25">
      <c r="A1180" t="s">
        <v>5750</v>
      </c>
      <c r="B1180" s="27" t="s">
        <v>1205</v>
      </c>
      <c r="D1180" s="28" t="s">
        <v>3318</v>
      </c>
      <c r="E1180" s="29" t="s">
        <v>671</v>
      </c>
      <c r="F1180" s="30">
        <v>1</v>
      </c>
      <c r="G1180" s="31">
        <v>132.22</v>
      </c>
      <c r="H1180" s="31">
        <f t="shared" si="133"/>
        <v>132.22</v>
      </c>
      <c r="I1180" s="170" t="s">
        <v>2842</v>
      </c>
      <c r="J1180" t="s">
        <v>2853</v>
      </c>
      <c r="K1180" s="188" t="s">
        <v>2853</v>
      </c>
    </row>
    <row r="1181" spans="1:11" x14ac:dyDescent="0.25">
      <c r="A1181" t="s">
        <v>5751</v>
      </c>
      <c r="B1181" s="27" t="s">
        <v>1206</v>
      </c>
      <c r="D1181" s="28" t="s">
        <v>3319</v>
      </c>
      <c r="E1181" s="29" t="s">
        <v>21</v>
      </c>
      <c r="F1181" s="30">
        <v>1</v>
      </c>
      <c r="G1181" s="31">
        <v>138.81</v>
      </c>
      <c r="H1181" s="31">
        <f t="shared" si="133"/>
        <v>138.81</v>
      </c>
      <c r="I1181" s="170" t="s">
        <v>2842</v>
      </c>
      <c r="J1181" t="s">
        <v>2853</v>
      </c>
      <c r="K1181" s="188" t="s">
        <v>2853</v>
      </c>
    </row>
    <row r="1182" spans="1:11" x14ac:dyDescent="0.25">
      <c r="A1182" t="s">
        <v>5752</v>
      </c>
      <c r="B1182" s="27" t="s">
        <v>1207</v>
      </c>
      <c r="D1182" s="28" t="s">
        <v>3320</v>
      </c>
      <c r="E1182" s="29" t="s">
        <v>563</v>
      </c>
      <c r="F1182" s="30">
        <v>1</v>
      </c>
      <c r="G1182" s="31">
        <v>138.81</v>
      </c>
      <c r="H1182" s="31">
        <f t="shared" si="133"/>
        <v>138.81</v>
      </c>
      <c r="I1182" s="170" t="s">
        <v>2842</v>
      </c>
      <c r="J1182" t="s">
        <v>2853</v>
      </c>
      <c r="K1182" s="188" t="s">
        <v>2853</v>
      </c>
    </row>
    <row r="1183" spans="1:11" x14ac:dyDescent="0.25">
      <c r="A1183" t="s">
        <v>5753</v>
      </c>
      <c r="B1183" s="27" t="s">
        <v>1208</v>
      </c>
      <c r="D1183" s="28" t="s">
        <v>3321</v>
      </c>
      <c r="E1183" s="29" t="s">
        <v>671</v>
      </c>
      <c r="F1183" s="30">
        <v>1</v>
      </c>
      <c r="G1183" s="31">
        <v>138.81</v>
      </c>
      <c r="H1183" s="31">
        <f t="shared" si="133"/>
        <v>138.81</v>
      </c>
      <c r="I1183" s="170" t="s">
        <v>2842</v>
      </c>
      <c r="J1183" t="s">
        <v>2853</v>
      </c>
      <c r="K1183" s="188" t="s">
        <v>2853</v>
      </c>
    </row>
    <row r="1184" spans="1:11" x14ac:dyDescent="0.25">
      <c r="A1184" t="s">
        <v>5754</v>
      </c>
      <c r="B1184" s="27" t="s">
        <v>1209</v>
      </c>
      <c r="D1184" s="28" t="s">
        <v>3322</v>
      </c>
      <c r="E1184" s="29" t="s">
        <v>21</v>
      </c>
      <c r="F1184" s="30">
        <v>1</v>
      </c>
      <c r="G1184" s="31">
        <v>145.44</v>
      </c>
      <c r="H1184" s="31">
        <f t="shared" ref="H1184:H1247" si="134">+F1184*G1184</f>
        <v>145.44</v>
      </c>
      <c r="I1184" s="170" t="s">
        <v>2842</v>
      </c>
      <c r="J1184" t="s">
        <v>2853</v>
      </c>
      <c r="K1184" s="188" t="s">
        <v>2853</v>
      </c>
    </row>
    <row r="1185" spans="1:11" x14ac:dyDescent="0.25">
      <c r="A1185" t="s">
        <v>5755</v>
      </c>
      <c r="B1185" s="27" t="s">
        <v>1210</v>
      </c>
      <c r="D1185" s="28" t="s">
        <v>3323</v>
      </c>
      <c r="E1185" s="29" t="s">
        <v>563</v>
      </c>
      <c r="F1185" s="30">
        <v>1</v>
      </c>
      <c r="G1185" s="31">
        <v>145.44</v>
      </c>
      <c r="H1185" s="31">
        <f t="shared" si="134"/>
        <v>145.44</v>
      </c>
      <c r="I1185" s="170" t="s">
        <v>2842</v>
      </c>
      <c r="J1185" t="s">
        <v>2853</v>
      </c>
      <c r="K1185" s="188" t="s">
        <v>2853</v>
      </c>
    </row>
    <row r="1186" spans="1:11" x14ac:dyDescent="0.25">
      <c r="A1186" t="s">
        <v>5756</v>
      </c>
      <c r="B1186" s="27" t="s">
        <v>1211</v>
      </c>
      <c r="D1186" s="28" t="s">
        <v>3324</v>
      </c>
      <c r="E1186" s="29" t="s">
        <v>671</v>
      </c>
      <c r="F1186" s="30">
        <v>1</v>
      </c>
      <c r="G1186" s="31">
        <v>145.44</v>
      </c>
      <c r="H1186" s="31">
        <f t="shared" si="134"/>
        <v>145.44</v>
      </c>
      <c r="I1186" s="170" t="s">
        <v>2842</v>
      </c>
      <c r="J1186" t="s">
        <v>2853</v>
      </c>
      <c r="K1186" s="188" t="s">
        <v>2853</v>
      </c>
    </row>
    <row r="1187" spans="1:11" x14ac:dyDescent="0.25">
      <c r="A1187" t="s">
        <v>5757</v>
      </c>
      <c r="B1187" s="27" t="s">
        <v>1212</v>
      </c>
      <c r="D1187" s="28" t="s">
        <v>3325</v>
      </c>
      <c r="E1187" s="29" t="s">
        <v>21</v>
      </c>
      <c r="F1187" s="30">
        <v>1</v>
      </c>
      <c r="G1187" s="31">
        <v>152.04</v>
      </c>
      <c r="H1187" s="31">
        <f t="shared" si="134"/>
        <v>152.04</v>
      </c>
      <c r="I1187" s="170" t="s">
        <v>2842</v>
      </c>
      <c r="J1187" t="s">
        <v>2853</v>
      </c>
      <c r="K1187" s="188" t="s">
        <v>2853</v>
      </c>
    </row>
    <row r="1188" spans="1:11" x14ac:dyDescent="0.25">
      <c r="A1188" t="s">
        <v>5758</v>
      </c>
      <c r="B1188" s="27" t="s">
        <v>1213</v>
      </c>
      <c r="D1188" s="28" t="s">
        <v>3326</v>
      </c>
      <c r="E1188" s="29" t="s">
        <v>563</v>
      </c>
      <c r="F1188" s="30">
        <v>1</v>
      </c>
      <c r="G1188" s="31">
        <v>152.04</v>
      </c>
      <c r="H1188" s="31">
        <f t="shared" si="134"/>
        <v>152.04</v>
      </c>
      <c r="I1188" s="170" t="s">
        <v>2842</v>
      </c>
      <c r="J1188" t="s">
        <v>2853</v>
      </c>
      <c r="K1188" s="188" t="s">
        <v>2853</v>
      </c>
    </row>
    <row r="1189" spans="1:11" x14ac:dyDescent="0.25">
      <c r="A1189" t="s">
        <v>5759</v>
      </c>
      <c r="B1189" s="27" t="s">
        <v>1214</v>
      </c>
      <c r="D1189" s="28" t="s">
        <v>3327</v>
      </c>
      <c r="E1189" s="29" t="s">
        <v>671</v>
      </c>
      <c r="F1189" s="30">
        <v>1</v>
      </c>
      <c r="G1189" s="31">
        <v>152.04</v>
      </c>
      <c r="H1189" s="31">
        <f t="shared" si="134"/>
        <v>152.04</v>
      </c>
      <c r="I1189" s="170" t="s">
        <v>2842</v>
      </c>
      <c r="J1189" t="s">
        <v>2853</v>
      </c>
      <c r="K1189" s="188" t="s">
        <v>2853</v>
      </c>
    </row>
    <row r="1190" spans="1:11" x14ac:dyDescent="0.25">
      <c r="A1190" t="s">
        <v>5760</v>
      </c>
      <c r="B1190" s="27" t="s">
        <v>1215</v>
      </c>
      <c r="D1190" s="28" t="s">
        <v>3328</v>
      </c>
      <c r="E1190" s="29" t="s">
        <v>21</v>
      </c>
      <c r="F1190" s="30">
        <v>1</v>
      </c>
      <c r="G1190" s="31">
        <v>211.55</v>
      </c>
      <c r="H1190" s="31">
        <f t="shared" si="134"/>
        <v>211.55</v>
      </c>
      <c r="I1190" s="170" t="s">
        <v>2842</v>
      </c>
      <c r="J1190" t="s">
        <v>2853</v>
      </c>
      <c r="K1190" s="188" t="s">
        <v>2853</v>
      </c>
    </row>
    <row r="1191" spans="1:11" x14ac:dyDescent="0.25">
      <c r="A1191" t="s">
        <v>5761</v>
      </c>
      <c r="B1191" s="27" t="s">
        <v>1216</v>
      </c>
      <c r="D1191" s="28" t="s">
        <v>3329</v>
      </c>
      <c r="E1191" s="29" t="s">
        <v>21</v>
      </c>
      <c r="F1191" s="30">
        <v>1</v>
      </c>
      <c r="G1191" s="31">
        <v>211.55</v>
      </c>
      <c r="H1191" s="31">
        <f t="shared" si="134"/>
        <v>211.55</v>
      </c>
      <c r="I1191" s="170" t="s">
        <v>2842</v>
      </c>
      <c r="J1191" t="s">
        <v>2853</v>
      </c>
      <c r="K1191" s="188" t="s">
        <v>2853</v>
      </c>
    </row>
    <row r="1192" spans="1:11" x14ac:dyDescent="0.25">
      <c r="A1192" t="s">
        <v>5762</v>
      </c>
      <c r="B1192" s="27" t="s">
        <v>1217</v>
      </c>
      <c r="D1192" s="28" t="s">
        <v>3330</v>
      </c>
      <c r="E1192" s="29" t="s">
        <v>21</v>
      </c>
      <c r="F1192" s="30">
        <v>1</v>
      </c>
      <c r="G1192" s="31">
        <v>211.55</v>
      </c>
      <c r="H1192" s="31">
        <f t="shared" si="134"/>
        <v>211.55</v>
      </c>
      <c r="I1192" s="170" t="s">
        <v>2842</v>
      </c>
      <c r="J1192" t="s">
        <v>2853</v>
      </c>
      <c r="K1192" s="188" t="s">
        <v>2853</v>
      </c>
    </row>
    <row r="1193" spans="1:11" x14ac:dyDescent="0.25">
      <c r="A1193" t="s">
        <v>5763</v>
      </c>
      <c r="B1193" s="27" t="s">
        <v>1218</v>
      </c>
      <c r="D1193" s="28" t="s">
        <v>3331</v>
      </c>
      <c r="E1193" s="29" t="s">
        <v>563</v>
      </c>
      <c r="F1193" s="30">
        <v>1</v>
      </c>
      <c r="G1193" s="31">
        <v>211.55</v>
      </c>
      <c r="H1193" s="31">
        <f t="shared" si="134"/>
        <v>211.55</v>
      </c>
      <c r="I1193" s="170" t="s">
        <v>2842</v>
      </c>
      <c r="J1193" t="s">
        <v>2853</v>
      </c>
      <c r="K1193" s="188" t="s">
        <v>2853</v>
      </c>
    </row>
    <row r="1194" spans="1:11" x14ac:dyDescent="0.25">
      <c r="A1194" t="s">
        <v>5764</v>
      </c>
      <c r="B1194" s="27" t="s">
        <v>1219</v>
      </c>
      <c r="D1194" s="28" t="s">
        <v>3332</v>
      </c>
      <c r="E1194" s="29" t="s">
        <v>563</v>
      </c>
      <c r="F1194" s="30">
        <v>1</v>
      </c>
      <c r="G1194" s="31">
        <v>211.55</v>
      </c>
      <c r="H1194" s="31">
        <f t="shared" si="134"/>
        <v>211.55</v>
      </c>
      <c r="I1194" s="170" t="s">
        <v>2842</v>
      </c>
      <c r="J1194" t="s">
        <v>2853</v>
      </c>
      <c r="K1194" s="188" t="s">
        <v>2853</v>
      </c>
    </row>
    <row r="1195" spans="1:11" x14ac:dyDescent="0.25">
      <c r="A1195" t="s">
        <v>5765</v>
      </c>
      <c r="B1195" s="27" t="s">
        <v>1220</v>
      </c>
      <c r="D1195" s="28" t="s">
        <v>3333</v>
      </c>
      <c r="E1195" s="29" t="s">
        <v>563</v>
      </c>
      <c r="F1195" s="30">
        <v>1</v>
      </c>
      <c r="G1195" s="31">
        <v>211.55</v>
      </c>
      <c r="H1195" s="31">
        <f t="shared" si="134"/>
        <v>211.55</v>
      </c>
      <c r="I1195" s="170" t="s">
        <v>2842</v>
      </c>
      <c r="J1195" t="s">
        <v>2853</v>
      </c>
      <c r="K1195" s="188" t="s">
        <v>2853</v>
      </c>
    </row>
    <row r="1196" spans="1:11" x14ac:dyDescent="0.25">
      <c r="A1196" t="s">
        <v>5766</v>
      </c>
      <c r="B1196" s="27" t="s">
        <v>1221</v>
      </c>
      <c r="D1196" s="28" t="s">
        <v>3334</v>
      </c>
      <c r="E1196" s="29" t="s">
        <v>671</v>
      </c>
      <c r="F1196" s="30">
        <v>1</v>
      </c>
      <c r="G1196" s="31">
        <v>211.55</v>
      </c>
      <c r="H1196" s="31">
        <f t="shared" si="134"/>
        <v>211.55</v>
      </c>
      <c r="I1196" s="170" t="s">
        <v>2842</v>
      </c>
      <c r="J1196" t="s">
        <v>2853</v>
      </c>
      <c r="K1196" s="188" t="s">
        <v>2853</v>
      </c>
    </row>
    <row r="1197" spans="1:11" x14ac:dyDescent="0.25">
      <c r="A1197" t="s">
        <v>5767</v>
      </c>
      <c r="B1197" s="27" t="s">
        <v>1222</v>
      </c>
      <c r="D1197" s="28" t="s">
        <v>3335</v>
      </c>
      <c r="E1197" s="29" t="s">
        <v>671</v>
      </c>
      <c r="F1197" s="30">
        <v>1</v>
      </c>
      <c r="G1197" s="31">
        <v>211.55</v>
      </c>
      <c r="H1197" s="31">
        <f t="shared" si="134"/>
        <v>211.55</v>
      </c>
      <c r="I1197" s="170" t="s">
        <v>2842</v>
      </c>
      <c r="J1197" t="s">
        <v>2853</v>
      </c>
      <c r="K1197" s="188" t="s">
        <v>2853</v>
      </c>
    </row>
    <row r="1198" spans="1:11" x14ac:dyDescent="0.25">
      <c r="A1198" t="s">
        <v>5768</v>
      </c>
      <c r="B1198" s="27" t="s">
        <v>1223</v>
      </c>
      <c r="D1198" s="28" t="s">
        <v>3336</v>
      </c>
      <c r="E1198" s="29" t="s">
        <v>671</v>
      </c>
      <c r="F1198" s="30">
        <v>1</v>
      </c>
      <c r="G1198" s="31">
        <v>211.55</v>
      </c>
      <c r="H1198" s="31">
        <f t="shared" si="134"/>
        <v>211.55</v>
      </c>
      <c r="I1198" s="170" t="s">
        <v>2842</v>
      </c>
      <c r="J1198" t="s">
        <v>2853</v>
      </c>
      <c r="K1198" s="188" t="s">
        <v>2853</v>
      </c>
    </row>
    <row r="1199" spans="1:11" x14ac:dyDescent="0.25">
      <c r="A1199" t="s">
        <v>5769</v>
      </c>
      <c r="B1199" s="27" t="s">
        <v>1224</v>
      </c>
      <c r="D1199" s="28" t="s">
        <v>3337</v>
      </c>
      <c r="E1199" s="29" t="s">
        <v>21</v>
      </c>
      <c r="F1199" s="30">
        <v>1</v>
      </c>
      <c r="G1199" s="31">
        <v>257.83</v>
      </c>
      <c r="H1199" s="31">
        <f t="shared" si="134"/>
        <v>257.83</v>
      </c>
      <c r="I1199" s="170" t="s">
        <v>2842</v>
      </c>
      <c r="J1199" t="s">
        <v>2853</v>
      </c>
      <c r="K1199" s="188" t="s">
        <v>2853</v>
      </c>
    </row>
    <row r="1200" spans="1:11" x14ac:dyDescent="0.25">
      <c r="A1200" t="s">
        <v>5770</v>
      </c>
      <c r="B1200" s="27" t="s">
        <v>1225</v>
      </c>
      <c r="D1200" s="28" t="s">
        <v>3338</v>
      </c>
      <c r="E1200" s="29" t="s">
        <v>21</v>
      </c>
      <c r="F1200" s="30">
        <v>1</v>
      </c>
      <c r="G1200" s="31">
        <v>257.83</v>
      </c>
      <c r="H1200" s="31">
        <f t="shared" si="134"/>
        <v>257.83</v>
      </c>
      <c r="I1200" s="170" t="s">
        <v>2842</v>
      </c>
      <c r="J1200" t="s">
        <v>2853</v>
      </c>
      <c r="K1200" s="188" t="s">
        <v>2853</v>
      </c>
    </row>
    <row r="1201" spans="1:11" x14ac:dyDescent="0.25">
      <c r="A1201" t="s">
        <v>5771</v>
      </c>
      <c r="B1201" s="27" t="s">
        <v>1226</v>
      </c>
      <c r="D1201" s="28" t="s">
        <v>3339</v>
      </c>
      <c r="E1201" s="29" t="s">
        <v>21</v>
      </c>
      <c r="F1201" s="30">
        <v>1</v>
      </c>
      <c r="G1201" s="31">
        <v>257.83</v>
      </c>
      <c r="H1201" s="31">
        <f t="shared" si="134"/>
        <v>257.83</v>
      </c>
      <c r="I1201" s="170" t="s">
        <v>2842</v>
      </c>
      <c r="J1201" t="s">
        <v>2853</v>
      </c>
      <c r="K1201" s="188" t="s">
        <v>2853</v>
      </c>
    </row>
    <row r="1202" spans="1:11" x14ac:dyDescent="0.25">
      <c r="A1202" t="s">
        <v>5772</v>
      </c>
      <c r="B1202" s="27" t="s">
        <v>1227</v>
      </c>
      <c r="D1202" s="28" t="s">
        <v>3340</v>
      </c>
      <c r="E1202" s="29" t="s">
        <v>563</v>
      </c>
      <c r="F1202" s="30">
        <v>1</v>
      </c>
      <c r="G1202" s="31">
        <v>257.83</v>
      </c>
      <c r="H1202" s="31">
        <f t="shared" si="134"/>
        <v>257.83</v>
      </c>
      <c r="I1202" s="170" t="s">
        <v>2842</v>
      </c>
      <c r="J1202" t="s">
        <v>2853</v>
      </c>
      <c r="K1202" s="188" t="s">
        <v>2853</v>
      </c>
    </row>
    <row r="1203" spans="1:11" x14ac:dyDescent="0.25">
      <c r="A1203" t="s">
        <v>5773</v>
      </c>
      <c r="B1203" s="27" t="s">
        <v>1228</v>
      </c>
      <c r="D1203" s="28" t="s">
        <v>3341</v>
      </c>
      <c r="E1203" s="29" t="s">
        <v>563</v>
      </c>
      <c r="F1203" s="30">
        <v>1</v>
      </c>
      <c r="G1203" s="31">
        <v>257.83</v>
      </c>
      <c r="H1203" s="31">
        <f t="shared" si="134"/>
        <v>257.83</v>
      </c>
      <c r="I1203" s="170" t="s">
        <v>2842</v>
      </c>
      <c r="J1203" t="s">
        <v>2853</v>
      </c>
      <c r="K1203" s="188" t="s">
        <v>2853</v>
      </c>
    </row>
    <row r="1204" spans="1:11" x14ac:dyDescent="0.25">
      <c r="A1204" t="s">
        <v>5774</v>
      </c>
      <c r="B1204" s="27" t="s">
        <v>1229</v>
      </c>
      <c r="D1204" s="28" t="s">
        <v>3342</v>
      </c>
      <c r="E1204" s="29" t="s">
        <v>563</v>
      </c>
      <c r="F1204" s="30">
        <v>1</v>
      </c>
      <c r="G1204" s="31">
        <v>257.83</v>
      </c>
      <c r="H1204" s="31">
        <f t="shared" si="134"/>
        <v>257.83</v>
      </c>
      <c r="I1204" s="170" t="s">
        <v>2842</v>
      </c>
      <c r="J1204" t="s">
        <v>2853</v>
      </c>
      <c r="K1204" s="188" t="s">
        <v>2853</v>
      </c>
    </row>
    <row r="1205" spans="1:11" x14ac:dyDescent="0.25">
      <c r="A1205" t="s">
        <v>5775</v>
      </c>
      <c r="B1205" s="27" t="s">
        <v>1230</v>
      </c>
      <c r="D1205" s="28" t="s">
        <v>3343</v>
      </c>
      <c r="E1205" s="29" t="s">
        <v>671</v>
      </c>
      <c r="F1205" s="30">
        <v>1</v>
      </c>
      <c r="G1205" s="31">
        <v>257.83</v>
      </c>
      <c r="H1205" s="31">
        <f t="shared" si="134"/>
        <v>257.83</v>
      </c>
      <c r="I1205" s="170" t="s">
        <v>2842</v>
      </c>
      <c r="J1205" t="s">
        <v>2853</v>
      </c>
      <c r="K1205" s="188" t="s">
        <v>2853</v>
      </c>
    </row>
    <row r="1206" spans="1:11" x14ac:dyDescent="0.25">
      <c r="A1206" t="s">
        <v>5776</v>
      </c>
      <c r="B1206" s="27" t="s">
        <v>1231</v>
      </c>
      <c r="D1206" s="28" t="s">
        <v>3344</v>
      </c>
      <c r="E1206" s="29" t="s">
        <v>671</v>
      </c>
      <c r="F1206" s="30">
        <v>1</v>
      </c>
      <c r="G1206" s="31">
        <v>257.83</v>
      </c>
      <c r="H1206" s="31">
        <f t="shared" si="134"/>
        <v>257.83</v>
      </c>
      <c r="I1206" s="170" t="s">
        <v>2842</v>
      </c>
      <c r="J1206" t="s">
        <v>2853</v>
      </c>
      <c r="K1206" s="188" t="s">
        <v>2853</v>
      </c>
    </row>
    <row r="1207" spans="1:11" x14ac:dyDescent="0.25">
      <c r="A1207" t="s">
        <v>5777</v>
      </c>
      <c r="B1207" s="27" t="s">
        <v>1232</v>
      </c>
      <c r="D1207" s="28" t="s">
        <v>3345</v>
      </c>
      <c r="E1207" s="29" t="s">
        <v>671</v>
      </c>
      <c r="F1207" s="30">
        <v>1</v>
      </c>
      <c r="G1207" s="31">
        <v>257.83</v>
      </c>
      <c r="H1207" s="31">
        <f t="shared" si="134"/>
        <v>257.83</v>
      </c>
      <c r="I1207" s="170" t="s">
        <v>2842</v>
      </c>
      <c r="J1207" t="s">
        <v>2853</v>
      </c>
      <c r="K1207" s="188" t="s">
        <v>2853</v>
      </c>
    </row>
    <row r="1208" spans="1:11" x14ac:dyDescent="0.25">
      <c r="A1208" t="s">
        <v>5778</v>
      </c>
      <c r="B1208" s="27" t="s">
        <v>1233</v>
      </c>
      <c r="D1208" s="28" t="s">
        <v>3346</v>
      </c>
      <c r="E1208" s="29" t="s">
        <v>21</v>
      </c>
      <c r="F1208" s="30">
        <v>1</v>
      </c>
      <c r="G1208" s="31">
        <v>297.49</v>
      </c>
      <c r="H1208" s="31">
        <f t="shared" si="134"/>
        <v>297.49</v>
      </c>
      <c r="I1208" s="170" t="s">
        <v>2842</v>
      </c>
      <c r="J1208" t="s">
        <v>2853</v>
      </c>
      <c r="K1208" s="188" t="s">
        <v>2853</v>
      </c>
    </row>
    <row r="1209" spans="1:11" x14ac:dyDescent="0.25">
      <c r="A1209" t="s">
        <v>5779</v>
      </c>
      <c r="B1209" s="27" t="s">
        <v>1234</v>
      </c>
      <c r="D1209" s="28" t="s">
        <v>3347</v>
      </c>
      <c r="E1209" s="29" t="s">
        <v>21</v>
      </c>
      <c r="F1209" s="30">
        <v>1</v>
      </c>
      <c r="G1209" s="31">
        <v>297.49</v>
      </c>
      <c r="H1209" s="31">
        <f t="shared" si="134"/>
        <v>297.49</v>
      </c>
      <c r="I1209" s="170" t="s">
        <v>2842</v>
      </c>
      <c r="J1209" t="s">
        <v>2853</v>
      </c>
      <c r="K1209" s="188" t="s">
        <v>2853</v>
      </c>
    </row>
    <row r="1210" spans="1:11" x14ac:dyDescent="0.25">
      <c r="A1210" t="s">
        <v>5780</v>
      </c>
      <c r="B1210" s="27" t="s">
        <v>1235</v>
      </c>
      <c r="D1210" s="28" t="s">
        <v>3348</v>
      </c>
      <c r="E1210" s="29" t="s">
        <v>21</v>
      </c>
      <c r="F1210" s="30">
        <v>1</v>
      </c>
      <c r="G1210" s="31">
        <v>297.49</v>
      </c>
      <c r="H1210" s="31">
        <f t="shared" si="134"/>
        <v>297.49</v>
      </c>
      <c r="I1210" s="170" t="s">
        <v>2842</v>
      </c>
      <c r="J1210" t="s">
        <v>2853</v>
      </c>
      <c r="K1210" s="188" t="s">
        <v>2853</v>
      </c>
    </row>
    <row r="1211" spans="1:11" x14ac:dyDescent="0.25">
      <c r="A1211" t="s">
        <v>5781</v>
      </c>
      <c r="B1211" s="27" t="s">
        <v>1236</v>
      </c>
      <c r="D1211" s="28" t="s">
        <v>3349</v>
      </c>
      <c r="E1211" s="29" t="s">
        <v>563</v>
      </c>
      <c r="F1211" s="30">
        <v>1</v>
      </c>
      <c r="G1211" s="31">
        <v>297.49</v>
      </c>
      <c r="H1211" s="31">
        <f t="shared" si="134"/>
        <v>297.49</v>
      </c>
      <c r="I1211" s="170" t="s">
        <v>2842</v>
      </c>
      <c r="J1211" t="s">
        <v>2853</v>
      </c>
      <c r="K1211" s="188" t="s">
        <v>2853</v>
      </c>
    </row>
    <row r="1212" spans="1:11" x14ac:dyDescent="0.25">
      <c r="A1212" t="s">
        <v>5782</v>
      </c>
      <c r="B1212" s="27" t="s">
        <v>1237</v>
      </c>
      <c r="D1212" s="28" t="s">
        <v>3350</v>
      </c>
      <c r="E1212" s="29" t="s">
        <v>563</v>
      </c>
      <c r="F1212" s="30">
        <v>1</v>
      </c>
      <c r="G1212" s="31">
        <v>297.49</v>
      </c>
      <c r="H1212" s="31">
        <f t="shared" si="134"/>
        <v>297.49</v>
      </c>
      <c r="I1212" s="170" t="s">
        <v>2842</v>
      </c>
      <c r="J1212" t="s">
        <v>2853</v>
      </c>
      <c r="K1212" s="188" t="s">
        <v>2853</v>
      </c>
    </row>
    <row r="1213" spans="1:11" x14ac:dyDescent="0.25">
      <c r="A1213" t="s">
        <v>5783</v>
      </c>
      <c r="B1213" s="27" t="s">
        <v>1238</v>
      </c>
      <c r="D1213" s="28" t="s">
        <v>3351</v>
      </c>
      <c r="E1213" s="29" t="s">
        <v>563</v>
      </c>
      <c r="F1213" s="30">
        <v>1</v>
      </c>
      <c r="G1213" s="31">
        <v>297.49</v>
      </c>
      <c r="H1213" s="31">
        <f t="shared" si="134"/>
        <v>297.49</v>
      </c>
      <c r="I1213" s="170" t="s">
        <v>2842</v>
      </c>
      <c r="J1213" t="s">
        <v>2853</v>
      </c>
      <c r="K1213" s="188" t="s">
        <v>2853</v>
      </c>
    </row>
    <row r="1214" spans="1:11" x14ac:dyDescent="0.25">
      <c r="A1214" t="s">
        <v>5784</v>
      </c>
      <c r="B1214" s="27" t="s">
        <v>1239</v>
      </c>
      <c r="D1214" s="28" t="s">
        <v>3352</v>
      </c>
      <c r="E1214" s="29" t="s">
        <v>671</v>
      </c>
      <c r="F1214" s="30">
        <v>1</v>
      </c>
      <c r="G1214" s="31">
        <v>297.49</v>
      </c>
      <c r="H1214" s="31">
        <f t="shared" si="134"/>
        <v>297.49</v>
      </c>
      <c r="I1214" s="170" t="s">
        <v>2842</v>
      </c>
      <c r="J1214" t="s">
        <v>2853</v>
      </c>
      <c r="K1214" s="188" t="s">
        <v>2853</v>
      </c>
    </row>
    <row r="1215" spans="1:11" x14ac:dyDescent="0.25">
      <c r="A1215" t="s">
        <v>5785</v>
      </c>
      <c r="B1215" s="27" t="s">
        <v>1240</v>
      </c>
      <c r="D1215" s="28" t="s">
        <v>3353</v>
      </c>
      <c r="E1215" s="29" t="s">
        <v>671</v>
      </c>
      <c r="F1215" s="30">
        <v>1</v>
      </c>
      <c r="G1215" s="31">
        <v>297.49</v>
      </c>
      <c r="H1215" s="31">
        <f t="shared" si="134"/>
        <v>297.49</v>
      </c>
      <c r="I1215" s="170" t="s">
        <v>2842</v>
      </c>
      <c r="J1215" t="s">
        <v>2853</v>
      </c>
      <c r="K1215" s="188" t="s">
        <v>2853</v>
      </c>
    </row>
    <row r="1216" spans="1:11" x14ac:dyDescent="0.25">
      <c r="A1216" t="s">
        <v>5786</v>
      </c>
      <c r="B1216" s="27" t="s">
        <v>1241</v>
      </c>
      <c r="D1216" s="28" t="s">
        <v>3354</v>
      </c>
      <c r="E1216" s="29" t="s">
        <v>671</v>
      </c>
      <c r="F1216" s="30">
        <v>1</v>
      </c>
      <c r="G1216" s="31">
        <v>297.49</v>
      </c>
      <c r="H1216" s="31">
        <f t="shared" si="134"/>
        <v>297.49</v>
      </c>
      <c r="I1216" s="170" t="s">
        <v>2842</v>
      </c>
      <c r="J1216" t="s">
        <v>2853</v>
      </c>
      <c r="K1216" s="188" t="s">
        <v>2853</v>
      </c>
    </row>
    <row r="1217" spans="1:11" x14ac:dyDescent="0.25">
      <c r="A1217" t="s">
        <v>5787</v>
      </c>
      <c r="B1217" s="27" t="s">
        <v>1242</v>
      </c>
      <c r="D1217" s="28" t="s">
        <v>3355</v>
      </c>
      <c r="E1217" s="29" t="s">
        <v>21</v>
      </c>
      <c r="F1217" s="30">
        <v>1</v>
      </c>
      <c r="G1217" s="31">
        <v>330.53</v>
      </c>
      <c r="H1217" s="31">
        <f t="shared" si="134"/>
        <v>330.53</v>
      </c>
      <c r="I1217" s="170" t="s">
        <v>2842</v>
      </c>
      <c r="J1217" t="s">
        <v>2853</v>
      </c>
      <c r="K1217" s="188" t="s">
        <v>2853</v>
      </c>
    </row>
    <row r="1218" spans="1:11" x14ac:dyDescent="0.25">
      <c r="A1218" t="s">
        <v>5788</v>
      </c>
      <c r="B1218" s="27" t="s">
        <v>1243</v>
      </c>
      <c r="D1218" s="28" t="s">
        <v>3356</v>
      </c>
      <c r="E1218" s="29" t="s">
        <v>21</v>
      </c>
      <c r="F1218" s="30">
        <v>1</v>
      </c>
      <c r="G1218" s="31">
        <v>330.53</v>
      </c>
      <c r="H1218" s="31">
        <f t="shared" si="134"/>
        <v>330.53</v>
      </c>
      <c r="I1218" s="170" t="s">
        <v>2842</v>
      </c>
      <c r="J1218" t="s">
        <v>2853</v>
      </c>
      <c r="K1218" s="188" t="s">
        <v>2853</v>
      </c>
    </row>
    <row r="1219" spans="1:11" x14ac:dyDescent="0.25">
      <c r="A1219" t="s">
        <v>5789</v>
      </c>
      <c r="B1219" s="27" t="s">
        <v>1244</v>
      </c>
      <c r="D1219" s="28" t="s">
        <v>3357</v>
      </c>
      <c r="E1219" s="29" t="s">
        <v>21</v>
      </c>
      <c r="F1219" s="30">
        <v>1</v>
      </c>
      <c r="G1219" s="31">
        <v>330.53</v>
      </c>
      <c r="H1219" s="31">
        <f t="shared" si="134"/>
        <v>330.53</v>
      </c>
      <c r="I1219" s="170" t="s">
        <v>2842</v>
      </c>
      <c r="J1219" t="s">
        <v>2853</v>
      </c>
      <c r="K1219" s="188" t="s">
        <v>2853</v>
      </c>
    </row>
    <row r="1220" spans="1:11" x14ac:dyDescent="0.25">
      <c r="A1220" t="s">
        <v>5790</v>
      </c>
      <c r="B1220" s="27" t="s">
        <v>1245</v>
      </c>
      <c r="D1220" s="28" t="s">
        <v>3358</v>
      </c>
      <c r="E1220" s="29" t="s">
        <v>563</v>
      </c>
      <c r="F1220" s="30">
        <v>1</v>
      </c>
      <c r="G1220" s="31">
        <v>330.53</v>
      </c>
      <c r="H1220" s="31">
        <f t="shared" si="134"/>
        <v>330.53</v>
      </c>
      <c r="I1220" s="170" t="s">
        <v>2842</v>
      </c>
      <c r="J1220" t="s">
        <v>2853</v>
      </c>
      <c r="K1220" s="188" t="s">
        <v>2853</v>
      </c>
    </row>
    <row r="1221" spans="1:11" x14ac:dyDescent="0.25">
      <c r="A1221" t="s">
        <v>5791</v>
      </c>
      <c r="B1221" s="27" t="s">
        <v>1246</v>
      </c>
      <c r="D1221" s="28" t="s">
        <v>3359</v>
      </c>
      <c r="E1221" s="29" t="s">
        <v>563</v>
      </c>
      <c r="F1221" s="30">
        <v>1</v>
      </c>
      <c r="G1221" s="31">
        <v>330.53</v>
      </c>
      <c r="H1221" s="31">
        <f t="shared" si="134"/>
        <v>330.53</v>
      </c>
      <c r="I1221" s="170" t="s">
        <v>2842</v>
      </c>
      <c r="J1221" t="s">
        <v>2853</v>
      </c>
      <c r="K1221" s="188" t="s">
        <v>2853</v>
      </c>
    </row>
    <row r="1222" spans="1:11" x14ac:dyDescent="0.25">
      <c r="A1222" t="s">
        <v>5792</v>
      </c>
      <c r="B1222" s="27" t="s">
        <v>1247</v>
      </c>
      <c r="D1222" s="28" t="s">
        <v>3360</v>
      </c>
      <c r="E1222" s="29" t="s">
        <v>563</v>
      </c>
      <c r="F1222" s="30">
        <v>1</v>
      </c>
      <c r="G1222" s="31">
        <v>330.53</v>
      </c>
      <c r="H1222" s="31">
        <f t="shared" si="134"/>
        <v>330.53</v>
      </c>
      <c r="I1222" s="170" t="s">
        <v>2842</v>
      </c>
      <c r="J1222" t="s">
        <v>2853</v>
      </c>
      <c r="K1222" s="188" t="s">
        <v>2853</v>
      </c>
    </row>
    <row r="1223" spans="1:11" x14ac:dyDescent="0.25">
      <c r="A1223" t="s">
        <v>5793</v>
      </c>
      <c r="B1223" s="27" t="s">
        <v>1248</v>
      </c>
      <c r="D1223" s="28" t="s">
        <v>3361</v>
      </c>
      <c r="E1223" s="29" t="s">
        <v>671</v>
      </c>
      <c r="F1223" s="30">
        <v>1</v>
      </c>
      <c r="G1223" s="31">
        <v>330.53</v>
      </c>
      <c r="H1223" s="31">
        <f t="shared" si="134"/>
        <v>330.53</v>
      </c>
      <c r="I1223" s="170" t="s">
        <v>2842</v>
      </c>
      <c r="J1223" t="s">
        <v>2853</v>
      </c>
      <c r="K1223" s="188" t="s">
        <v>2853</v>
      </c>
    </row>
    <row r="1224" spans="1:11" x14ac:dyDescent="0.25">
      <c r="A1224" t="s">
        <v>5794</v>
      </c>
      <c r="B1224" s="27" t="s">
        <v>1249</v>
      </c>
      <c r="D1224" s="28" t="s">
        <v>3362</v>
      </c>
      <c r="E1224" s="29" t="s">
        <v>671</v>
      </c>
      <c r="F1224" s="30">
        <v>1</v>
      </c>
      <c r="G1224" s="31">
        <v>330.53</v>
      </c>
      <c r="H1224" s="31">
        <f t="shared" si="134"/>
        <v>330.53</v>
      </c>
      <c r="I1224" s="170" t="s">
        <v>2842</v>
      </c>
      <c r="J1224" t="s">
        <v>2853</v>
      </c>
      <c r="K1224" s="188" t="s">
        <v>2853</v>
      </c>
    </row>
    <row r="1225" spans="1:11" x14ac:dyDescent="0.25">
      <c r="A1225" t="s">
        <v>5795</v>
      </c>
      <c r="B1225" s="27" t="s">
        <v>1250</v>
      </c>
      <c r="D1225" s="28" t="s">
        <v>3363</v>
      </c>
      <c r="E1225" s="29" t="s">
        <v>671</v>
      </c>
      <c r="F1225" s="30">
        <v>1</v>
      </c>
      <c r="G1225" s="31">
        <v>330.53</v>
      </c>
      <c r="H1225" s="31">
        <f t="shared" si="134"/>
        <v>330.53</v>
      </c>
      <c r="I1225" s="170" t="s">
        <v>2842</v>
      </c>
      <c r="J1225" t="s">
        <v>2853</v>
      </c>
      <c r="K1225" s="188" t="s">
        <v>2853</v>
      </c>
    </row>
    <row r="1226" spans="1:11" x14ac:dyDescent="0.25">
      <c r="A1226" t="s">
        <v>5796</v>
      </c>
      <c r="B1226" s="27" t="s">
        <v>1251</v>
      </c>
      <c r="D1226" s="28" t="s">
        <v>3364</v>
      </c>
      <c r="E1226" s="29" t="s">
        <v>21</v>
      </c>
      <c r="F1226" s="30">
        <v>1</v>
      </c>
      <c r="G1226" s="31">
        <v>204.93</v>
      </c>
      <c r="H1226" s="31">
        <f t="shared" si="134"/>
        <v>204.93</v>
      </c>
      <c r="I1226" s="170" t="s">
        <v>2842</v>
      </c>
      <c r="J1226" t="s">
        <v>2853</v>
      </c>
      <c r="K1226" s="188" t="s">
        <v>2853</v>
      </c>
    </row>
    <row r="1227" spans="1:11" x14ac:dyDescent="0.25">
      <c r="A1227" t="s">
        <v>5797</v>
      </c>
      <c r="B1227" s="27" t="s">
        <v>1252</v>
      </c>
      <c r="D1227" s="28" t="s">
        <v>3365</v>
      </c>
      <c r="E1227" s="29" t="s">
        <v>21</v>
      </c>
      <c r="F1227" s="30">
        <v>1</v>
      </c>
      <c r="G1227" s="31">
        <v>204.93</v>
      </c>
      <c r="H1227" s="31">
        <f t="shared" si="134"/>
        <v>204.93</v>
      </c>
      <c r="I1227" s="170" t="s">
        <v>2842</v>
      </c>
      <c r="J1227" t="s">
        <v>2853</v>
      </c>
      <c r="K1227" s="188" t="s">
        <v>2853</v>
      </c>
    </row>
    <row r="1228" spans="1:11" x14ac:dyDescent="0.25">
      <c r="A1228" t="s">
        <v>5798</v>
      </c>
      <c r="B1228" s="27" t="s">
        <v>1253</v>
      </c>
      <c r="D1228" s="28" t="s">
        <v>3366</v>
      </c>
      <c r="E1228" s="29" t="s">
        <v>21</v>
      </c>
      <c r="F1228" s="30">
        <v>1</v>
      </c>
      <c r="G1228" s="31">
        <v>204.93</v>
      </c>
      <c r="H1228" s="31">
        <f t="shared" si="134"/>
        <v>204.93</v>
      </c>
      <c r="I1228" s="170" t="s">
        <v>2842</v>
      </c>
      <c r="J1228" t="s">
        <v>2853</v>
      </c>
      <c r="K1228" s="188" t="s">
        <v>2853</v>
      </c>
    </row>
    <row r="1229" spans="1:11" x14ac:dyDescent="0.25">
      <c r="A1229" t="s">
        <v>5799</v>
      </c>
      <c r="B1229" s="27" t="s">
        <v>1254</v>
      </c>
      <c r="D1229" s="28" t="s">
        <v>3367</v>
      </c>
      <c r="E1229" s="29" t="s">
        <v>563</v>
      </c>
      <c r="F1229" s="30">
        <v>1</v>
      </c>
      <c r="G1229" s="31">
        <v>204.93</v>
      </c>
      <c r="H1229" s="31">
        <f t="shared" si="134"/>
        <v>204.93</v>
      </c>
      <c r="I1229" s="170" t="s">
        <v>2842</v>
      </c>
      <c r="J1229" t="s">
        <v>2853</v>
      </c>
      <c r="K1229" s="188" t="s">
        <v>2853</v>
      </c>
    </row>
    <row r="1230" spans="1:11" x14ac:dyDescent="0.25">
      <c r="A1230" t="s">
        <v>5800</v>
      </c>
      <c r="B1230" s="27" t="s">
        <v>1255</v>
      </c>
      <c r="D1230" s="28" t="s">
        <v>3368</v>
      </c>
      <c r="E1230" s="29" t="s">
        <v>563</v>
      </c>
      <c r="F1230" s="30">
        <v>1</v>
      </c>
      <c r="G1230" s="31">
        <v>204.93</v>
      </c>
      <c r="H1230" s="31">
        <f t="shared" si="134"/>
        <v>204.93</v>
      </c>
      <c r="I1230" s="170" t="s">
        <v>2842</v>
      </c>
      <c r="J1230" t="s">
        <v>2853</v>
      </c>
      <c r="K1230" s="188" t="s">
        <v>2853</v>
      </c>
    </row>
    <row r="1231" spans="1:11" x14ac:dyDescent="0.25">
      <c r="A1231" t="s">
        <v>5801</v>
      </c>
      <c r="B1231" s="27" t="s">
        <v>1256</v>
      </c>
      <c r="D1231" s="28" t="s">
        <v>3369</v>
      </c>
      <c r="E1231" s="29" t="s">
        <v>563</v>
      </c>
      <c r="F1231" s="30">
        <v>1</v>
      </c>
      <c r="G1231" s="31">
        <v>204.93</v>
      </c>
      <c r="H1231" s="31">
        <f t="shared" si="134"/>
        <v>204.93</v>
      </c>
      <c r="I1231" s="170" t="s">
        <v>2842</v>
      </c>
      <c r="J1231" t="s">
        <v>2853</v>
      </c>
      <c r="K1231" s="188" t="s">
        <v>2853</v>
      </c>
    </row>
    <row r="1232" spans="1:11" x14ac:dyDescent="0.25">
      <c r="A1232" t="s">
        <v>5802</v>
      </c>
      <c r="B1232" s="27" t="s">
        <v>1257</v>
      </c>
      <c r="D1232" s="28" t="s">
        <v>3370</v>
      </c>
      <c r="E1232" s="29" t="s">
        <v>671</v>
      </c>
      <c r="F1232" s="30">
        <v>1</v>
      </c>
      <c r="G1232" s="31">
        <v>204.93</v>
      </c>
      <c r="H1232" s="31">
        <f t="shared" si="134"/>
        <v>204.93</v>
      </c>
      <c r="I1232" s="170" t="s">
        <v>2842</v>
      </c>
      <c r="J1232" t="s">
        <v>2853</v>
      </c>
      <c r="K1232" s="188" t="s">
        <v>2853</v>
      </c>
    </row>
    <row r="1233" spans="1:11" x14ac:dyDescent="0.25">
      <c r="A1233" t="s">
        <v>5803</v>
      </c>
      <c r="B1233" s="27" t="s">
        <v>1258</v>
      </c>
      <c r="D1233" s="28" t="s">
        <v>3371</v>
      </c>
      <c r="E1233" s="29" t="s">
        <v>671</v>
      </c>
      <c r="F1233" s="30">
        <v>1</v>
      </c>
      <c r="G1233" s="31">
        <v>204.93</v>
      </c>
      <c r="H1233" s="31">
        <f t="shared" si="134"/>
        <v>204.93</v>
      </c>
      <c r="I1233" s="170" t="s">
        <v>2842</v>
      </c>
      <c r="J1233" t="s">
        <v>2853</v>
      </c>
      <c r="K1233" s="188" t="s">
        <v>2853</v>
      </c>
    </row>
    <row r="1234" spans="1:11" x14ac:dyDescent="0.25">
      <c r="A1234" t="s">
        <v>5804</v>
      </c>
      <c r="B1234" s="27" t="s">
        <v>1259</v>
      </c>
      <c r="D1234" s="28" t="s">
        <v>3372</v>
      </c>
      <c r="E1234" s="29" t="s">
        <v>671</v>
      </c>
      <c r="F1234" s="30">
        <v>1</v>
      </c>
      <c r="G1234" s="31">
        <v>204.93</v>
      </c>
      <c r="H1234" s="31">
        <f t="shared" si="134"/>
        <v>204.93</v>
      </c>
      <c r="I1234" s="170" t="s">
        <v>2842</v>
      </c>
      <c r="J1234" t="s">
        <v>2853</v>
      </c>
      <c r="K1234" s="188" t="s">
        <v>2853</v>
      </c>
    </row>
    <row r="1235" spans="1:11" x14ac:dyDescent="0.25">
      <c r="A1235" t="s">
        <v>5805</v>
      </c>
      <c r="B1235" s="27" t="s">
        <v>1260</v>
      </c>
      <c r="D1235" s="28" t="s">
        <v>3373</v>
      </c>
      <c r="E1235" s="29" t="s">
        <v>21</v>
      </c>
      <c r="F1235" s="30">
        <v>1</v>
      </c>
      <c r="G1235" s="31">
        <v>224.78</v>
      </c>
      <c r="H1235" s="31">
        <f t="shared" si="134"/>
        <v>224.78</v>
      </c>
      <c r="I1235" s="170" t="s">
        <v>2842</v>
      </c>
      <c r="J1235" t="s">
        <v>2853</v>
      </c>
      <c r="K1235" s="188" t="s">
        <v>2853</v>
      </c>
    </row>
    <row r="1236" spans="1:11" x14ac:dyDescent="0.25">
      <c r="A1236" t="s">
        <v>5806</v>
      </c>
      <c r="B1236" s="27" t="s">
        <v>1261</v>
      </c>
      <c r="D1236" s="28" t="s">
        <v>3374</v>
      </c>
      <c r="E1236" s="29" t="s">
        <v>21</v>
      </c>
      <c r="F1236" s="30">
        <v>1</v>
      </c>
      <c r="G1236" s="31">
        <v>224.78</v>
      </c>
      <c r="H1236" s="31">
        <f t="shared" si="134"/>
        <v>224.78</v>
      </c>
      <c r="I1236" s="170" t="s">
        <v>2842</v>
      </c>
      <c r="J1236" t="s">
        <v>2853</v>
      </c>
      <c r="K1236" s="188" t="s">
        <v>2853</v>
      </c>
    </row>
    <row r="1237" spans="1:11" x14ac:dyDescent="0.25">
      <c r="A1237" t="s">
        <v>5807</v>
      </c>
      <c r="B1237" s="27" t="s">
        <v>1262</v>
      </c>
      <c r="D1237" s="28" t="s">
        <v>3375</v>
      </c>
      <c r="E1237" s="29" t="s">
        <v>21</v>
      </c>
      <c r="F1237" s="30">
        <v>1</v>
      </c>
      <c r="G1237" s="31">
        <v>224.78</v>
      </c>
      <c r="H1237" s="31">
        <f t="shared" si="134"/>
        <v>224.78</v>
      </c>
      <c r="I1237" s="170" t="s">
        <v>2842</v>
      </c>
      <c r="J1237" t="s">
        <v>2853</v>
      </c>
      <c r="K1237" s="188" t="s">
        <v>2853</v>
      </c>
    </row>
    <row r="1238" spans="1:11" x14ac:dyDescent="0.25">
      <c r="A1238" t="s">
        <v>5808</v>
      </c>
      <c r="B1238" s="27" t="s">
        <v>1263</v>
      </c>
      <c r="D1238" s="28" t="s">
        <v>3376</v>
      </c>
      <c r="E1238" s="29" t="s">
        <v>563</v>
      </c>
      <c r="F1238" s="30">
        <v>1</v>
      </c>
      <c r="G1238" s="31">
        <v>224.78</v>
      </c>
      <c r="H1238" s="31">
        <f t="shared" si="134"/>
        <v>224.78</v>
      </c>
      <c r="I1238" s="170" t="s">
        <v>2842</v>
      </c>
      <c r="J1238" t="s">
        <v>2853</v>
      </c>
      <c r="K1238" s="188" t="s">
        <v>2853</v>
      </c>
    </row>
    <row r="1239" spans="1:11" x14ac:dyDescent="0.25">
      <c r="A1239" t="s">
        <v>5809</v>
      </c>
      <c r="B1239" s="27" t="s">
        <v>1264</v>
      </c>
      <c r="D1239" s="28" t="s">
        <v>3377</v>
      </c>
      <c r="E1239" s="29" t="s">
        <v>563</v>
      </c>
      <c r="F1239" s="30">
        <v>1</v>
      </c>
      <c r="G1239" s="31">
        <v>224.78</v>
      </c>
      <c r="H1239" s="31">
        <f t="shared" si="134"/>
        <v>224.78</v>
      </c>
      <c r="I1239" s="170" t="s">
        <v>2842</v>
      </c>
      <c r="J1239" t="s">
        <v>2853</v>
      </c>
      <c r="K1239" s="188" t="s">
        <v>2853</v>
      </c>
    </row>
    <row r="1240" spans="1:11" x14ac:dyDescent="0.25">
      <c r="A1240" t="s">
        <v>5810</v>
      </c>
      <c r="B1240" s="27" t="s">
        <v>1265</v>
      </c>
      <c r="D1240" s="28" t="s">
        <v>3378</v>
      </c>
      <c r="E1240" s="29" t="s">
        <v>563</v>
      </c>
      <c r="F1240" s="30">
        <v>1</v>
      </c>
      <c r="G1240" s="31">
        <v>224.78</v>
      </c>
      <c r="H1240" s="31">
        <f t="shared" si="134"/>
        <v>224.78</v>
      </c>
      <c r="I1240" s="170" t="s">
        <v>2842</v>
      </c>
      <c r="J1240" t="s">
        <v>2853</v>
      </c>
      <c r="K1240" s="188" t="s">
        <v>2853</v>
      </c>
    </row>
    <row r="1241" spans="1:11" x14ac:dyDescent="0.25">
      <c r="A1241" t="s">
        <v>5811</v>
      </c>
      <c r="B1241" s="27" t="s">
        <v>1266</v>
      </c>
      <c r="D1241" s="28" t="s">
        <v>3379</v>
      </c>
      <c r="E1241" s="29" t="s">
        <v>671</v>
      </c>
      <c r="F1241" s="30">
        <v>1</v>
      </c>
      <c r="G1241" s="31">
        <v>224.78</v>
      </c>
      <c r="H1241" s="31">
        <f t="shared" si="134"/>
        <v>224.78</v>
      </c>
      <c r="I1241" s="170" t="s">
        <v>2842</v>
      </c>
      <c r="J1241" t="s">
        <v>2853</v>
      </c>
      <c r="K1241" s="188" t="s">
        <v>2853</v>
      </c>
    </row>
    <row r="1242" spans="1:11" x14ac:dyDescent="0.25">
      <c r="A1242" t="s">
        <v>5812</v>
      </c>
      <c r="B1242" s="27" t="s">
        <v>1267</v>
      </c>
      <c r="D1242" s="28" t="s">
        <v>3380</v>
      </c>
      <c r="E1242" s="29" t="s">
        <v>671</v>
      </c>
      <c r="F1242" s="30">
        <v>1</v>
      </c>
      <c r="G1242" s="31">
        <v>224.78</v>
      </c>
      <c r="H1242" s="31">
        <f t="shared" si="134"/>
        <v>224.78</v>
      </c>
      <c r="I1242" s="170" t="s">
        <v>2842</v>
      </c>
      <c r="J1242" t="s">
        <v>2853</v>
      </c>
      <c r="K1242" s="188" t="s">
        <v>2853</v>
      </c>
    </row>
    <row r="1243" spans="1:11" x14ac:dyDescent="0.25">
      <c r="A1243" t="s">
        <v>5813</v>
      </c>
      <c r="B1243" s="27" t="s">
        <v>1268</v>
      </c>
      <c r="D1243" s="28" t="s">
        <v>3381</v>
      </c>
      <c r="E1243" s="29" t="s">
        <v>671</v>
      </c>
      <c r="F1243" s="30">
        <v>1</v>
      </c>
      <c r="G1243" s="31">
        <v>224.78</v>
      </c>
      <c r="H1243" s="31">
        <f t="shared" si="134"/>
        <v>224.78</v>
      </c>
      <c r="I1243" s="170" t="s">
        <v>2842</v>
      </c>
      <c r="J1243" t="s">
        <v>2853</v>
      </c>
      <c r="K1243" s="188" t="s">
        <v>2853</v>
      </c>
    </row>
    <row r="1244" spans="1:11" x14ac:dyDescent="0.25">
      <c r="A1244" t="s">
        <v>5814</v>
      </c>
      <c r="B1244" s="27" t="s">
        <v>1269</v>
      </c>
      <c r="D1244" s="28" t="s">
        <v>3382</v>
      </c>
      <c r="E1244" s="29" t="s">
        <v>21</v>
      </c>
      <c r="F1244" s="30">
        <v>1</v>
      </c>
      <c r="G1244" s="31">
        <v>257.83</v>
      </c>
      <c r="H1244" s="31">
        <f t="shared" si="134"/>
        <v>257.83</v>
      </c>
      <c r="I1244" s="170" t="s">
        <v>2842</v>
      </c>
      <c r="J1244" t="s">
        <v>2853</v>
      </c>
      <c r="K1244" s="188" t="s">
        <v>2853</v>
      </c>
    </row>
    <row r="1245" spans="1:11" x14ac:dyDescent="0.25">
      <c r="A1245" t="s">
        <v>5815</v>
      </c>
      <c r="B1245" s="27" t="s">
        <v>1270</v>
      </c>
      <c r="D1245" s="28" t="s">
        <v>3383</v>
      </c>
      <c r="E1245" s="29" t="s">
        <v>21</v>
      </c>
      <c r="F1245" s="30">
        <v>1</v>
      </c>
      <c r="G1245" s="31">
        <v>257.83</v>
      </c>
      <c r="H1245" s="31">
        <f t="shared" si="134"/>
        <v>257.83</v>
      </c>
      <c r="I1245" s="170" t="s">
        <v>2842</v>
      </c>
      <c r="J1245" t="s">
        <v>2853</v>
      </c>
      <c r="K1245" s="188" t="s">
        <v>2853</v>
      </c>
    </row>
    <row r="1246" spans="1:11" x14ac:dyDescent="0.25">
      <c r="A1246" t="s">
        <v>5816</v>
      </c>
      <c r="B1246" s="27" t="s">
        <v>1271</v>
      </c>
      <c r="D1246" s="28" t="s">
        <v>3384</v>
      </c>
      <c r="E1246" s="29" t="s">
        <v>21</v>
      </c>
      <c r="F1246" s="30">
        <v>1</v>
      </c>
      <c r="G1246" s="31">
        <v>257.83</v>
      </c>
      <c r="H1246" s="31">
        <f t="shared" si="134"/>
        <v>257.83</v>
      </c>
      <c r="I1246" s="170" t="s">
        <v>2842</v>
      </c>
      <c r="J1246" t="s">
        <v>2853</v>
      </c>
      <c r="K1246" s="188" t="s">
        <v>2853</v>
      </c>
    </row>
    <row r="1247" spans="1:11" x14ac:dyDescent="0.25">
      <c r="A1247" t="s">
        <v>5817</v>
      </c>
      <c r="B1247" s="27" t="s">
        <v>1272</v>
      </c>
      <c r="D1247" s="28" t="s">
        <v>3385</v>
      </c>
      <c r="E1247" s="29" t="s">
        <v>563</v>
      </c>
      <c r="F1247" s="30">
        <v>1</v>
      </c>
      <c r="G1247" s="31">
        <v>257.83</v>
      </c>
      <c r="H1247" s="31">
        <f t="shared" si="134"/>
        <v>257.83</v>
      </c>
      <c r="I1247" s="170" t="s">
        <v>2842</v>
      </c>
      <c r="J1247" t="s">
        <v>2853</v>
      </c>
      <c r="K1247" s="188" t="s">
        <v>2853</v>
      </c>
    </row>
    <row r="1248" spans="1:11" x14ac:dyDescent="0.25">
      <c r="A1248" t="s">
        <v>5818</v>
      </c>
      <c r="B1248" s="27" t="s">
        <v>1273</v>
      </c>
      <c r="D1248" s="28" t="s">
        <v>3386</v>
      </c>
      <c r="E1248" s="29" t="s">
        <v>563</v>
      </c>
      <c r="F1248" s="30">
        <v>1</v>
      </c>
      <c r="G1248" s="31">
        <v>257.83</v>
      </c>
      <c r="H1248" s="31">
        <f t="shared" ref="H1248:H1311" si="135">+F1248*G1248</f>
        <v>257.83</v>
      </c>
      <c r="I1248" s="170" t="s">
        <v>2842</v>
      </c>
      <c r="J1248" t="s">
        <v>2853</v>
      </c>
      <c r="K1248" s="188" t="s">
        <v>2853</v>
      </c>
    </row>
    <row r="1249" spans="1:11" x14ac:dyDescent="0.25">
      <c r="A1249" t="s">
        <v>5819</v>
      </c>
      <c r="B1249" s="27" t="s">
        <v>1274</v>
      </c>
      <c r="D1249" s="28" t="s">
        <v>3387</v>
      </c>
      <c r="E1249" s="29" t="s">
        <v>563</v>
      </c>
      <c r="F1249" s="30">
        <v>1</v>
      </c>
      <c r="G1249" s="31">
        <v>257.83</v>
      </c>
      <c r="H1249" s="31">
        <f t="shared" si="135"/>
        <v>257.83</v>
      </c>
      <c r="I1249" s="170" t="s">
        <v>2842</v>
      </c>
      <c r="J1249" t="s">
        <v>2853</v>
      </c>
      <c r="K1249" s="188" t="s">
        <v>2853</v>
      </c>
    </row>
    <row r="1250" spans="1:11" x14ac:dyDescent="0.25">
      <c r="A1250" t="s">
        <v>5820</v>
      </c>
      <c r="B1250" s="27" t="s">
        <v>1275</v>
      </c>
      <c r="D1250" s="28" t="s">
        <v>3388</v>
      </c>
      <c r="E1250" s="29" t="s">
        <v>671</v>
      </c>
      <c r="F1250" s="30">
        <v>1</v>
      </c>
      <c r="G1250" s="31">
        <v>257.83</v>
      </c>
      <c r="H1250" s="31">
        <f t="shared" si="135"/>
        <v>257.83</v>
      </c>
      <c r="I1250" s="170" t="s">
        <v>2842</v>
      </c>
      <c r="J1250" t="s">
        <v>2853</v>
      </c>
      <c r="K1250" s="188" t="s">
        <v>2853</v>
      </c>
    </row>
    <row r="1251" spans="1:11" x14ac:dyDescent="0.25">
      <c r="A1251" t="s">
        <v>5821</v>
      </c>
      <c r="B1251" s="27" t="s">
        <v>1276</v>
      </c>
      <c r="D1251" s="28" t="s">
        <v>3389</v>
      </c>
      <c r="E1251" s="29" t="s">
        <v>671</v>
      </c>
      <c r="F1251" s="30">
        <v>1</v>
      </c>
      <c r="G1251" s="31">
        <v>257.83</v>
      </c>
      <c r="H1251" s="31">
        <f t="shared" si="135"/>
        <v>257.83</v>
      </c>
      <c r="I1251" s="170" t="s">
        <v>2842</v>
      </c>
      <c r="J1251" t="s">
        <v>2853</v>
      </c>
      <c r="K1251" s="188" t="s">
        <v>2853</v>
      </c>
    </row>
    <row r="1252" spans="1:11" x14ac:dyDescent="0.25">
      <c r="A1252" t="s">
        <v>5822</v>
      </c>
      <c r="B1252" s="27" t="s">
        <v>1277</v>
      </c>
      <c r="D1252" s="28" t="s">
        <v>3390</v>
      </c>
      <c r="E1252" s="29" t="s">
        <v>671</v>
      </c>
      <c r="F1252" s="30">
        <v>1</v>
      </c>
      <c r="G1252" s="31">
        <v>257.83</v>
      </c>
      <c r="H1252" s="31">
        <f t="shared" si="135"/>
        <v>257.83</v>
      </c>
      <c r="I1252" s="170" t="s">
        <v>2842</v>
      </c>
      <c r="J1252" t="s">
        <v>2853</v>
      </c>
      <c r="K1252" s="188" t="s">
        <v>2853</v>
      </c>
    </row>
    <row r="1253" spans="1:11" x14ac:dyDescent="0.25">
      <c r="A1253" t="s">
        <v>5823</v>
      </c>
      <c r="B1253" s="27" t="s">
        <v>1278</v>
      </c>
      <c r="D1253" s="28" t="s">
        <v>3391</v>
      </c>
      <c r="E1253" s="29" t="s">
        <v>21</v>
      </c>
      <c r="F1253" s="30">
        <v>1</v>
      </c>
      <c r="G1253" s="31">
        <v>284.26</v>
      </c>
      <c r="H1253" s="31">
        <f t="shared" si="135"/>
        <v>284.26</v>
      </c>
      <c r="I1253" s="170" t="s">
        <v>2842</v>
      </c>
      <c r="J1253" t="s">
        <v>2853</v>
      </c>
      <c r="K1253" s="188" t="s">
        <v>2853</v>
      </c>
    </row>
    <row r="1254" spans="1:11" x14ac:dyDescent="0.25">
      <c r="A1254" t="s">
        <v>5824</v>
      </c>
      <c r="B1254" s="27" t="s">
        <v>1279</v>
      </c>
      <c r="D1254" s="28" t="s">
        <v>3392</v>
      </c>
      <c r="E1254" s="29" t="s">
        <v>21</v>
      </c>
      <c r="F1254" s="30">
        <v>1</v>
      </c>
      <c r="G1254" s="31">
        <v>284.26</v>
      </c>
      <c r="H1254" s="31">
        <f t="shared" si="135"/>
        <v>284.26</v>
      </c>
      <c r="I1254" s="170" t="s">
        <v>2842</v>
      </c>
      <c r="J1254" t="s">
        <v>2853</v>
      </c>
      <c r="K1254" s="188" t="s">
        <v>2853</v>
      </c>
    </row>
    <row r="1255" spans="1:11" x14ac:dyDescent="0.25">
      <c r="A1255" t="s">
        <v>5825</v>
      </c>
      <c r="B1255" s="27" t="s">
        <v>1280</v>
      </c>
      <c r="D1255" s="28" t="s">
        <v>3393</v>
      </c>
      <c r="E1255" s="29" t="s">
        <v>21</v>
      </c>
      <c r="F1255" s="30">
        <v>1</v>
      </c>
      <c r="G1255" s="31">
        <v>284.26</v>
      </c>
      <c r="H1255" s="31">
        <f t="shared" si="135"/>
        <v>284.26</v>
      </c>
      <c r="I1255" s="170" t="s">
        <v>2842</v>
      </c>
      <c r="J1255" t="s">
        <v>2853</v>
      </c>
      <c r="K1255" s="188" t="s">
        <v>2853</v>
      </c>
    </row>
    <row r="1256" spans="1:11" x14ac:dyDescent="0.25">
      <c r="A1256" t="s">
        <v>5826</v>
      </c>
      <c r="B1256" s="27" t="s">
        <v>1281</v>
      </c>
      <c r="D1256" s="28" t="s">
        <v>3394</v>
      </c>
      <c r="E1256" s="29" t="s">
        <v>563</v>
      </c>
      <c r="F1256" s="30">
        <v>1</v>
      </c>
      <c r="G1256" s="31">
        <v>284.26</v>
      </c>
      <c r="H1256" s="31">
        <f t="shared" si="135"/>
        <v>284.26</v>
      </c>
      <c r="I1256" s="170" t="s">
        <v>2842</v>
      </c>
      <c r="J1256" t="s">
        <v>2853</v>
      </c>
      <c r="K1256" s="188" t="s">
        <v>2853</v>
      </c>
    </row>
    <row r="1257" spans="1:11" x14ac:dyDescent="0.25">
      <c r="A1257" t="s">
        <v>5827</v>
      </c>
      <c r="B1257" s="27" t="s">
        <v>1282</v>
      </c>
      <c r="D1257" s="28" t="s">
        <v>3395</v>
      </c>
      <c r="E1257" s="29" t="s">
        <v>563</v>
      </c>
      <c r="F1257" s="30">
        <v>1</v>
      </c>
      <c r="G1257" s="31">
        <v>284.26</v>
      </c>
      <c r="H1257" s="31">
        <f t="shared" si="135"/>
        <v>284.26</v>
      </c>
      <c r="I1257" s="170" t="s">
        <v>2842</v>
      </c>
      <c r="J1257" t="s">
        <v>2853</v>
      </c>
      <c r="K1257" s="188" t="s">
        <v>2853</v>
      </c>
    </row>
    <row r="1258" spans="1:11" x14ac:dyDescent="0.25">
      <c r="A1258" t="s">
        <v>5828</v>
      </c>
      <c r="B1258" s="27" t="s">
        <v>1283</v>
      </c>
      <c r="D1258" s="28" t="s">
        <v>3396</v>
      </c>
      <c r="E1258" s="29" t="s">
        <v>563</v>
      </c>
      <c r="F1258" s="30">
        <v>1</v>
      </c>
      <c r="G1258" s="31">
        <v>284.26</v>
      </c>
      <c r="H1258" s="31">
        <f t="shared" si="135"/>
        <v>284.26</v>
      </c>
      <c r="I1258" s="170" t="s">
        <v>2842</v>
      </c>
      <c r="J1258" t="s">
        <v>2853</v>
      </c>
      <c r="K1258" s="188" t="s">
        <v>2853</v>
      </c>
    </row>
    <row r="1259" spans="1:11" x14ac:dyDescent="0.25">
      <c r="A1259" t="s">
        <v>5829</v>
      </c>
      <c r="B1259" s="27" t="s">
        <v>1284</v>
      </c>
      <c r="D1259" s="28" t="s">
        <v>3397</v>
      </c>
      <c r="E1259" s="29" t="s">
        <v>671</v>
      </c>
      <c r="F1259" s="30">
        <v>1</v>
      </c>
      <c r="G1259" s="31">
        <v>284.26</v>
      </c>
      <c r="H1259" s="31">
        <f t="shared" si="135"/>
        <v>284.26</v>
      </c>
      <c r="I1259" s="170" t="s">
        <v>2842</v>
      </c>
      <c r="J1259" t="s">
        <v>2853</v>
      </c>
      <c r="K1259" s="188" t="s">
        <v>2853</v>
      </c>
    </row>
    <row r="1260" spans="1:11" x14ac:dyDescent="0.25">
      <c r="A1260" t="s">
        <v>5830</v>
      </c>
      <c r="B1260" s="27" t="s">
        <v>1285</v>
      </c>
      <c r="D1260" s="28" t="s">
        <v>3398</v>
      </c>
      <c r="E1260" s="29" t="s">
        <v>671</v>
      </c>
      <c r="F1260" s="30">
        <v>1</v>
      </c>
      <c r="G1260" s="31">
        <v>284.26</v>
      </c>
      <c r="H1260" s="31">
        <f t="shared" si="135"/>
        <v>284.26</v>
      </c>
      <c r="I1260" s="170" t="s">
        <v>2842</v>
      </c>
      <c r="J1260" t="s">
        <v>2853</v>
      </c>
      <c r="K1260" s="188" t="s">
        <v>2853</v>
      </c>
    </row>
    <row r="1261" spans="1:11" x14ac:dyDescent="0.25">
      <c r="A1261" t="s">
        <v>5831</v>
      </c>
      <c r="B1261" s="27" t="s">
        <v>1286</v>
      </c>
      <c r="D1261" s="28" t="s">
        <v>3399</v>
      </c>
      <c r="E1261" s="29" t="s">
        <v>671</v>
      </c>
      <c r="F1261" s="30">
        <v>1</v>
      </c>
      <c r="G1261" s="31">
        <v>284.26</v>
      </c>
      <c r="H1261" s="31">
        <f t="shared" si="135"/>
        <v>284.26</v>
      </c>
      <c r="I1261" s="170" t="s">
        <v>2842</v>
      </c>
      <c r="J1261" t="s">
        <v>2853</v>
      </c>
      <c r="K1261" s="188" t="s">
        <v>2853</v>
      </c>
    </row>
    <row r="1262" spans="1:11" x14ac:dyDescent="0.25">
      <c r="A1262" t="s">
        <v>5832</v>
      </c>
      <c r="B1262" s="27" t="s">
        <v>1287</v>
      </c>
      <c r="D1262" s="28" t="s">
        <v>3400</v>
      </c>
      <c r="E1262" s="29" t="s">
        <v>21</v>
      </c>
      <c r="F1262" s="30">
        <v>1</v>
      </c>
      <c r="G1262" s="31">
        <v>152.04</v>
      </c>
      <c r="H1262" s="31">
        <f t="shared" si="135"/>
        <v>152.04</v>
      </c>
      <c r="I1262" s="170" t="s">
        <v>2842</v>
      </c>
      <c r="J1262" t="s">
        <v>2853</v>
      </c>
      <c r="K1262" s="188" t="s">
        <v>2853</v>
      </c>
    </row>
    <row r="1263" spans="1:11" x14ac:dyDescent="0.25">
      <c r="A1263" t="s">
        <v>5833</v>
      </c>
      <c r="B1263" s="27" t="s">
        <v>1288</v>
      </c>
      <c r="D1263" s="28" t="s">
        <v>3401</v>
      </c>
      <c r="E1263" s="29" t="s">
        <v>21</v>
      </c>
      <c r="F1263" s="30">
        <v>1</v>
      </c>
      <c r="G1263" s="31">
        <v>152.04</v>
      </c>
      <c r="H1263" s="31">
        <f t="shared" si="135"/>
        <v>152.04</v>
      </c>
      <c r="I1263" s="170" t="s">
        <v>2842</v>
      </c>
      <c r="J1263" t="s">
        <v>2853</v>
      </c>
      <c r="K1263" s="188" t="s">
        <v>2853</v>
      </c>
    </row>
    <row r="1264" spans="1:11" x14ac:dyDescent="0.25">
      <c r="A1264" t="s">
        <v>5834</v>
      </c>
      <c r="B1264" s="27" t="s">
        <v>1289</v>
      </c>
      <c r="D1264" s="28" t="s">
        <v>3402</v>
      </c>
      <c r="E1264" s="29" t="s">
        <v>21</v>
      </c>
      <c r="F1264" s="30">
        <v>1</v>
      </c>
      <c r="G1264" s="31">
        <v>152.04</v>
      </c>
      <c r="H1264" s="31">
        <f t="shared" si="135"/>
        <v>152.04</v>
      </c>
      <c r="I1264" s="170" t="s">
        <v>2842</v>
      </c>
      <c r="J1264" t="s">
        <v>2853</v>
      </c>
      <c r="K1264" s="188" t="s">
        <v>2853</v>
      </c>
    </row>
    <row r="1265" spans="1:11" x14ac:dyDescent="0.25">
      <c r="A1265" t="s">
        <v>5835</v>
      </c>
      <c r="B1265" s="27" t="s">
        <v>1290</v>
      </c>
      <c r="D1265" s="28" t="s">
        <v>3403</v>
      </c>
      <c r="E1265" s="29" t="s">
        <v>563</v>
      </c>
      <c r="F1265" s="30">
        <v>1</v>
      </c>
      <c r="G1265" s="31">
        <v>152.04</v>
      </c>
      <c r="H1265" s="31">
        <f t="shared" si="135"/>
        <v>152.04</v>
      </c>
      <c r="I1265" s="170" t="s">
        <v>2842</v>
      </c>
      <c r="J1265" t="s">
        <v>2853</v>
      </c>
      <c r="K1265" s="188" t="s">
        <v>2853</v>
      </c>
    </row>
    <row r="1266" spans="1:11" x14ac:dyDescent="0.25">
      <c r="A1266" t="s">
        <v>5836</v>
      </c>
      <c r="B1266" s="27" t="s">
        <v>1291</v>
      </c>
      <c r="D1266" s="28" t="s">
        <v>3404</v>
      </c>
      <c r="E1266" s="29" t="s">
        <v>563</v>
      </c>
      <c r="F1266" s="30">
        <v>1</v>
      </c>
      <c r="G1266" s="31">
        <v>152.04</v>
      </c>
      <c r="H1266" s="31">
        <f t="shared" si="135"/>
        <v>152.04</v>
      </c>
      <c r="I1266" s="170" t="s">
        <v>2842</v>
      </c>
      <c r="J1266" t="s">
        <v>2853</v>
      </c>
      <c r="K1266" s="188" t="s">
        <v>2853</v>
      </c>
    </row>
    <row r="1267" spans="1:11" x14ac:dyDescent="0.25">
      <c r="A1267" t="s">
        <v>5837</v>
      </c>
      <c r="B1267" s="27" t="s">
        <v>1292</v>
      </c>
      <c r="D1267" s="28" t="s">
        <v>3405</v>
      </c>
      <c r="E1267" s="29" t="s">
        <v>563</v>
      </c>
      <c r="F1267" s="30">
        <v>1</v>
      </c>
      <c r="G1267" s="31">
        <v>152.04</v>
      </c>
      <c r="H1267" s="31">
        <f t="shared" si="135"/>
        <v>152.04</v>
      </c>
      <c r="I1267" s="170" t="s">
        <v>2842</v>
      </c>
      <c r="J1267" t="s">
        <v>2853</v>
      </c>
      <c r="K1267" s="188" t="s">
        <v>2853</v>
      </c>
    </row>
    <row r="1268" spans="1:11" x14ac:dyDescent="0.25">
      <c r="A1268" t="s">
        <v>5838</v>
      </c>
      <c r="B1268" s="27" t="s">
        <v>1293</v>
      </c>
      <c r="D1268" s="28" t="s">
        <v>3406</v>
      </c>
      <c r="E1268" s="29" t="s">
        <v>671</v>
      </c>
      <c r="F1268" s="30">
        <v>1</v>
      </c>
      <c r="G1268" s="31">
        <v>152.04</v>
      </c>
      <c r="H1268" s="31">
        <f t="shared" si="135"/>
        <v>152.04</v>
      </c>
      <c r="I1268" s="170" t="s">
        <v>2842</v>
      </c>
      <c r="J1268" t="s">
        <v>2853</v>
      </c>
      <c r="K1268" s="188" t="s">
        <v>2853</v>
      </c>
    </row>
    <row r="1269" spans="1:11" x14ac:dyDescent="0.25">
      <c r="A1269" t="s">
        <v>5839</v>
      </c>
      <c r="B1269" s="27" t="s">
        <v>1294</v>
      </c>
      <c r="D1269" s="28" t="s">
        <v>3407</v>
      </c>
      <c r="E1269" s="29" t="s">
        <v>671</v>
      </c>
      <c r="F1269" s="30">
        <v>1</v>
      </c>
      <c r="G1269" s="31">
        <v>152.04</v>
      </c>
      <c r="H1269" s="31">
        <f t="shared" si="135"/>
        <v>152.04</v>
      </c>
      <c r="I1269" s="170" t="s">
        <v>2842</v>
      </c>
      <c r="J1269" t="s">
        <v>2853</v>
      </c>
      <c r="K1269" s="188" t="s">
        <v>2853</v>
      </c>
    </row>
    <row r="1270" spans="1:11" x14ac:dyDescent="0.25">
      <c r="A1270" t="s">
        <v>5840</v>
      </c>
      <c r="B1270" s="27" t="s">
        <v>1295</v>
      </c>
      <c r="D1270" s="28" t="s">
        <v>3408</v>
      </c>
      <c r="E1270" s="29" t="s">
        <v>671</v>
      </c>
      <c r="F1270" s="30">
        <v>1</v>
      </c>
      <c r="G1270" s="31">
        <v>152.04</v>
      </c>
      <c r="H1270" s="31">
        <f t="shared" si="135"/>
        <v>152.04</v>
      </c>
      <c r="I1270" s="170" t="s">
        <v>2842</v>
      </c>
      <c r="J1270" t="s">
        <v>2853</v>
      </c>
      <c r="K1270" s="188" t="s">
        <v>2853</v>
      </c>
    </row>
    <row r="1271" spans="1:11" x14ac:dyDescent="0.25">
      <c r="A1271" t="s">
        <v>5841</v>
      </c>
      <c r="B1271" s="27" t="s">
        <v>1296</v>
      </c>
      <c r="D1271" s="28" t="s">
        <v>3409</v>
      </c>
      <c r="E1271" s="29" t="s">
        <v>21</v>
      </c>
      <c r="F1271" s="30">
        <v>1</v>
      </c>
      <c r="G1271" s="31">
        <v>171.89</v>
      </c>
      <c r="H1271" s="31">
        <f t="shared" si="135"/>
        <v>171.89</v>
      </c>
      <c r="I1271" s="170" t="s">
        <v>2842</v>
      </c>
      <c r="J1271" t="s">
        <v>2853</v>
      </c>
      <c r="K1271" s="188" t="s">
        <v>2853</v>
      </c>
    </row>
    <row r="1272" spans="1:11" x14ac:dyDescent="0.25">
      <c r="A1272" t="s">
        <v>5842</v>
      </c>
      <c r="B1272" s="27" t="s">
        <v>1297</v>
      </c>
      <c r="D1272" s="28" t="s">
        <v>3410</v>
      </c>
      <c r="E1272" s="29" t="s">
        <v>21</v>
      </c>
      <c r="F1272" s="30">
        <v>1</v>
      </c>
      <c r="G1272" s="31">
        <v>171.89</v>
      </c>
      <c r="H1272" s="31">
        <f t="shared" si="135"/>
        <v>171.89</v>
      </c>
      <c r="I1272" s="170" t="s">
        <v>2842</v>
      </c>
      <c r="J1272" t="s">
        <v>2853</v>
      </c>
      <c r="K1272" s="188" t="s">
        <v>2853</v>
      </c>
    </row>
    <row r="1273" spans="1:11" x14ac:dyDescent="0.25">
      <c r="A1273" t="s">
        <v>5843</v>
      </c>
      <c r="B1273" s="27" t="s">
        <v>1298</v>
      </c>
      <c r="D1273" s="28" t="s">
        <v>3411</v>
      </c>
      <c r="E1273" s="29" t="s">
        <v>21</v>
      </c>
      <c r="F1273" s="30">
        <v>1</v>
      </c>
      <c r="G1273" s="31">
        <v>171.89</v>
      </c>
      <c r="H1273" s="31">
        <f t="shared" si="135"/>
        <v>171.89</v>
      </c>
      <c r="I1273" s="170" t="s">
        <v>2842</v>
      </c>
      <c r="J1273" t="s">
        <v>2853</v>
      </c>
      <c r="K1273" s="188" t="s">
        <v>2853</v>
      </c>
    </row>
    <row r="1274" spans="1:11" x14ac:dyDescent="0.25">
      <c r="A1274" t="s">
        <v>5844</v>
      </c>
      <c r="B1274" s="27" t="s">
        <v>1299</v>
      </c>
      <c r="D1274" s="28" t="s">
        <v>3412</v>
      </c>
      <c r="E1274" s="29" t="s">
        <v>563</v>
      </c>
      <c r="F1274" s="30">
        <v>1</v>
      </c>
      <c r="G1274" s="31">
        <v>171.89</v>
      </c>
      <c r="H1274" s="31">
        <f t="shared" si="135"/>
        <v>171.89</v>
      </c>
      <c r="I1274" s="170" t="s">
        <v>2842</v>
      </c>
      <c r="J1274" t="s">
        <v>2853</v>
      </c>
      <c r="K1274" s="188" t="s">
        <v>2853</v>
      </c>
    </row>
    <row r="1275" spans="1:11" x14ac:dyDescent="0.25">
      <c r="A1275" t="s">
        <v>5845</v>
      </c>
      <c r="B1275" s="27" t="s">
        <v>1300</v>
      </c>
      <c r="D1275" s="28" t="s">
        <v>3413</v>
      </c>
      <c r="E1275" s="29" t="s">
        <v>563</v>
      </c>
      <c r="F1275" s="30">
        <v>1</v>
      </c>
      <c r="G1275" s="31">
        <v>171.89</v>
      </c>
      <c r="H1275" s="31">
        <f t="shared" si="135"/>
        <v>171.89</v>
      </c>
      <c r="I1275" s="170" t="s">
        <v>2842</v>
      </c>
      <c r="J1275" t="s">
        <v>2853</v>
      </c>
      <c r="K1275" s="188" t="s">
        <v>2853</v>
      </c>
    </row>
    <row r="1276" spans="1:11" x14ac:dyDescent="0.25">
      <c r="A1276" t="s">
        <v>5846</v>
      </c>
      <c r="B1276" s="27" t="s">
        <v>1301</v>
      </c>
      <c r="D1276" s="28" t="s">
        <v>3414</v>
      </c>
      <c r="E1276" s="29" t="s">
        <v>563</v>
      </c>
      <c r="F1276" s="30">
        <v>1</v>
      </c>
      <c r="G1276" s="31">
        <v>171.89</v>
      </c>
      <c r="H1276" s="31">
        <f t="shared" si="135"/>
        <v>171.89</v>
      </c>
      <c r="I1276" s="170" t="s">
        <v>2842</v>
      </c>
      <c r="J1276" t="s">
        <v>2853</v>
      </c>
      <c r="K1276" s="188" t="s">
        <v>2853</v>
      </c>
    </row>
    <row r="1277" spans="1:11" x14ac:dyDescent="0.25">
      <c r="A1277" t="s">
        <v>5847</v>
      </c>
      <c r="B1277" s="27" t="s">
        <v>1302</v>
      </c>
      <c r="D1277" s="28" t="s">
        <v>3415</v>
      </c>
      <c r="E1277" s="29" t="s">
        <v>671</v>
      </c>
      <c r="F1277" s="30">
        <v>1</v>
      </c>
      <c r="G1277" s="31">
        <v>171.89</v>
      </c>
      <c r="H1277" s="31">
        <f t="shared" si="135"/>
        <v>171.89</v>
      </c>
      <c r="I1277" s="170" t="s">
        <v>2842</v>
      </c>
      <c r="J1277" t="s">
        <v>2853</v>
      </c>
      <c r="K1277" s="188" t="s">
        <v>2853</v>
      </c>
    </row>
    <row r="1278" spans="1:11" x14ac:dyDescent="0.25">
      <c r="A1278" t="s">
        <v>5848</v>
      </c>
      <c r="B1278" s="27" t="s">
        <v>1303</v>
      </c>
      <c r="D1278" s="28" t="s">
        <v>3416</v>
      </c>
      <c r="E1278" s="29" t="s">
        <v>671</v>
      </c>
      <c r="F1278" s="30">
        <v>1</v>
      </c>
      <c r="G1278" s="31">
        <v>171.89</v>
      </c>
      <c r="H1278" s="31">
        <f t="shared" si="135"/>
        <v>171.89</v>
      </c>
      <c r="I1278" s="170" t="s">
        <v>2842</v>
      </c>
      <c r="J1278" t="s">
        <v>2853</v>
      </c>
      <c r="K1278" s="188" t="s">
        <v>2853</v>
      </c>
    </row>
    <row r="1279" spans="1:11" x14ac:dyDescent="0.25">
      <c r="A1279" t="s">
        <v>5849</v>
      </c>
      <c r="B1279" s="27" t="s">
        <v>1304</v>
      </c>
      <c r="D1279" s="28" t="s">
        <v>3417</v>
      </c>
      <c r="E1279" s="29" t="s">
        <v>671</v>
      </c>
      <c r="F1279" s="30">
        <v>1</v>
      </c>
      <c r="G1279" s="31">
        <v>171.89</v>
      </c>
      <c r="H1279" s="31">
        <f t="shared" si="135"/>
        <v>171.89</v>
      </c>
      <c r="I1279" s="170" t="s">
        <v>2842</v>
      </c>
      <c r="J1279" t="s">
        <v>2853</v>
      </c>
      <c r="K1279" s="188" t="s">
        <v>2853</v>
      </c>
    </row>
    <row r="1280" spans="1:11" x14ac:dyDescent="0.25">
      <c r="A1280" t="s">
        <v>5850</v>
      </c>
      <c r="B1280" s="27" t="s">
        <v>1305</v>
      </c>
      <c r="D1280" s="28" t="s">
        <v>3418</v>
      </c>
      <c r="E1280" s="29" t="s">
        <v>21</v>
      </c>
      <c r="F1280" s="30">
        <v>1</v>
      </c>
      <c r="G1280" s="31">
        <v>191.72</v>
      </c>
      <c r="H1280" s="31">
        <f t="shared" si="135"/>
        <v>191.72</v>
      </c>
      <c r="I1280" s="170" t="s">
        <v>2842</v>
      </c>
      <c r="J1280" t="s">
        <v>2853</v>
      </c>
      <c r="K1280" s="188" t="s">
        <v>2853</v>
      </c>
    </row>
    <row r="1281" spans="1:11" x14ac:dyDescent="0.25">
      <c r="A1281" t="s">
        <v>5851</v>
      </c>
      <c r="B1281" s="27" t="s">
        <v>1306</v>
      </c>
      <c r="D1281" s="28" t="s">
        <v>3419</v>
      </c>
      <c r="E1281" s="29" t="s">
        <v>21</v>
      </c>
      <c r="F1281" s="30">
        <v>1</v>
      </c>
      <c r="G1281" s="31">
        <v>191.72</v>
      </c>
      <c r="H1281" s="31">
        <f t="shared" si="135"/>
        <v>191.72</v>
      </c>
      <c r="I1281" s="170" t="s">
        <v>2842</v>
      </c>
      <c r="J1281" t="s">
        <v>2853</v>
      </c>
      <c r="K1281" s="188" t="s">
        <v>2853</v>
      </c>
    </row>
    <row r="1282" spans="1:11" x14ac:dyDescent="0.25">
      <c r="A1282" t="s">
        <v>5852</v>
      </c>
      <c r="B1282" s="27" t="s">
        <v>1307</v>
      </c>
      <c r="D1282" s="28" t="s">
        <v>3420</v>
      </c>
      <c r="E1282" s="29" t="s">
        <v>21</v>
      </c>
      <c r="F1282" s="30">
        <v>1</v>
      </c>
      <c r="G1282" s="31">
        <v>191.72</v>
      </c>
      <c r="H1282" s="31">
        <f t="shared" si="135"/>
        <v>191.72</v>
      </c>
      <c r="I1282" s="170" t="s">
        <v>2842</v>
      </c>
      <c r="J1282" t="s">
        <v>2853</v>
      </c>
      <c r="K1282" s="188" t="s">
        <v>2853</v>
      </c>
    </row>
    <row r="1283" spans="1:11" x14ac:dyDescent="0.25">
      <c r="A1283" t="s">
        <v>5853</v>
      </c>
      <c r="B1283" s="27" t="s">
        <v>1308</v>
      </c>
      <c r="D1283" s="28" t="s">
        <v>3421</v>
      </c>
      <c r="E1283" s="29" t="s">
        <v>563</v>
      </c>
      <c r="F1283" s="30">
        <v>1</v>
      </c>
      <c r="G1283" s="31">
        <v>191.72</v>
      </c>
      <c r="H1283" s="31">
        <f t="shared" si="135"/>
        <v>191.72</v>
      </c>
      <c r="I1283" s="170" t="s">
        <v>2842</v>
      </c>
      <c r="J1283" t="s">
        <v>2853</v>
      </c>
      <c r="K1283" s="188" t="s">
        <v>2853</v>
      </c>
    </row>
    <row r="1284" spans="1:11" x14ac:dyDescent="0.25">
      <c r="A1284" t="s">
        <v>5854</v>
      </c>
      <c r="B1284" s="27" t="s">
        <v>1309</v>
      </c>
      <c r="D1284" s="28" t="s">
        <v>3422</v>
      </c>
      <c r="E1284" s="29" t="s">
        <v>563</v>
      </c>
      <c r="F1284" s="30">
        <v>1</v>
      </c>
      <c r="G1284" s="31">
        <v>191.72</v>
      </c>
      <c r="H1284" s="31">
        <f t="shared" si="135"/>
        <v>191.72</v>
      </c>
      <c r="I1284" s="170" t="s">
        <v>2842</v>
      </c>
      <c r="J1284" t="s">
        <v>2853</v>
      </c>
      <c r="K1284" s="188" t="s">
        <v>2853</v>
      </c>
    </row>
    <row r="1285" spans="1:11" x14ac:dyDescent="0.25">
      <c r="A1285" t="s">
        <v>5855</v>
      </c>
      <c r="B1285" s="27" t="s">
        <v>1310</v>
      </c>
      <c r="D1285" s="28" t="s">
        <v>3423</v>
      </c>
      <c r="E1285" s="29" t="s">
        <v>563</v>
      </c>
      <c r="F1285" s="30">
        <v>1</v>
      </c>
      <c r="G1285" s="31">
        <v>191.72</v>
      </c>
      <c r="H1285" s="31">
        <f t="shared" si="135"/>
        <v>191.72</v>
      </c>
      <c r="I1285" s="170" t="s">
        <v>2842</v>
      </c>
      <c r="J1285" t="s">
        <v>2853</v>
      </c>
      <c r="K1285" s="188" t="s">
        <v>2853</v>
      </c>
    </row>
    <row r="1286" spans="1:11" x14ac:dyDescent="0.25">
      <c r="A1286" t="s">
        <v>5856</v>
      </c>
      <c r="B1286" s="27" t="s">
        <v>1311</v>
      </c>
      <c r="D1286" s="28" t="s">
        <v>3424</v>
      </c>
      <c r="E1286" s="29" t="s">
        <v>671</v>
      </c>
      <c r="F1286" s="30">
        <v>1</v>
      </c>
      <c r="G1286" s="31">
        <v>191.72</v>
      </c>
      <c r="H1286" s="31">
        <f t="shared" si="135"/>
        <v>191.72</v>
      </c>
      <c r="I1286" s="170" t="s">
        <v>2842</v>
      </c>
      <c r="J1286" t="s">
        <v>2853</v>
      </c>
      <c r="K1286" s="188" t="s">
        <v>2853</v>
      </c>
    </row>
    <row r="1287" spans="1:11" x14ac:dyDescent="0.25">
      <c r="A1287" t="s">
        <v>5857</v>
      </c>
      <c r="B1287" s="27" t="s">
        <v>1312</v>
      </c>
      <c r="D1287" s="28" t="s">
        <v>3425</v>
      </c>
      <c r="E1287" s="29" t="s">
        <v>671</v>
      </c>
      <c r="F1287" s="30">
        <v>1</v>
      </c>
      <c r="G1287" s="31">
        <v>191.72</v>
      </c>
      <c r="H1287" s="31">
        <f t="shared" si="135"/>
        <v>191.72</v>
      </c>
      <c r="I1287" s="170" t="s">
        <v>2842</v>
      </c>
      <c r="J1287" t="s">
        <v>2853</v>
      </c>
      <c r="K1287" s="188" t="s">
        <v>2853</v>
      </c>
    </row>
    <row r="1288" spans="1:11" x14ac:dyDescent="0.25">
      <c r="A1288" t="s">
        <v>5858</v>
      </c>
      <c r="B1288" s="27" t="s">
        <v>1313</v>
      </c>
      <c r="D1288" s="28" t="s">
        <v>3426</v>
      </c>
      <c r="E1288" s="29" t="s">
        <v>671</v>
      </c>
      <c r="F1288" s="30">
        <v>1</v>
      </c>
      <c r="G1288" s="31">
        <v>191.72</v>
      </c>
      <c r="H1288" s="31">
        <f t="shared" si="135"/>
        <v>191.72</v>
      </c>
      <c r="I1288" s="170" t="s">
        <v>2842</v>
      </c>
      <c r="J1288" t="s">
        <v>2853</v>
      </c>
      <c r="K1288" s="188" t="s">
        <v>2853</v>
      </c>
    </row>
    <row r="1289" spans="1:11" x14ac:dyDescent="0.25">
      <c r="A1289" t="s">
        <v>5859</v>
      </c>
      <c r="B1289" s="27" t="s">
        <v>1314</v>
      </c>
      <c r="D1289" s="28" t="s">
        <v>3427</v>
      </c>
      <c r="E1289" s="29" t="s">
        <v>21</v>
      </c>
      <c r="F1289" s="30">
        <v>1</v>
      </c>
      <c r="G1289" s="31">
        <v>211.55</v>
      </c>
      <c r="H1289" s="31">
        <f t="shared" si="135"/>
        <v>211.55</v>
      </c>
      <c r="I1289" s="170" t="s">
        <v>2842</v>
      </c>
      <c r="J1289" t="s">
        <v>2853</v>
      </c>
      <c r="K1289" s="188" t="s">
        <v>2853</v>
      </c>
    </row>
    <row r="1290" spans="1:11" x14ac:dyDescent="0.25">
      <c r="A1290" t="s">
        <v>5860</v>
      </c>
      <c r="B1290" s="27" t="s">
        <v>1315</v>
      </c>
      <c r="D1290" s="28" t="s">
        <v>3428</v>
      </c>
      <c r="E1290" s="29" t="s">
        <v>21</v>
      </c>
      <c r="F1290" s="30">
        <v>1</v>
      </c>
      <c r="G1290" s="31">
        <v>211.55</v>
      </c>
      <c r="H1290" s="31">
        <f t="shared" si="135"/>
        <v>211.55</v>
      </c>
      <c r="I1290" s="170" t="s">
        <v>2842</v>
      </c>
      <c r="J1290" t="s">
        <v>2853</v>
      </c>
      <c r="K1290" s="188" t="s">
        <v>2853</v>
      </c>
    </row>
    <row r="1291" spans="1:11" x14ac:dyDescent="0.25">
      <c r="A1291" t="s">
        <v>5861</v>
      </c>
      <c r="B1291" s="27" t="s">
        <v>1316</v>
      </c>
      <c r="D1291" s="28" t="s">
        <v>3429</v>
      </c>
      <c r="E1291" s="29" t="s">
        <v>21</v>
      </c>
      <c r="F1291" s="30">
        <v>1</v>
      </c>
      <c r="G1291" s="31">
        <v>211.55</v>
      </c>
      <c r="H1291" s="31">
        <f t="shared" si="135"/>
        <v>211.55</v>
      </c>
      <c r="I1291" s="170" t="s">
        <v>2842</v>
      </c>
      <c r="J1291" t="s">
        <v>2853</v>
      </c>
      <c r="K1291" s="188" t="s">
        <v>2853</v>
      </c>
    </row>
    <row r="1292" spans="1:11" x14ac:dyDescent="0.25">
      <c r="A1292" t="s">
        <v>5862</v>
      </c>
      <c r="B1292" s="27" t="s">
        <v>1317</v>
      </c>
      <c r="D1292" s="28" t="s">
        <v>3430</v>
      </c>
      <c r="E1292" s="29" t="s">
        <v>563</v>
      </c>
      <c r="F1292" s="30">
        <v>1</v>
      </c>
      <c r="G1292" s="31">
        <v>211.55</v>
      </c>
      <c r="H1292" s="31">
        <f t="shared" si="135"/>
        <v>211.55</v>
      </c>
      <c r="I1292" s="170" t="s">
        <v>2842</v>
      </c>
      <c r="J1292" t="s">
        <v>2853</v>
      </c>
      <c r="K1292" s="188" t="s">
        <v>2853</v>
      </c>
    </row>
    <row r="1293" spans="1:11" x14ac:dyDescent="0.25">
      <c r="A1293" t="s">
        <v>5863</v>
      </c>
      <c r="B1293" s="27" t="s">
        <v>1318</v>
      </c>
      <c r="D1293" s="28" t="s">
        <v>3431</v>
      </c>
      <c r="E1293" s="29" t="s">
        <v>563</v>
      </c>
      <c r="F1293" s="30">
        <v>1</v>
      </c>
      <c r="G1293" s="31">
        <v>211.55</v>
      </c>
      <c r="H1293" s="31">
        <f t="shared" si="135"/>
        <v>211.55</v>
      </c>
      <c r="I1293" s="170" t="s">
        <v>2842</v>
      </c>
      <c r="J1293" t="s">
        <v>2853</v>
      </c>
      <c r="K1293" s="188" t="s">
        <v>2853</v>
      </c>
    </row>
    <row r="1294" spans="1:11" x14ac:dyDescent="0.25">
      <c r="A1294" t="s">
        <v>5864</v>
      </c>
      <c r="B1294" s="27" t="s">
        <v>1319</v>
      </c>
      <c r="D1294" s="28" t="s">
        <v>3432</v>
      </c>
      <c r="E1294" s="29" t="s">
        <v>563</v>
      </c>
      <c r="F1294" s="30">
        <v>1</v>
      </c>
      <c r="G1294" s="31">
        <v>211.55</v>
      </c>
      <c r="H1294" s="31">
        <f t="shared" si="135"/>
        <v>211.55</v>
      </c>
      <c r="I1294" s="170" t="s">
        <v>2842</v>
      </c>
      <c r="J1294" t="s">
        <v>2853</v>
      </c>
      <c r="K1294" s="188" t="s">
        <v>2853</v>
      </c>
    </row>
    <row r="1295" spans="1:11" x14ac:dyDescent="0.25">
      <c r="A1295" t="s">
        <v>5865</v>
      </c>
      <c r="B1295" s="27" t="s">
        <v>1320</v>
      </c>
      <c r="D1295" s="28" t="s">
        <v>3433</v>
      </c>
      <c r="E1295" s="29" t="s">
        <v>671</v>
      </c>
      <c r="F1295" s="30">
        <v>1</v>
      </c>
      <c r="G1295" s="31">
        <v>211.55</v>
      </c>
      <c r="H1295" s="31">
        <f t="shared" si="135"/>
        <v>211.55</v>
      </c>
      <c r="I1295" s="170" t="s">
        <v>2842</v>
      </c>
      <c r="J1295" t="s">
        <v>2853</v>
      </c>
      <c r="K1295" s="188" t="s">
        <v>2853</v>
      </c>
    </row>
    <row r="1296" spans="1:11" x14ac:dyDescent="0.25">
      <c r="A1296" t="s">
        <v>5866</v>
      </c>
      <c r="B1296" s="27" t="s">
        <v>1321</v>
      </c>
      <c r="D1296" s="28" t="s">
        <v>3434</v>
      </c>
      <c r="E1296" s="29" t="s">
        <v>671</v>
      </c>
      <c r="F1296" s="30">
        <v>1</v>
      </c>
      <c r="G1296" s="31">
        <v>211.55</v>
      </c>
      <c r="H1296" s="31">
        <f t="shared" si="135"/>
        <v>211.55</v>
      </c>
      <c r="I1296" s="170" t="s">
        <v>2842</v>
      </c>
      <c r="J1296" t="s">
        <v>2853</v>
      </c>
      <c r="K1296" s="188" t="s">
        <v>2853</v>
      </c>
    </row>
    <row r="1297" spans="1:11" x14ac:dyDescent="0.25">
      <c r="A1297" t="s">
        <v>5867</v>
      </c>
      <c r="B1297" s="27" t="s">
        <v>1322</v>
      </c>
      <c r="D1297" s="28" t="s">
        <v>3435</v>
      </c>
      <c r="E1297" s="29" t="s">
        <v>671</v>
      </c>
      <c r="F1297" s="30">
        <v>1</v>
      </c>
      <c r="G1297" s="31">
        <v>211.55</v>
      </c>
      <c r="H1297" s="31">
        <f t="shared" si="135"/>
        <v>211.55</v>
      </c>
      <c r="I1297" s="170" t="s">
        <v>2842</v>
      </c>
      <c r="J1297" t="s">
        <v>2853</v>
      </c>
      <c r="K1297" s="188" t="s">
        <v>2853</v>
      </c>
    </row>
    <row r="1298" spans="1:11" x14ac:dyDescent="0.25">
      <c r="A1298" t="s">
        <v>5868</v>
      </c>
      <c r="B1298" s="27" t="s">
        <v>1323</v>
      </c>
      <c r="D1298" s="28" t="s">
        <v>3436</v>
      </c>
      <c r="E1298" s="29" t="s">
        <v>21</v>
      </c>
      <c r="F1298" s="30">
        <v>1</v>
      </c>
      <c r="G1298" s="31">
        <v>165.27</v>
      </c>
      <c r="H1298" s="31">
        <f t="shared" si="135"/>
        <v>165.27</v>
      </c>
      <c r="I1298" s="170" t="s">
        <v>2842</v>
      </c>
      <c r="J1298" t="s">
        <v>2853</v>
      </c>
      <c r="K1298" s="188" t="s">
        <v>2853</v>
      </c>
    </row>
    <row r="1299" spans="1:11" x14ac:dyDescent="0.25">
      <c r="A1299" t="s">
        <v>5869</v>
      </c>
      <c r="B1299" s="27" t="s">
        <v>1324</v>
      </c>
      <c r="D1299" s="28" t="s">
        <v>3437</v>
      </c>
      <c r="E1299" s="29" t="s">
        <v>21</v>
      </c>
      <c r="F1299" s="30">
        <v>1</v>
      </c>
      <c r="G1299" s="31">
        <v>165.27</v>
      </c>
      <c r="H1299" s="31">
        <f t="shared" si="135"/>
        <v>165.27</v>
      </c>
      <c r="I1299" s="170" t="s">
        <v>2842</v>
      </c>
      <c r="J1299" t="s">
        <v>2853</v>
      </c>
      <c r="K1299" s="188" t="s">
        <v>2853</v>
      </c>
    </row>
    <row r="1300" spans="1:11" x14ac:dyDescent="0.25">
      <c r="A1300" t="s">
        <v>5870</v>
      </c>
      <c r="B1300" s="27" t="s">
        <v>1325</v>
      </c>
      <c r="D1300" s="28" t="s">
        <v>3438</v>
      </c>
      <c r="E1300" s="29" t="s">
        <v>21</v>
      </c>
      <c r="F1300" s="30">
        <v>1</v>
      </c>
      <c r="G1300" s="31">
        <v>165.27</v>
      </c>
      <c r="H1300" s="31">
        <f t="shared" si="135"/>
        <v>165.27</v>
      </c>
      <c r="I1300" s="170" t="s">
        <v>2842</v>
      </c>
      <c r="J1300" t="s">
        <v>2853</v>
      </c>
      <c r="K1300" s="188" t="s">
        <v>2853</v>
      </c>
    </row>
    <row r="1301" spans="1:11" x14ac:dyDescent="0.25">
      <c r="A1301" t="s">
        <v>5871</v>
      </c>
      <c r="B1301" s="27" t="s">
        <v>1326</v>
      </c>
      <c r="D1301" s="28" t="s">
        <v>3439</v>
      </c>
      <c r="E1301" s="29" t="s">
        <v>563</v>
      </c>
      <c r="F1301" s="30">
        <v>1</v>
      </c>
      <c r="G1301" s="31">
        <v>165.27</v>
      </c>
      <c r="H1301" s="31">
        <f t="shared" si="135"/>
        <v>165.27</v>
      </c>
      <c r="I1301" s="170" t="s">
        <v>2842</v>
      </c>
      <c r="J1301" t="s">
        <v>2853</v>
      </c>
      <c r="K1301" s="188" t="s">
        <v>2853</v>
      </c>
    </row>
    <row r="1302" spans="1:11" x14ac:dyDescent="0.25">
      <c r="A1302" t="s">
        <v>5872</v>
      </c>
      <c r="B1302" s="27" t="s">
        <v>1327</v>
      </c>
      <c r="D1302" s="28" t="s">
        <v>3440</v>
      </c>
      <c r="E1302" s="29" t="s">
        <v>563</v>
      </c>
      <c r="F1302" s="30">
        <v>1</v>
      </c>
      <c r="G1302" s="31">
        <v>165.27</v>
      </c>
      <c r="H1302" s="31">
        <f t="shared" si="135"/>
        <v>165.27</v>
      </c>
      <c r="I1302" s="170" t="s">
        <v>2842</v>
      </c>
      <c r="J1302" t="s">
        <v>2853</v>
      </c>
      <c r="K1302" s="188" t="s">
        <v>2853</v>
      </c>
    </row>
    <row r="1303" spans="1:11" x14ac:dyDescent="0.25">
      <c r="A1303" t="s">
        <v>5873</v>
      </c>
      <c r="B1303" s="27" t="s">
        <v>1328</v>
      </c>
      <c r="D1303" s="28" t="s">
        <v>3441</v>
      </c>
      <c r="E1303" s="29" t="s">
        <v>563</v>
      </c>
      <c r="F1303" s="30">
        <v>1</v>
      </c>
      <c r="G1303" s="31">
        <v>165.27</v>
      </c>
      <c r="H1303" s="31">
        <f t="shared" si="135"/>
        <v>165.27</v>
      </c>
      <c r="I1303" s="170" t="s">
        <v>2842</v>
      </c>
      <c r="J1303" t="s">
        <v>2853</v>
      </c>
      <c r="K1303" s="188" t="s">
        <v>2853</v>
      </c>
    </row>
    <row r="1304" spans="1:11" x14ac:dyDescent="0.25">
      <c r="A1304" t="s">
        <v>5874</v>
      </c>
      <c r="B1304" s="27" t="s">
        <v>1329</v>
      </c>
      <c r="D1304" s="28" t="s">
        <v>3442</v>
      </c>
      <c r="E1304" s="29" t="s">
        <v>671</v>
      </c>
      <c r="F1304" s="30">
        <v>1</v>
      </c>
      <c r="G1304" s="31">
        <v>165.27</v>
      </c>
      <c r="H1304" s="31">
        <f t="shared" si="135"/>
        <v>165.27</v>
      </c>
      <c r="I1304" s="170" t="s">
        <v>2842</v>
      </c>
      <c r="J1304" t="s">
        <v>2853</v>
      </c>
      <c r="K1304" s="188" t="s">
        <v>2853</v>
      </c>
    </row>
    <row r="1305" spans="1:11" x14ac:dyDescent="0.25">
      <c r="A1305" t="s">
        <v>5875</v>
      </c>
      <c r="B1305" s="27" t="s">
        <v>1330</v>
      </c>
      <c r="D1305" s="28" t="s">
        <v>3443</v>
      </c>
      <c r="E1305" s="29" t="s">
        <v>671</v>
      </c>
      <c r="F1305" s="30">
        <v>1</v>
      </c>
      <c r="G1305" s="31">
        <v>165.27</v>
      </c>
      <c r="H1305" s="31">
        <f t="shared" si="135"/>
        <v>165.27</v>
      </c>
      <c r="I1305" s="170" t="s">
        <v>2842</v>
      </c>
      <c r="J1305" t="s">
        <v>2853</v>
      </c>
      <c r="K1305" s="188" t="s">
        <v>2853</v>
      </c>
    </row>
    <row r="1306" spans="1:11" x14ac:dyDescent="0.25">
      <c r="A1306" t="s">
        <v>5876</v>
      </c>
      <c r="B1306" s="27" t="s">
        <v>1331</v>
      </c>
      <c r="D1306" s="28" t="s">
        <v>3444</v>
      </c>
      <c r="E1306" s="29" t="s">
        <v>671</v>
      </c>
      <c r="F1306" s="30">
        <v>1</v>
      </c>
      <c r="G1306" s="31">
        <v>165.27</v>
      </c>
      <c r="H1306" s="31">
        <f t="shared" si="135"/>
        <v>165.27</v>
      </c>
      <c r="I1306" s="170" t="s">
        <v>2842</v>
      </c>
      <c r="J1306" t="s">
        <v>2853</v>
      </c>
      <c r="K1306" s="188" t="s">
        <v>2853</v>
      </c>
    </row>
    <row r="1307" spans="1:11" x14ac:dyDescent="0.25">
      <c r="A1307" t="s">
        <v>5877</v>
      </c>
      <c r="B1307" s="27" t="s">
        <v>1332</v>
      </c>
      <c r="D1307" s="28" t="s">
        <v>3445</v>
      </c>
      <c r="E1307" s="29" t="s">
        <v>21</v>
      </c>
      <c r="F1307" s="30">
        <v>1</v>
      </c>
      <c r="G1307" s="31">
        <v>191.72</v>
      </c>
      <c r="H1307" s="31">
        <f t="shared" si="135"/>
        <v>191.72</v>
      </c>
      <c r="I1307" s="170" t="s">
        <v>2842</v>
      </c>
      <c r="J1307" t="s">
        <v>2853</v>
      </c>
      <c r="K1307" s="188" t="s">
        <v>2853</v>
      </c>
    </row>
    <row r="1308" spans="1:11" x14ac:dyDescent="0.25">
      <c r="A1308" t="s">
        <v>5878</v>
      </c>
      <c r="B1308" s="27" t="s">
        <v>1333</v>
      </c>
      <c r="D1308" s="28" t="s">
        <v>3446</v>
      </c>
      <c r="E1308" s="29" t="s">
        <v>21</v>
      </c>
      <c r="F1308" s="30">
        <v>1</v>
      </c>
      <c r="G1308" s="31">
        <v>191.72</v>
      </c>
      <c r="H1308" s="31">
        <f t="shared" si="135"/>
        <v>191.72</v>
      </c>
      <c r="I1308" s="170" t="s">
        <v>2842</v>
      </c>
      <c r="J1308" t="s">
        <v>2853</v>
      </c>
      <c r="K1308" s="188" t="s">
        <v>2853</v>
      </c>
    </row>
    <row r="1309" spans="1:11" x14ac:dyDescent="0.25">
      <c r="A1309" t="s">
        <v>5879</v>
      </c>
      <c r="B1309" s="27" t="s">
        <v>1334</v>
      </c>
      <c r="D1309" s="28" t="s">
        <v>3447</v>
      </c>
      <c r="E1309" s="29" t="s">
        <v>21</v>
      </c>
      <c r="F1309" s="30">
        <v>1</v>
      </c>
      <c r="G1309" s="31">
        <v>191.72</v>
      </c>
      <c r="H1309" s="31">
        <f t="shared" si="135"/>
        <v>191.72</v>
      </c>
      <c r="I1309" s="170" t="s">
        <v>2842</v>
      </c>
      <c r="J1309" t="s">
        <v>2853</v>
      </c>
      <c r="K1309" s="188" t="s">
        <v>2853</v>
      </c>
    </row>
    <row r="1310" spans="1:11" x14ac:dyDescent="0.25">
      <c r="A1310" t="s">
        <v>5880</v>
      </c>
      <c r="B1310" s="27" t="s">
        <v>1335</v>
      </c>
      <c r="D1310" s="28" t="s">
        <v>3448</v>
      </c>
      <c r="E1310" s="29" t="s">
        <v>563</v>
      </c>
      <c r="F1310" s="30">
        <v>1</v>
      </c>
      <c r="G1310" s="31">
        <v>191.72</v>
      </c>
      <c r="H1310" s="31">
        <f t="shared" si="135"/>
        <v>191.72</v>
      </c>
      <c r="I1310" s="170" t="s">
        <v>2842</v>
      </c>
      <c r="J1310" t="s">
        <v>2853</v>
      </c>
      <c r="K1310" s="188" t="s">
        <v>2853</v>
      </c>
    </row>
    <row r="1311" spans="1:11" x14ac:dyDescent="0.25">
      <c r="A1311" t="s">
        <v>5881</v>
      </c>
      <c r="B1311" s="27" t="s">
        <v>1336</v>
      </c>
      <c r="D1311" s="28" t="s">
        <v>3449</v>
      </c>
      <c r="E1311" s="29" t="s">
        <v>563</v>
      </c>
      <c r="F1311" s="30">
        <v>1</v>
      </c>
      <c r="G1311" s="31">
        <v>191.72</v>
      </c>
      <c r="H1311" s="31">
        <f t="shared" si="135"/>
        <v>191.72</v>
      </c>
      <c r="I1311" s="170" t="s">
        <v>2842</v>
      </c>
      <c r="J1311" t="s">
        <v>2853</v>
      </c>
      <c r="K1311" s="188" t="s">
        <v>2853</v>
      </c>
    </row>
    <row r="1312" spans="1:11" x14ac:dyDescent="0.25">
      <c r="A1312" t="s">
        <v>5882</v>
      </c>
      <c r="B1312" s="27" t="s">
        <v>1337</v>
      </c>
      <c r="D1312" s="28" t="s">
        <v>3450</v>
      </c>
      <c r="E1312" s="29" t="s">
        <v>563</v>
      </c>
      <c r="F1312" s="30">
        <v>1</v>
      </c>
      <c r="G1312" s="31">
        <v>191.72</v>
      </c>
      <c r="H1312" s="31">
        <f t="shared" ref="H1312:H1375" si="136">+F1312*G1312</f>
        <v>191.72</v>
      </c>
      <c r="I1312" s="170" t="s">
        <v>2842</v>
      </c>
      <c r="J1312" t="s">
        <v>2853</v>
      </c>
      <c r="K1312" s="188" t="s">
        <v>2853</v>
      </c>
    </row>
    <row r="1313" spans="1:11" x14ac:dyDescent="0.25">
      <c r="A1313" t="s">
        <v>5883</v>
      </c>
      <c r="B1313" s="27" t="s">
        <v>1338</v>
      </c>
      <c r="D1313" s="28" t="s">
        <v>3451</v>
      </c>
      <c r="E1313" s="29" t="s">
        <v>671</v>
      </c>
      <c r="F1313" s="30">
        <v>1</v>
      </c>
      <c r="G1313" s="31">
        <v>191.72</v>
      </c>
      <c r="H1313" s="31">
        <f t="shared" si="136"/>
        <v>191.72</v>
      </c>
      <c r="I1313" s="170" t="s">
        <v>2842</v>
      </c>
      <c r="J1313" t="s">
        <v>2853</v>
      </c>
      <c r="K1313" s="188" t="s">
        <v>2853</v>
      </c>
    </row>
    <row r="1314" spans="1:11" x14ac:dyDescent="0.25">
      <c r="A1314" t="s">
        <v>5884</v>
      </c>
      <c r="B1314" s="27" t="s">
        <v>1339</v>
      </c>
      <c r="D1314" s="28" t="s">
        <v>3452</v>
      </c>
      <c r="E1314" s="29" t="s">
        <v>671</v>
      </c>
      <c r="F1314" s="30">
        <v>1</v>
      </c>
      <c r="G1314" s="31">
        <v>191.72</v>
      </c>
      <c r="H1314" s="31">
        <f t="shared" si="136"/>
        <v>191.72</v>
      </c>
      <c r="I1314" s="170" t="s">
        <v>2842</v>
      </c>
      <c r="J1314" t="s">
        <v>2853</v>
      </c>
      <c r="K1314" s="188" t="s">
        <v>2853</v>
      </c>
    </row>
    <row r="1315" spans="1:11" x14ac:dyDescent="0.25">
      <c r="A1315" t="s">
        <v>5885</v>
      </c>
      <c r="B1315" s="27" t="s">
        <v>1340</v>
      </c>
      <c r="D1315" s="28" t="s">
        <v>3453</v>
      </c>
      <c r="E1315" s="29" t="s">
        <v>671</v>
      </c>
      <c r="F1315" s="30">
        <v>1</v>
      </c>
      <c r="G1315" s="31">
        <v>191.72</v>
      </c>
      <c r="H1315" s="31">
        <f t="shared" si="136"/>
        <v>191.72</v>
      </c>
      <c r="I1315" s="170" t="s">
        <v>2842</v>
      </c>
      <c r="J1315" t="s">
        <v>2853</v>
      </c>
      <c r="K1315" s="188" t="s">
        <v>2853</v>
      </c>
    </row>
    <row r="1316" spans="1:11" x14ac:dyDescent="0.25">
      <c r="A1316" t="s">
        <v>5886</v>
      </c>
      <c r="B1316" s="27" t="s">
        <v>1341</v>
      </c>
      <c r="D1316" s="28" t="s">
        <v>3454</v>
      </c>
      <c r="E1316" s="29" t="s">
        <v>21</v>
      </c>
      <c r="F1316" s="30">
        <v>1</v>
      </c>
      <c r="G1316" s="31">
        <v>218.15</v>
      </c>
      <c r="H1316" s="31">
        <f t="shared" si="136"/>
        <v>218.15</v>
      </c>
      <c r="I1316" s="170" t="s">
        <v>2842</v>
      </c>
      <c r="J1316" t="s">
        <v>2853</v>
      </c>
      <c r="K1316" s="188" t="s">
        <v>2853</v>
      </c>
    </row>
    <row r="1317" spans="1:11" x14ac:dyDescent="0.25">
      <c r="A1317" t="s">
        <v>5887</v>
      </c>
      <c r="B1317" s="27" t="s">
        <v>1342</v>
      </c>
      <c r="D1317" s="28" t="s">
        <v>3455</v>
      </c>
      <c r="E1317" s="29" t="s">
        <v>21</v>
      </c>
      <c r="F1317" s="30">
        <v>1</v>
      </c>
      <c r="G1317" s="31">
        <v>218.15</v>
      </c>
      <c r="H1317" s="31">
        <f t="shared" si="136"/>
        <v>218.15</v>
      </c>
      <c r="I1317" s="170" t="s">
        <v>2842</v>
      </c>
      <c r="J1317" t="s">
        <v>2853</v>
      </c>
      <c r="K1317" s="188" t="s">
        <v>2853</v>
      </c>
    </row>
    <row r="1318" spans="1:11" x14ac:dyDescent="0.25">
      <c r="A1318" t="s">
        <v>5888</v>
      </c>
      <c r="B1318" s="27" t="s">
        <v>1343</v>
      </c>
      <c r="D1318" s="28" t="s">
        <v>3456</v>
      </c>
      <c r="E1318" s="29" t="s">
        <v>21</v>
      </c>
      <c r="F1318" s="30">
        <v>1</v>
      </c>
      <c r="G1318" s="31">
        <v>218.15</v>
      </c>
      <c r="H1318" s="31">
        <f t="shared" si="136"/>
        <v>218.15</v>
      </c>
      <c r="I1318" s="170" t="s">
        <v>2842</v>
      </c>
      <c r="J1318" t="s">
        <v>2853</v>
      </c>
      <c r="K1318" s="188" t="s">
        <v>2853</v>
      </c>
    </row>
    <row r="1319" spans="1:11" x14ac:dyDescent="0.25">
      <c r="A1319" t="s">
        <v>5889</v>
      </c>
      <c r="B1319" s="27" t="s">
        <v>1344</v>
      </c>
      <c r="D1319" s="28" t="s">
        <v>3457</v>
      </c>
      <c r="E1319" s="29" t="s">
        <v>563</v>
      </c>
      <c r="F1319" s="30">
        <v>1</v>
      </c>
      <c r="G1319" s="31">
        <v>218.15</v>
      </c>
      <c r="H1319" s="31">
        <f t="shared" si="136"/>
        <v>218.15</v>
      </c>
      <c r="I1319" s="170" t="s">
        <v>2842</v>
      </c>
      <c r="J1319" t="s">
        <v>2853</v>
      </c>
      <c r="K1319" s="188" t="s">
        <v>2853</v>
      </c>
    </row>
    <row r="1320" spans="1:11" x14ac:dyDescent="0.25">
      <c r="A1320" t="s">
        <v>5890</v>
      </c>
      <c r="B1320" s="27" t="s">
        <v>1345</v>
      </c>
      <c r="D1320" s="28" t="s">
        <v>3458</v>
      </c>
      <c r="E1320" s="29" t="s">
        <v>563</v>
      </c>
      <c r="F1320" s="30">
        <v>1</v>
      </c>
      <c r="G1320" s="31">
        <v>218.15</v>
      </c>
      <c r="H1320" s="31">
        <f t="shared" si="136"/>
        <v>218.15</v>
      </c>
      <c r="I1320" s="170" t="s">
        <v>2842</v>
      </c>
      <c r="J1320" t="s">
        <v>2853</v>
      </c>
      <c r="K1320" s="188" t="s">
        <v>2853</v>
      </c>
    </row>
    <row r="1321" spans="1:11" x14ac:dyDescent="0.25">
      <c r="A1321" t="s">
        <v>5891</v>
      </c>
      <c r="B1321" s="27" t="s">
        <v>1346</v>
      </c>
      <c r="D1321" s="28" t="s">
        <v>3459</v>
      </c>
      <c r="E1321" s="29" t="s">
        <v>563</v>
      </c>
      <c r="F1321" s="30">
        <v>1</v>
      </c>
      <c r="G1321" s="31">
        <v>218.15</v>
      </c>
      <c r="H1321" s="31">
        <f t="shared" si="136"/>
        <v>218.15</v>
      </c>
      <c r="I1321" s="170" t="s">
        <v>2842</v>
      </c>
      <c r="J1321" t="s">
        <v>2853</v>
      </c>
      <c r="K1321" s="188" t="s">
        <v>2853</v>
      </c>
    </row>
    <row r="1322" spans="1:11" x14ac:dyDescent="0.25">
      <c r="A1322" t="s">
        <v>5892</v>
      </c>
      <c r="B1322" s="27" t="s">
        <v>1347</v>
      </c>
      <c r="D1322" s="28" t="s">
        <v>3460</v>
      </c>
      <c r="E1322" s="29" t="s">
        <v>671</v>
      </c>
      <c r="F1322" s="30">
        <v>1</v>
      </c>
      <c r="G1322" s="31">
        <v>218.15</v>
      </c>
      <c r="H1322" s="31">
        <f t="shared" si="136"/>
        <v>218.15</v>
      </c>
      <c r="I1322" s="170" t="s">
        <v>2842</v>
      </c>
      <c r="J1322" t="s">
        <v>2853</v>
      </c>
      <c r="K1322" s="188" t="s">
        <v>2853</v>
      </c>
    </row>
    <row r="1323" spans="1:11" x14ac:dyDescent="0.25">
      <c r="A1323" t="s">
        <v>5893</v>
      </c>
      <c r="B1323" s="27" t="s">
        <v>1348</v>
      </c>
      <c r="D1323" s="28" t="s">
        <v>3461</v>
      </c>
      <c r="E1323" s="29" t="s">
        <v>671</v>
      </c>
      <c r="F1323" s="30">
        <v>1</v>
      </c>
      <c r="G1323" s="31">
        <v>218.15</v>
      </c>
      <c r="H1323" s="31">
        <f t="shared" si="136"/>
        <v>218.15</v>
      </c>
      <c r="I1323" s="170" t="s">
        <v>2842</v>
      </c>
      <c r="J1323" t="s">
        <v>2853</v>
      </c>
      <c r="K1323" s="188" t="s">
        <v>2853</v>
      </c>
    </row>
    <row r="1324" spans="1:11" x14ac:dyDescent="0.25">
      <c r="A1324" t="s">
        <v>5894</v>
      </c>
      <c r="B1324" s="27" t="s">
        <v>1349</v>
      </c>
      <c r="D1324" s="28" t="s">
        <v>3462</v>
      </c>
      <c r="E1324" s="29" t="s">
        <v>671</v>
      </c>
      <c r="F1324" s="30">
        <v>1</v>
      </c>
      <c r="G1324" s="31">
        <v>218.15</v>
      </c>
      <c r="H1324" s="31">
        <f t="shared" si="136"/>
        <v>218.15</v>
      </c>
      <c r="I1324" s="170" t="s">
        <v>2842</v>
      </c>
      <c r="J1324" t="s">
        <v>2853</v>
      </c>
      <c r="K1324" s="188" t="s">
        <v>2853</v>
      </c>
    </row>
    <row r="1325" spans="1:11" x14ac:dyDescent="0.25">
      <c r="A1325" t="s">
        <v>5895</v>
      </c>
      <c r="B1325" s="27" t="s">
        <v>1350</v>
      </c>
      <c r="D1325" s="28" t="s">
        <v>3463</v>
      </c>
      <c r="E1325" s="29" t="s">
        <v>21</v>
      </c>
      <c r="F1325" s="30">
        <v>1</v>
      </c>
      <c r="G1325" s="31">
        <v>244.6</v>
      </c>
      <c r="H1325" s="31">
        <f t="shared" si="136"/>
        <v>244.6</v>
      </c>
      <c r="I1325" s="170" t="s">
        <v>2842</v>
      </c>
      <c r="J1325" t="s">
        <v>2853</v>
      </c>
      <c r="K1325" s="188" t="s">
        <v>2853</v>
      </c>
    </row>
    <row r="1326" spans="1:11" x14ac:dyDescent="0.25">
      <c r="A1326" t="s">
        <v>5896</v>
      </c>
      <c r="B1326" s="27" t="s">
        <v>1351</v>
      </c>
      <c r="D1326" s="28" t="s">
        <v>3464</v>
      </c>
      <c r="E1326" s="29" t="s">
        <v>21</v>
      </c>
      <c r="F1326" s="30">
        <v>1</v>
      </c>
      <c r="G1326" s="31">
        <v>244.6</v>
      </c>
      <c r="H1326" s="31">
        <f t="shared" si="136"/>
        <v>244.6</v>
      </c>
      <c r="I1326" s="170" t="s">
        <v>2842</v>
      </c>
      <c r="J1326" t="s">
        <v>2853</v>
      </c>
      <c r="K1326" s="188" t="s">
        <v>2853</v>
      </c>
    </row>
    <row r="1327" spans="1:11" x14ac:dyDescent="0.25">
      <c r="A1327" t="s">
        <v>5897</v>
      </c>
      <c r="B1327" s="27" t="s">
        <v>1352</v>
      </c>
      <c r="D1327" s="28" t="s">
        <v>3465</v>
      </c>
      <c r="E1327" s="29" t="s">
        <v>21</v>
      </c>
      <c r="F1327" s="30">
        <v>1</v>
      </c>
      <c r="G1327" s="31">
        <v>244.6</v>
      </c>
      <c r="H1327" s="31">
        <f t="shared" si="136"/>
        <v>244.6</v>
      </c>
      <c r="I1327" s="170" t="s">
        <v>2842</v>
      </c>
      <c r="J1327" t="s">
        <v>2853</v>
      </c>
      <c r="K1327" s="188" t="s">
        <v>2853</v>
      </c>
    </row>
    <row r="1328" spans="1:11" x14ac:dyDescent="0.25">
      <c r="A1328" t="s">
        <v>5898</v>
      </c>
      <c r="B1328" s="27" t="s">
        <v>1353</v>
      </c>
      <c r="D1328" s="28" t="s">
        <v>3466</v>
      </c>
      <c r="E1328" s="29" t="s">
        <v>563</v>
      </c>
      <c r="F1328" s="30">
        <v>1</v>
      </c>
      <c r="G1328" s="31">
        <v>244.6</v>
      </c>
      <c r="H1328" s="31">
        <f t="shared" si="136"/>
        <v>244.6</v>
      </c>
      <c r="I1328" s="170" t="s">
        <v>2842</v>
      </c>
      <c r="J1328" t="s">
        <v>2853</v>
      </c>
      <c r="K1328" s="188" t="s">
        <v>2853</v>
      </c>
    </row>
    <row r="1329" spans="1:11" x14ac:dyDescent="0.25">
      <c r="A1329" t="s">
        <v>5899</v>
      </c>
      <c r="B1329" s="27" t="s">
        <v>1354</v>
      </c>
      <c r="D1329" s="28" t="s">
        <v>3467</v>
      </c>
      <c r="E1329" s="29" t="s">
        <v>563</v>
      </c>
      <c r="F1329" s="30">
        <v>1</v>
      </c>
      <c r="G1329" s="31">
        <v>244.6</v>
      </c>
      <c r="H1329" s="31">
        <f t="shared" si="136"/>
        <v>244.6</v>
      </c>
      <c r="I1329" s="170" t="s">
        <v>2842</v>
      </c>
      <c r="J1329" t="s">
        <v>2853</v>
      </c>
      <c r="K1329" s="188" t="s">
        <v>2853</v>
      </c>
    </row>
    <row r="1330" spans="1:11" x14ac:dyDescent="0.25">
      <c r="A1330" t="s">
        <v>5900</v>
      </c>
      <c r="B1330" s="27" t="s">
        <v>1355</v>
      </c>
      <c r="D1330" s="28" t="s">
        <v>3468</v>
      </c>
      <c r="E1330" s="29" t="s">
        <v>563</v>
      </c>
      <c r="F1330" s="30">
        <v>1</v>
      </c>
      <c r="G1330" s="31">
        <v>244.6</v>
      </c>
      <c r="H1330" s="31">
        <f t="shared" si="136"/>
        <v>244.6</v>
      </c>
      <c r="I1330" s="170" t="s">
        <v>2842</v>
      </c>
      <c r="J1330" t="s">
        <v>2853</v>
      </c>
      <c r="K1330" s="188" t="s">
        <v>2853</v>
      </c>
    </row>
    <row r="1331" spans="1:11" x14ac:dyDescent="0.25">
      <c r="A1331" t="s">
        <v>5901</v>
      </c>
      <c r="B1331" s="27" t="s">
        <v>1356</v>
      </c>
      <c r="D1331" s="28" t="s">
        <v>3469</v>
      </c>
      <c r="E1331" s="29" t="s">
        <v>671</v>
      </c>
      <c r="F1331" s="30">
        <v>1</v>
      </c>
      <c r="G1331" s="31">
        <v>244.6</v>
      </c>
      <c r="H1331" s="31">
        <f t="shared" si="136"/>
        <v>244.6</v>
      </c>
      <c r="I1331" s="170" t="s">
        <v>2842</v>
      </c>
      <c r="J1331" t="s">
        <v>2853</v>
      </c>
      <c r="K1331" s="188" t="s">
        <v>2853</v>
      </c>
    </row>
    <row r="1332" spans="1:11" x14ac:dyDescent="0.25">
      <c r="A1332" t="s">
        <v>5902</v>
      </c>
      <c r="B1332" s="27" t="s">
        <v>1357</v>
      </c>
      <c r="D1332" s="28" t="s">
        <v>3470</v>
      </c>
      <c r="E1332" s="29" t="s">
        <v>671</v>
      </c>
      <c r="F1332" s="30">
        <v>1</v>
      </c>
      <c r="G1332" s="31">
        <v>244.6</v>
      </c>
      <c r="H1332" s="31">
        <f t="shared" si="136"/>
        <v>244.6</v>
      </c>
      <c r="I1332" s="170" t="s">
        <v>2842</v>
      </c>
      <c r="J1332" t="s">
        <v>2853</v>
      </c>
      <c r="K1332" s="188" t="s">
        <v>2853</v>
      </c>
    </row>
    <row r="1333" spans="1:11" x14ac:dyDescent="0.25">
      <c r="A1333" t="s">
        <v>5903</v>
      </c>
      <c r="B1333" s="27" t="s">
        <v>1358</v>
      </c>
      <c r="D1333" s="28" t="s">
        <v>3471</v>
      </c>
      <c r="E1333" s="29" t="s">
        <v>671</v>
      </c>
      <c r="F1333" s="30">
        <v>1</v>
      </c>
      <c r="G1333" s="31">
        <v>244.6</v>
      </c>
      <c r="H1333" s="31">
        <f t="shared" si="136"/>
        <v>244.6</v>
      </c>
      <c r="I1333" s="170" t="s">
        <v>2842</v>
      </c>
      <c r="J1333" t="s">
        <v>2853</v>
      </c>
      <c r="K1333" s="188" t="s">
        <v>2853</v>
      </c>
    </row>
    <row r="1334" spans="1:11" x14ac:dyDescent="0.25">
      <c r="A1334" t="s">
        <v>5904</v>
      </c>
      <c r="B1334" s="27" t="s">
        <v>1359</v>
      </c>
      <c r="D1334" s="28" t="s">
        <v>3472</v>
      </c>
      <c r="E1334" s="29" t="s">
        <v>21</v>
      </c>
      <c r="F1334" s="30">
        <v>1</v>
      </c>
      <c r="G1334" s="31">
        <v>178.49</v>
      </c>
      <c r="H1334" s="31">
        <f t="shared" si="136"/>
        <v>178.49</v>
      </c>
      <c r="I1334" s="170" t="s">
        <v>2842</v>
      </c>
      <c r="J1334" t="s">
        <v>2853</v>
      </c>
      <c r="K1334" s="188" t="s">
        <v>2853</v>
      </c>
    </row>
    <row r="1335" spans="1:11" x14ac:dyDescent="0.25">
      <c r="A1335" t="s">
        <v>5905</v>
      </c>
      <c r="B1335" s="27" t="s">
        <v>1360</v>
      </c>
      <c r="D1335" s="28" t="s">
        <v>3473</v>
      </c>
      <c r="E1335" s="29" t="s">
        <v>21</v>
      </c>
      <c r="F1335" s="30">
        <v>1</v>
      </c>
      <c r="G1335" s="31">
        <v>178.49</v>
      </c>
      <c r="H1335" s="31">
        <f t="shared" si="136"/>
        <v>178.49</v>
      </c>
      <c r="I1335" s="170" t="s">
        <v>2842</v>
      </c>
      <c r="J1335" t="s">
        <v>2853</v>
      </c>
      <c r="K1335" s="188" t="s">
        <v>2853</v>
      </c>
    </row>
    <row r="1336" spans="1:11" x14ac:dyDescent="0.25">
      <c r="A1336" t="s">
        <v>5906</v>
      </c>
      <c r="B1336" s="27" t="s">
        <v>1361</v>
      </c>
      <c r="D1336" s="28" t="s">
        <v>3474</v>
      </c>
      <c r="E1336" s="29" t="s">
        <v>21</v>
      </c>
      <c r="F1336" s="30">
        <v>1</v>
      </c>
      <c r="G1336" s="31">
        <v>178.49</v>
      </c>
      <c r="H1336" s="31">
        <f t="shared" si="136"/>
        <v>178.49</v>
      </c>
      <c r="I1336" s="170" t="s">
        <v>2842</v>
      </c>
      <c r="J1336" t="s">
        <v>2853</v>
      </c>
      <c r="K1336" s="188" t="s">
        <v>2853</v>
      </c>
    </row>
    <row r="1337" spans="1:11" x14ac:dyDescent="0.25">
      <c r="A1337" t="s">
        <v>5907</v>
      </c>
      <c r="B1337" s="27" t="s">
        <v>1362</v>
      </c>
      <c r="D1337" s="28" t="s">
        <v>3475</v>
      </c>
      <c r="E1337" s="29" t="s">
        <v>563</v>
      </c>
      <c r="F1337" s="30">
        <v>1</v>
      </c>
      <c r="G1337" s="31">
        <v>178.49</v>
      </c>
      <c r="H1337" s="31">
        <f t="shared" si="136"/>
        <v>178.49</v>
      </c>
      <c r="I1337" s="170" t="s">
        <v>2842</v>
      </c>
      <c r="J1337" t="s">
        <v>2853</v>
      </c>
      <c r="K1337" s="188" t="s">
        <v>2853</v>
      </c>
    </row>
    <row r="1338" spans="1:11" x14ac:dyDescent="0.25">
      <c r="A1338" t="s">
        <v>5908</v>
      </c>
      <c r="B1338" s="27" t="s">
        <v>1363</v>
      </c>
      <c r="D1338" s="28" t="s">
        <v>3476</v>
      </c>
      <c r="E1338" s="29" t="s">
        <v>563</v>
      </c>
      <c r="F1338" s="30">
        <v>1</v>
      </c>
      <c r="G1338" s="31">
        <v>178.49</v>
      </c>
      <c r="H1338" s="31">
        <f t="shared" si="136"/>
        <v>178.49</v>
      </c>
      <c r="I1338" s="170" t="s">
        <v>2842</v>
      </c>
      <c r="J1338" t="s">
        <v>2853</v>
      </c>
      <c r="K1338" s="188" t="s">
        <v>2853</v>
      </c>
    </row>
    <row r="1339" spans="1:11" x14ac:dyDescent="0.25">
      <c r="A1339" t="s">
        <v>5909</v>
      </c>
      <c r="B1339" s="27" t="s">
        <v>1364</v>
      </c>
      <c r="D1339" s="28" t="s">
        <v>3477</v>
      </c>
      <c r="E1339" s="29" t="s">
        <v>563</v>
      </c>
      <c r="F1339" s="30">
        <v>1</v>
      </c>
      <c r="G1339" s="31">
        <v>178.49</v>
      </c>
      <c r="H1339" s="31">
        <f t="shared" si="136"/>
        <v>178.49</v>
      </c>
      <c r="I1339" s="170" t="s">
        <v>2842</v>
      </c>
      <c r="J1339" t="s">
        <v>2853</v>
      </c>
      <c r="K1339" s="188" t="s">
        <v>2853</v>
      </c>
    </row>
    <row r="1340" spans="1:11" x14ac:dyDescent="0.25">
      <c r="A1340" t="s">
        <v>5910</v>
      </c>
      <c r="B1340" s="27" t="s">
        <v>1365</v>
      </c>
      <c r="D1340" s="28" t="s">
        <v>3478</v>
      </c>
      <c r="E1340" s="29" t="s">
        <v>671</v>
      </c>
      <c r="F1340" s="30">
        <v>1</v>
      </c>
      <c r="G1340" s="31">
        <v>178.49</v>
      </c>
      <c r="H1340" s="31">
        <f t="shared" si="136"/>
        <v>178.49</v>
      </c>
      <c r="I1340" s="170" t="s">
        <v>2842</v>
      </c>
      <c r="J1340" t="s">
        <v>2853</v>
      </c>
      <c r="K1340" s="188" t="s">
        <v>2853</v>
      </c>
    </row>
    <row r="1341" spans="1:11" x14ac:dyDescent="0.25">
      <c r="A1341" t="s">
        <v>5911</v>
      </c>
      <c r="B1341" s="27" t="s">
        <v>1366</v>
      </c>
      <c r="D1341" s="28" t="s">
        <v>3479</v>
      </c>
      <c r="E1341" s="29" t="s">
        <v>671</v>
      </c>
      <c r="F1341" s="30">
        <v>1</v>
      </c>
      <c r="G1341" s="31">
        <v>178.49</v>
      </c>
      <c r="H1341" s="31">
        <f t="shared" si="136"/>
        <v>178.49</v>
      </c>
      <c r="I1341" s="170" t="s">
        <v>2842</v>
      </c>
      <c r="J1341" t="s">
        <v>2853</v>
      </c>
      <c r="K1341" s="188" t="s">
        <v>2853</v>
      </c>
    </row>
    <row r="1342" spans="1:11" x14ac:dyDescent="0.25">
      <c r="A1342" t="s">
        <v>5912</v>
      </c>
      <c r="B1342" s="27" t="s">
        <v>1367</v>
      </c>
      <c r="D1342" s="28" t="s">
        <v>3480</v>
      </c>
      <c r="E1342" s="29" t="s">
        <v>671</v>
      </c>
      <c r="F1342" s="30">
        <v>1</v>
      </c>
      <c r="G1342" s="31">
        <v>178.49</v>
      </c>
      <c r="H1342" s="31">
        <f t="shared" si="136"/>
        <v>178.49</v>
      </c>
      <c r="I1342" s="170" t="s">
        <v>2842</v>
      </c>
      <c r="J1342" t="s">
        <v>2853</v>
      </c>
      <c r="K1342" s="188" t="s">
        <v>2853</v>
      </c>
    </row>
    <row r="1343" spans="1:11" x14ac:dyDescent="0.25">
      <c r="A1343" t="s">
        <v>5913</v>
      </c>
      <c r="B1343" s="27" t="s">
        <v>1368</v>
      </c>
      <c r="D1343" s="28" t="s">
        <v>3481</v>
      </c>
      <c r="E1343" s="29" t="s">
        <v>21</v>
      </c>
      <c r="F1343" s="30">
        <v>1</v>
      </c>
      <c r="G1343" s="31">
        <v>198.33</v>
      </c>
      <c r="H1343" s="31">
        <f t="shared" si="136"/>
        <v>198.33</v>
      </c>
      <c r="I1343" s="170" t="s">
        <v>2842</v>
      </c>
      <c r="J1343" t="s">
        <v>2853</v>
      </c>
      <c r="K1343" s="188" t="s">
        <v>2853</v>
      </c>
    </row>
    <row r="1344" spans="1:11" x14ac:dyDescent="0.25">
      <c r="A1344" t="s">
        <v>5914</v>
      </c>
      <c r="B1344" s="27" t="s">
        <v>1369</v>
      </c>
      <c r="D1344" s="28" t="s">
        <v>3482</v>
      </c>
      <c r="E1344" s="29" t="s">
        <v>21</v>
      </c>
      <c r="F1344" s="30">
        <v>1</v>
      </c>
      <c r="G1344" s="31">
        <v>198.33</v>
      </c>
      <c r="H1344" s="31">
        <f t="shared" si="136"/>
        <v>198.33</v>
      </c>
      <c r="I1344" s="170" t="s">
        <v>2842</v>
      </c>
      <c r="J1344" t="s">
        <v>2853</v>
      </c>
      <c r="K1344" s="188" t="s">
        <v>2853</v>
      </c>
    </row>
    <row r="1345" spans="1:11" x14ac:dyDescent="0.25">
      <c r="A1345" t="s">
        <v>5915</v>
      </c>
      <c r="B1345" s="27" t="s">
        <v>1370</v>
      </c>
      <c r="D1345" s="28" t="s">
        <v>3483</v>
      </c>
      <c r="E1345" s="29" t="s">
        <v>21</v>
      </c>
      <c r="F1345" s="30">
        <v>1</v>
      </c>
      <c r="G1345" s="31">
        <v>198.33</v>
      </c>
      <c r="H1345" s="31">
        <f t="shared" si="136"/>
        <v>198.33</v>
      </c>
      <c r="I1345" s="170" t="s">
        <v>2842</v>
      </c>
      <c r="J1345" t="s">
        <v>2853</v>
      </c>
      <c r="K1345" s="188" t="s">
        <v>2853</v>
      </c>
    </row>
    <row r="1346" spans="1:11" x14ac:dyDescent="0.25">
      <c r="A1346" t="s">
        <v>5916</v>
      </c>
      <c r="B1346" s="27" t="s">
        <v>1371</v>
      </c>
      <c r="D1346" s="28" t="s">
        <v>3484</v>
      </c>
      <c r="E1346" s="29" t="s">
        <v>563</v>
      </c>
      <c r="F1346" s="30">
        <v>1</v>
      </c>
      <c r="G1346" s="31">
        <v>198.33</v>
      </c>
      <c r="H1346" s="31">
        <f t="shared" si="136"/>
        <v>198.33</v>
      </c>
      <c r="I1346" s="170" t="s">
        <v>2842</v>
      </c>
      <c r="J1346" t="s">
        <v>2853</v>
      </c>
      <c r="K1346" s="188" t="s">
        <v>2853</v>
      </c>
    </row>
    <row r="1347" spans="1:11" x14ac:dyDescent="0.25">
      <c r="A1347" t="s">
        <v>5917</v>
      </c>
      <c r="B1347" s="27" t="s">
        <v>1372</v>
      </c>
      <c r="D1347" s="28" t="s">
        <v>3485</v>
      </c>
      <c r="E1347" s="29" t="s">
        <v>563</v>
      </c>
      <c r="F1347" s="30">
        <v>1</v>
      </c>
      <c r="G1347" s="31">
        <v>198.33</v>
      </c>
      <c r="H1347" s="31">
        <f t="shared" si="136"/>
        <v>198.33</v>
      </c>
      <c r="I1347" s="170" t="s">
        <v>2842</v>
      </c>
      <c r="J1347" t="s">
        <v>2853</v>
      </c>
      <c r="K1347" s="188" t="s">
        <v>2853</v>
      </c>
    </row>
    <row r="1348" spans="1:11" x14ac:dyDescent="0.25">
      <c r="A1348" t="s">
        <v>5918</v>
      </c>
      <c r="B1348" s="27" t="s">
        <v>1373</v>
      </c>
      <c r="D1348" s="28" t="s">
        <v>3486</v>
      </c>
      <c r="E1348" s="29" t="s">
        <v>563</v>
      </c>
      <c r="F1348" s="30">
        <v>1</v>
      </c>
      <c r="G1348" s="31">
        <v>198.33</v>
      </c>
      <c r="H1348" s="31">
        <f t="shared" si="136"/>
        <v>198.33</v>
      </c>
      <c r="I1348" s="170" t="s">
        <v>2842</v>
      </c>
      <c r="J1348" t="s">
        <v>2853</v>
      </c>
      <c r="K1348" s="188" t="s">
        <v>2853</v>
      </c>
    </row>
    <row r="1349" spans="1:11" x14ac:dyDescent="0.25">
      <c r="A1349" t="s">
        <v>5919</v>
      </c>
      <c r="B1349" s="27" t="s">
        <v>1374</v>
      </c>
      <c r="D1349" s="28" t="s">
        <v>3487</v>
      </c>
      <c r="E1349" s="29" t="s">
        <v>671</v>
      </c>
      <c r="F1349" s="30">
        <v>1</v>
      </c>
      <c r="G1349" s="31">
        <v>198.33</v>
      </c>
      <c r="H1349" s="31">
        <f t="shared" si="136"/>
        <v>198.33</v>
      </c>
      <c r="I1349" s="170" t="s">
        <v>2842</v>
      </c>
      <c r="J1349" t="s">
        <v>2853</v>
      </c>
      <c r="K1349" s="188" t="s">
        <v>2853</v>
      </c>
    </row>
    <row r="1350" spans="1:11" x14ac:dyDescent="0.25">
      <c r="A1350" t="s">
        <v>5920</v>
      </c>
      <c r="B1350" s="27" t="s">
        <v>1375</v>
      </c>
      <c r="D1350" s="28" t="s">
        <v>3488</v>
      </c>
      <c r="E1350" s="29" t="s">
        <v>671</v>
      </c>
      <c r="F1350" s="30">
        <v>1</v>
      </c>
      <c r="G1350" s="31">
        <v>198.33</v>
      </c>
      <c r="H1350" s="31">
        <f t="shared" si="136"/>
        <v>198.33</v>
      </c>
      <c r="I1350" s="170" t="s">
        <v>2842</v>
      </c>
      <c r="J1350" t="s">
        <v>2853</v>
      </c>
      <c r="K1350" s="188" t="s">
        <v>2853</v>
      </c>
    </row>
    <row r="1351" spans="1:11" x14ac:dyDescent="0.25">
      <c r="A1351" t="s">
        <v>5921</v>
      </c>
      <c r="B1351" s="27" t="s">
        <v>1376</v>
      </c>
      <c r="D1351" s="28" t="s">
        <v>3489</v>
      </c>
      <c r="E1351" s="29" t="s">
        <v>671</v>
      </c>
      <c r="F1351" s="30">
        <v>1</v>
      </c>
      <c r="G1351" s="31">
        <v>198.33</v>
      </c>
      <c r="H1351" s="31">
        <f t="shared" si="136"/>
        <v>198.33</v>
      </c>
      <c r="I1351" s="170" t="s">
        <v>2842</v>
      </c>
      <c r="J1351" t="s">
        <v>2853</v>
      </c>
      <c r="K1351" s="188" t="s">
        <v>2853</v>
      </c>
    </row>
    <row r="1352" spans="1:11" x14ac:dyDescent="0.25">
      <c r="A1352" t="s">
        <v>5922</v>
      </c>
      <c r="B1352" s="27" t="s">
        <v>1377</v>
      </c>
      <c r="D1352" s="28" t="s">
        <v>3490</v>
      </c>
      <c r="E1352" s="29" t="s">
        <v>21</v>
      </c>
      <c r="F1352" s="30">
        <v>1</v>
      </c>
      <c r="G1352" s="31">
        <v>218.15</v>
      </c>
      <c r="H1352" s="31">
        <f t="shared" si="136"/>
        <v>218.15</v>
      </c>
      <c r="I1352" s="170" t="s">
        <v>2842</v>
      </c>
      <c r="J1352" t="s">
        <v>2853</v>
      </c>
      <c r="K1352" s="188" t="s">
        <v>2853</v>
      </c>
    </row>
    <row r="1353" spans="1:11" x14ac:dyDescent="0.25">
      <c r="A1353" t="s">
        <v>5923</v>
      </c>
      <c r="B1353" s="27" t="s">
        <v>1378</v>
      </c>
      <c r="D1353" s="28" t="s">
        <v>3491</v>
      </c>
      <c r="E1353" s="29" t="s">
        <v>21</v>
      </c>
      <c r="F1353" s="30">
        <v>1</v>
      </c>
      <c r="G1353" s="31">
        <v>218.15</v>
      </c>
      <c r="H1353" s="31">
        <f t="shared" si="136"/>
        <v>218.15</v>
      </c>
      <c r="I1353" s="170" t="s">
        <v>2842</v>
      </c>
      <c r="J1353" t="s">
        <v>2853</v>
      </c>
      <c r="K1353" s="188" t="s">
        <v>2853</v>
      </c>
    </row>
    <row r="1354" spans="1:11" x14ac:dyDescent="0.25">
      <c r="A1354" t="s">
        <v>5924</v>
      </c>
      <c r="B1354" s="27" t="s">
        <v>1379</v>
      </c>
      <c r="D1354" s="28" t="s">
        <v>3492</v>
      </c>
      <c r="E1354" s="29" t="s">
        <v>21</v>
      </c>
      <c r="F1354" s="30">
        <v>1</v>
      </c>
      <c r="G1354" s="31">
        <v>218.15</v>
      </c>
      <c r="H1354" s="31">
        <f t="shared" si="136"/>
        <v>218.15</v>
      </c>
      <c r="I1354" s="170" t="s">
        <v>2842</v>
      </c>
      <c r="J1354" t="s">
        <v>2853</v>
      </c>
      <c r="K1354" s="188" t="s">
        <v>2853</v>
      </c>
    </row>
    <row r="1355" spans="1:11" x14ac:dyDescent="0.25">
      <c r="A1355" t="s">
        <v>5925</v>
      </c>
      <c r="B1355" s="27" t="s">
        <v>1380</v>
      </c>
      <c r="D1355" s="28" t="s">
        <v>3493</v>
      </c>
      <c r="E1355" s="29" t="s">
        <v>563</v>
      </c>
      <c r="F1355" s="30">
        <v>1</v>
      </c>
      <c r="G1355" s="31">
        <v>218.15</v>
      </c>
      <c r="H1355" s="31">
        <f t="shared" si="136"/>
        <v>218.15</v>
      </c>
      <c r="I1355" s="170" t="s">
        <v>2842</v>
      </c>
      <c r="J1355" t="s">
        <v>2853</v>
      </c>
      <c r="K1355" s="188" t="s">
        <v>2853</v>
      </c>
    </row>
    <row r="1356" spans="1:11" x14ac:dyDescent="0.25">
      <c r="A1356" t="s">
        <v>5926</v>
      </c>
      <c r="B1356" s="27" t="s">
        <v>1381</v>
      </c>
      <c r="D1356" s="28" t="s">
        <v>3494</v>
      </c>
      <c r="E1356" s="29" t="s">
        <v>563</v>
      </c>
      <c r="F1356" s="30">
        <v>1</v>
      </c>
      <c r="G1356" s="31">
        <v>218.15</v>
      </c>
      <c r="H1356" s="31">
        <f t="shared" si="136"/>
        <v>218.15</v>
      </c>
      <c r="I1356" s="170" t="s">
        <v>2842</v>
      </c>
      <c r="J1356" t="s">
        <v>2853</v>
      </c>
      <c r="K1356" s="188" t="s">
        <v>2853</v>
      </c>
    </row>
    <row r="1357" spans="1:11" x14ac:dyDescent="0.25">
      <c r="A1357" t="s">
        <v>5927</v>
      </c>
      <c r="B1357" s="27" t="s">
        <v>1382</v>
      </c>
      <c r="D1357" s="28" t="s">
        <v>3495</v>
      </c>
      <c r="E1357" s="29" t="s">
        <v>563</v>
      </c>
      <c r="F1357" s="30">
        <v>1</v>
      </c>
      <c r="G1357" s="31">
        <v>218.15</v>
      </c>
      <c r="H1357" s="31">
        <f t="shared" si="136"/>
        <v>218.15</v>
      </c>
      <c r="I1357" s="170" t="s">
        <v>2842</v>
      </c>
      <c r="J1357" t="s">
        <v>2853</v>
      </c>
      <c r="K1357" s="188" t="s">
        <v>2853</v>
      </c>
    </row>
    <row r="1358" spans="1:11" x14ac:dyDescent="0.25">
      <c r="A1358" t="s">
        <v>5928</v>
      </c>
      <c r="B1358" s="27" t="s">
        <v>1383</v>
      </c>
      <c r="D1358" s="28" t="s">
        <v>3496</v>
      </c>
      <c r="E1358" s="29" t="s">
        <v>671</v>
      </c>
      <c r="F1358" s="30">
        <v>1</v>
      </c>
      <c r="G1358" s="31">
        <v>218.15</v>
      </c>
      <c r="H1358" s="31">
        <f t="shared" si="136"/>
        <v>218.15</v>
      </c>
      <c r="I1358" s="170" t="s">
        <v>2842</v>
      </c>
      <c r="J1358" t="s">
        <v>2853</v>
      </c>
      <c r="K1358" s="188" t="s">
        <v>2853</v>
      </c>
    </row>
    <row r="1359" spans="1:11" x14ac:dyDescent="0.25">
      <c r="A1359" t="s">
        <v>5929</v>
      </c>
      <c r="B1359" s="27" t="s">
        <v>1384</v>
      </c>
      <c r="D1359" s="28" t="s">
        <v>3497</v>
      </c>
      <c r="E1359" s="29" t="s">
        <v>671</v>
      </c>
      <c r="F1359" s="30">
        <v>1</v>
      </c>
      <c r="G1359" s="31">
        <v>218.15</v>
      </c>
      <c r="H1359" s="31">
        <f t="shared" si="136"/>
        <v>218.15</v>
      </c>
      <c r="I1359" s="170" t="s">
        <v>2842</v>
      </c>
      <c r="J1359" t="s">
        <v>2853</v>
      </c>
      <c r="K1359" s="188" t="s">
        <v>2853</v>
      </c>
    </row>
    <row r="1360" spans="1:11" x14ac:dyDescent="0.25">
      <c r="A1360" t="s">
        <v>5930</v>
      </c>
      <c r="B1360" s="27" t="s">
        <v>1385</v>
      </c>
      <c r="D1360" s="28" t="s">
        <v>3498</v>
      </c>
      <c r="E1360" s="29" t="s">
        <v>671</v>
      </c>
      <c r="F1360" s="30">
        <v>1</v>
      </c>
      <c r="G1360" s="31">
        <v>218.15</v>
      </c>
      <c r="H1360" s="31">
        <f t="shared" si="136"/>
        <v>218.15</v>
      </c>
      <c r="I1360" s="170" t="s">
        <v>2842</v>
      </c>
      <c r="J1360" t="s">
        <v>2853</v>
      </c>
      <c r="K1360" s="188" t="s">
        <v>2853</v>
      </c>
    </row>
    <row r="1361" spans="1:11" x14ac:dyDescent="0.25">
      <c r="A1361" t="s">
        <v>5931</v>
      </c>
      <c r="B1361" s="27" t="s">
        <v>1386</v>
      </c>
      <c r="D1361" s="28" t="s">
        <v>3499</v>
      </c>
      <c r="E1361" s="29" t="s">
        <v>21</v>
      </c>
      <c r="F1361" s="30">
        <v>1</v>
      </c>
      <c r="G1361" s="31">
        <v>244.6</v>
      </c>
      <c r="H1361" s="31">
        <f t="shared" si="136"/>
        <v>244.6</v>
      </c>
      <c r="I1361" s="170" t="s">
        <v>2842</v>
      </c>
      <c r="J1361" t="s">
        <v>2853</v>
      </c>
      <c r="K1361" s="188" t="s">
        <v>2853</v>
      </c>
    </row>
    <row r="1362" spans="1:11" x14ac:dyDescent="0.25">
      <c r="A1362" t="s">
        <v>5932</v>
      </c>
      <c r="B1362" s="27" t="s">
        <v>1387</v>
      </c>
      <c r="D1362" s="28" t="s">
        <v>3500</v>
      </c>
      <c r="E1362" s="29" t="s">
        <v>21</v>
      </c>
      <c r="F1362" s="30">
        <v>1</v>
      </c>
      <c r="G1362" s="31">
        <v>244.6</v>
      </c>
      <c r="H1362" s="31">
        <f t="shared" si="136"/>
        <v>244.6</v>
      </c>
      <c r="I1362" s="170" t="s">
        <v>2842</v>
      </c>
      <c r="J1362" t="s">
        <v>2853</v>
      </c>
      <c r="K1362" s="188" t="s">
        <v>2853</v>
      </c>
    </row>
    <row r="1363" spans="1:11" x14ac:dyDescent="0.25">
      <c r="A1363" t="s">
        <v>5933</v>
      </c>
      <c r="B1363" s="27" t="s">
        <v>1388</v>
      </c>
      <c r="D1363" s="28" t="s">
        <v>3501</v>
      </c>
      <c r="E1363" s="29" t="s">
        <v>21</v>
      </c>
      <c r="F1363" s="30">
        <v>1</v>
      </c>
      <c r="G1363" s="31">
        <v>244.6</v>
      </c>
      <c r="H1363" s="31">
        <f t="shared" si="136"/>
        <v>244.6</v>
      </c>
      <c r="I1363" s="170" t="s">
        <v>2842</v>
      </c>
      <c r="J1363" t="s">
        <v>2853</v>
      </c>
      <c r="K1363" s="188" t="s">
        <v>2853</v>
      </c>
    </row>
    <row r="1364" spans="1:11" x14ac:dyDescent="0.25">
      <c r="A1364" t="s">
        <v>5934</v>
      </c>
      <c r="B1364" s="27" t="s">
        <v>1389</v>
      </c>
      <c r="D1364" s="28" t="s">
        <v>3502</v>
      </c>
      <c r="E1364" s="29" t="s">
        <v>563</v>
      </c>
      <c r="F1364" s="30">
        <v>1</v>
      </c>
      <c r="G1364" s="31">
        <v>244.6</v>
      </c>
      <c r="H1364" s="31">
        <f t="shared" si="136"/>
        <v>244.6</v>
      </c>
      <c r="I1364" s="170" t="s">
        <v>2842</v>
      </c>
      <c r="J1364" t="s">
        <v>2853</v>
      </c>
      <c r="K1364" s="188" t="s">
        <v>2853</v>
      </c>
    </row>
    <row r="1365" spans="1:11" x14ac:dyDescent="0.25">
      <c r="A1365" t="s">
        <v>5935</v>
      </c>
      <c r="B1365" s="27" t="s">
        <v>1390</v>
      </c>
      <c r="D1365" s="28" t="s">
        <v>3503</v>
      </c>
      <c r="E1365" s="29" t="s">
        <v>563</v>
      </c>
      <c r="F1365" s="30">
        <v>1</v>
      </c>
      <c r="G1365" s="31">
        <v>244.6</v>
      </c>
      <c r="H1365" s="31">
        <f t="shared" si="136"/>
        <v>244.6</v>
      </c>
      <c r="I1365" s="170" t="s">
        <v>2842</v>
      </c>
      <c r="J1365" t="s">
        <v>2853</v>
      </c>
      <c r="K1365" s="188" t="s">
        <v>2853</v>
      </c>
    </row>
    <row r="1366" spans="1:11" x14ac:dyDescent="0.25">
      <c r="A1366" t="s">
        <v>5936</v>
      </c>
      <c r="B1366" s="27" t="s">
        <v>1391</v>
      </c>
      <c r="D1366" s="28" t="s">
        <v>3504</v>
      </c>
      <c r="E1366" s="29" t="s">
        <v>563</v>
      </c>
      <c r="F1366" s="30">
        <v>1</v>
      </c>
      <c r="G1366" s="31">
        <v>244.6</v>
      </c>
      <c r="H1366" s="31">
        <f t="shared" si="136"/>
        <v>244.6</v>
      </c>
      <c r="I1366" s="170" t="s">
        <v>2842</v>
      </c>
      <c r="J1366" t="s">
        <v>2853</v>
      </c>
      <c r="K1366" s="188" t="s">
        <v>2853</v>
      </c>
    </row>
    <row r="1367" spans="1:11" x14ac:dyDescent="0.25">
      <c r="A1367" t="s">
        <v>5937</v>
      </c>
      <c r="B1367" s="27" t="s">
        <v>1392</v>
      </c>
      <c r="D1367" s="28" t="s">
        <v>3505</v>
      </c>
      <c r="E1367" s="29" t="s">
        <v>671</v>
      </c>
      <c r="F1367" s="30">
        <v>1</v>
      </c>
      <c r="G1367" s="31">
        <v>244.6</v>
      </c>
      <c r="H1367" s="31">
        <f t="shared" si="136"/>
        <v>244.6</v>
      </c>
      <c r="I1367" s="170" t="s">
        <v>2842</v>
      </c>
      <c r="J1367" t="s">
        <v>2853</v>
      </c>
      <c r="K1367" s="188" t="s">
        <v>2853</v>
      </c>
    </row>
    <row r="1368" spans="1:11" x14ac:dyDescent="0.25">
      <c r="A1368" t="s">
        <v>5938</v>
      </c>
      <c r="B1368" s="27" t="s">
        <v>1393</v>
      </c>
      <c r="D1368" s="28" t="s">
        <v>3506</v>
      </c>
      <c r="E1368" s="29" t="s">
        <v>671</v>
      </c>
      <c r="F1368" s="30">
        <v>1</v>
      </c>
      <c r="G1368" s="31">
        <v>244.6</v>
      </c>
      <c r="H1368" s="31">
        <f t="shared" si="136"/>
        <v>244.6</v>
      </c>
      <c r="I1368" s="170" t="s">
        <v>2842</v>
      </c>
      <c r="J1368" t="s">
        <v>2853</v>
      </c>
      <c r="K1368" s="188" t="s">
        <v>2853</v>
      </c>
    </row>
    <row r="1369" spans="1:11" x14ac:dyDescent="0.25">
      <c r="A1369" t="s">
        <v>5939</v>
      </c>
      <c r="B1369" s="27" t="s">
        <v>1394</v>
      </c>
      <c r="D1369" s="28" t="s">
        <v>3507</v>
      </c>
      <c r="E1369" s="29" t="s">
        <v>671</v>
      </c>
      <c r="F1369" s="30">
        <v>1</v>
      </c>
      <c r="G1369" s="31">
        <v>244.6</v>
      </c>
      <c r="H1369" s="31">
        <f t="shared" si="136"/>
        <v>244.6</v>
      </c>
      <c r="I1369" s="170" t="s">
        <v>2842</v>
      </c>
      <c r="J1369" t="s">
        <v>2853</v>
      </c>
      <c r="K1369" s="188" t="s">
        <v>2853</v>
      </c>
    </row>
    <row r="1370" spans="1:11" x14ac:dyDescent="0.25">
      <c r="A1370" t="s">
        <v>5940</v>
      </c>
      <c r="B1370" s="27" t="s">
        <v>1395</v>
      </c>
      <c r="D1370" s="28" t="s">
        <v>3508</v>
      </c>
      <c r="E1370" s="29" t="s">
        <v>21</v>
      </c>
      <c r="F1370" s="30">
        <v>1</v>
      </c>
      <c r="G1370" s="31">
        <v>178.49</v>
      </c>
      <c r="H1370" s="31">
        <f t="shared" si="136"/>
        <v>178.49</v>
      </c>
      <c r="I1370" s="170" t="s">
        <v>2842</v>
      </c>
      <c r="J1370" t="s">
        <v>2853</v>
      </c>
      <c r="K1370" s="188" t="s">
        <v>2853</v>
      </c>
    </row>
    <row r="1371" spans="1:11" x14ac:dyDescent="0.25">
      <c r="A1371" t="s">
        <v>5941</v>
      </c>
      <c r="B1371" s="27" t="s">
        <v>1396</v>
      </c>
      <c r="D1371" s="28" t="s">
        <v>3509</v>
      </c>
      <c r="E1371" s="29" t="s">
        <v>21</v>
      </c>
      <c r="F1371" s="30">
        <v>1</v>
      </c>
      <c r="G1371" s="31">
        <v>178.49</v>
      </c>
      <c r="H1371" s="31">
        <f t="shared" si="136"/>
        <v>178.49</v>
      </c>
      <c r="I1371" s="170" t="s">
        <v>2842</v>
      </c>
      <c r="J1371" t="s">
        <v>2853</v>
      </c>
      <c r="K1371" s="188" t="s">
        <v>2853</v>
      </c>
    </row>
    <row r="1372" spans="1:11" x14ac:dyDescent="0.25">
      <c r="A1372" t="s">
        <v>5942</v>
      </c>
      <c r="B1372" s="27" t="s">
        <v>1397</v>
      </c>
      <c r="D1372" s="28" t="s">
        <v>3510</v>
      </c>
      <c r="E1372" s="29" t="s">
        <v>21</v>
      </c>
      <c r="F1372" s="30">
        <v>1</v>
      </c>
      <c r="G1372" s="31">
        <v>178.49</v>
      </c>
      <c r="H1372" s="31">
        <f t="shared" si="136"/>
        <v>178.49</v>
      </c>
      <c r="I1372" s="170" t="s">
        <v>2842</v>
      </c>
      <c r="J1372" t="s">
        <v>2853</v>
      </c>
      <c r="K1372" s="188" t="s">
        <v>2853</v>
      </c>
    </row>
    <row r="1373" spans="1:11" x14ac:dyDescent="0.25">
      <c r="A1373" t="s">
        <v>5943</v>
      </c>
      <c r="B1373" s="27" t="s">
        <v>1398</v>
      </c>
      <c r="D1373" s="28" t="s">
        <v>3511</v>
      </c>
      <c r="E1373" s="29" t="s">
        <v>563</v>
      </c>
      <c r="F1373" s="30">
        <v>1</v>
      </c>
      <c r="G1373" s="31">
        <v>178.49</v>
      </c>
      <c r="H1373" s="31">
        <f t="shared" si="136"/>
        <v>178.49</v>
      </c>
      <c r="I1373" s="170" t="s">
        <v>2842</v>
      </c>
      <c r="J1373" t="s">
        <v>2853</v>
      </c>
      <c r="K1373" s="188" t="s">
        <v>2853</v>
      </c>
    </row>
    <row r="1374" spans="1:11" x14ac:dyDescent="0.25">
      <c r="A1374" t="s">
        <v>5944</v>
      </c>
      <c r="B1374" s="27" t="s">
        <v>1399</v>
      </c>
      <c r="D1374" s="28" t="s">
        <v>3512</v>
      </c>
      <c r="E1374" s="29" t="s">
        <v>563</v>
      </c>
      <c r="F1374" s="30">
        <v>1</v>
      </c>
      <c r="G1374" s="31">
        <v>178.49</v>
      </c>
      <c r="H1374" s="31">
        <f t="shared" si="136"/>
        <v>178.49</v>
      </c>
      <c r="I1374" s="170" t="s">
        <v>2842</v>
      </c>
      <c r="J1374" t="s">
        <v>2853</v>
      </c>
      <c r="K1374" s="188" t="s">
        <v>2853</v>
      </c>
    </row>
    <row r="1375" spans="1:11" x14ac:dyDescent="0.25">
      <c r="A1375" t="s">
        <v>5945</v>
      </c>
      <c r="B1375" s="27" t="s">
        <v>1400</v>
      </c>
      <c r="D1375" s="28" t="s">
        <v>3513</v>
      </c>
      <c r="E1375" s="29" t="s">
        <v>563</v>
      </c>
      <c r="F1375" s="30">
        <v>1</v>
      </c>
      <c r="G1375" s="31">
        <v>178.49</v>
      </c>
      <c r="H1375" s="31">
        <f t="shared" si="136"/>
        <v>178.49</v>
      </c>
      <c r="I1375" s="170" t="s">
        <v>2842</v>
      </c>
      <c r="J1375" t="s">
        <v>2853</v>
      </c>
      <c r="K1375" s="188" t="s">
        <v>2853</v>
      </c>
    </row>
    <row r="1376" spans="1:11" x14ac:dyDescent="0.25">
      <c r="A1376" t="s">
        <v>5946</v>
      </c>
      <c r="B1376" s="27" t="s">
        <v>1401</v>
      </c>
      <c r="D1376" s="28" t="s">
        <v>3514</v>
      </c>
      <c r="E1376" s="29" t="s">
        <v>671</v>
      </c>
      <c r="F1376" s="30">
        <v>1</v>
      </c>
      <c r="G1376" s="31">
        <v>178.49</v>
      </c>
      <c r="H1376" s="31">
        <f t="shared" ref="H1376:H1439" si="137">+F1376*G1376</f>
        <v>178.49</v>
      </c>
      <c r="I1376" s="170" t="s">
        <v>2842</v>
      </c>
      <c r="J1376" t="s">
        <v>2853</v>
      </c>
      <c r="K1376" s="188" t="s">
        <v>2853</v>
      </c>
    </row>
    <row r="1377" spans="1:11" x14ac:dyDescent="0.25">
      <c r="A1377" t="s">
        <v>5947</v>
      </c>
      <c r="B1377" s="27" t="s">
        <v>1402</v>
      </c>
      <c r="D1377" s="28" t="s">
        <v>3515</v>
      </c>
      <c r="E1377" s="29" t="s">
        <v>671</v>
      </c>
      <c r="F1377" s="30">
        <v>1</v>
      </c>
      <c r="G1377" s="31">
        <v>178.49</v>
      </c>
      <c r="H1377" s="31">
        <f t="shared" si="137"/>
        <v>178.49</v>
      </c>
      <c r="I1377" s="170" t="s">
        <v>2842</v>
      </c>
      <c r="J1377" t="s">
        <v>2853</v>
      </c>
      <c r="K1377" s="188" t="s">
        <v>2853</v>
      </c>
    </row>
    <row r="1378" spans="1:11" x14ac:dyDescent="0.25">
      <c r="A1378" t="s">
        <v>5948</v>
      </c>
      <c r="B1378" s="27" t="s">
        <v>1403</v>
      </c>
      <c r="D1378" s="28" t="s">
        <v>3516</v>
      </c>
      <c r="E1378" s="29" t="s">
        <v>671</v>
      </c>
      <c r="F1378" s="30">
        <v>1</v>
      </c>
      <c r="G1378" s="31">
        <v>178.49</v>
      </c>
      <c r="H1378" s="31">
        <f t="shared" si="137"/>
        <v>178.49</v>
      </c>
      <c r="I1378" s="170" t="s">
        <v>2842</v>
      </c>
      <c r="J1378" t="s">
        <v>2853</v>
      </c>
      <c r="K1378" s="188" t="s">
        <v>2853</v>
      </c>
    </row>
    <row r="1379" spans="1:11" x14ac:dyDescent="0.25">
      <c r="A1379" t="s">
        <v>5949</v>
      </c>
      <c r="B1379" s="27" t="s">
        <v>1404</v>
      </c>
      <c r="D1379" s="28" t="s">
        <v>3517</v>
      </c>
      <c r="E1379" s="29" t="s">
        <v>21</v>
      </c>
      <c r="F1379" s="30">
        <v>1</v>
      </c>
      <c r="G1379" s="31">
        <v>231.38</v>
      </c>
      <c r="H1379" s="31">
        <f t="shared" si="137"/>
        <v>231.38</v>
      </c>
      <c r="I1379" s="170" t="s">
        <v>2842</v>
      </c>
      <c r="J1379" t="s">
        <v>2853</v>
      </c>
      <c r="K1379" s="188" t="s">
        <v>2853</v>
      </c>
    </row>
    <row r="1380" spans="1:11" x14ac:dyDescent="0.25">
      <c r="A1380" t="s">
        <v>5950</v>
      </c>
      <c r="B1380" s="27" t="s">
        <v>1405</v>
      </c>
      <c r="D1380" s="28" t="s">
        <v>3518</v>
      </c>
      <c r="E1380" s="29" t="s">
        <v>21</v>
      </c>
      <c r="F1380" s="30">
        <v>1</v>
      </c>
      <c r="G1380" s="31">
        <v>231.38</v>
      </c>
      <c r="H1380" s="31">
        <f t="shared" si="137"/>
        <v>231.38</v>
      </c>
      <c r="I1380" s="170" t="s">
        <v>2842</v>
      </c>
      <c r="J1380" t="s">
        <v>2853</v>
      </c>
      <c r="K1380" s="188" t="s">
        <v>2853</v>
      </c>
    </row>
    <row r="1381" spans="1:11" x14ac:dyDescent="0.25">
      <c r="A1381" t="s">
        <v>5951</v>
      </c>
      <c r="B1381" s="27" t="s">
        <v>1406</v>
      </c>
      <c r="D1381" s="28" t="s">
        <v>3519</v>
      </c>
      <c r="E1381" s="29" t="s">
        <v>21</v>
      </c>
      <c r="F1381" s="30">
        <v>1</v>
      </c>
      <c r="G1381" s="31">
        <v>231.38</v>
      </c>
      <c r="H1381" s="31">
        <f t="shared" si="137"/>
        <v>231.38</v>
      </c>
      <c r="I1381" s="170" t="s">
        <v>2842</v>
      </c>
      <c r="J1381" t="s">
        <v>2853</v>
      </c>
      <c r="K1381" s="188" t="s">
        <v>2853</v>
      </c>
    </row>
    <row r="1382" spans="1:11" x14ac:dyDescent="0.25">
      <c r="A1382" t="s">
        <v>5952</v>
      </c>
      <c r="B1382" s="27" t="s">
        <v>1407</v>
      </c>
      <c r="D1382" s="28" t="s">
        <v>3520</v>
      </c>
      <c r="E1382" s="29" t="s">
        <v>563</v>
      </c>
      <c r="F1382" s="30">
        <v>1</v>
      </c>
      <c r="G1382" s="31">
        <v>231.38</v>
      </c>
      <c r="H1382" s="31">
        <f t="shared" si="137"/>
        <v>231.38</v>
      </c>
      <c r="I1382" s="170" t="s">
        <v>2842</v>
      </c>
      <c r="J1382" t="s">
        <v>2853</v>
      </c>
      <c r="K1382" s="188" t="s">
        <v>2853</v>
      </c>
    </row>
    <row r="1383" spans="1:11" x14ac:dyDescent="0.25">
      <c r="A1383" t="s">
        <v>5953</v>
      </c>
      <c r="B1383" s="27" t="s">
        <v>1408</v>
      </c>
      <c r="D1383" s="28" t="s">
        <v>3521</v>
      </c>
      <c r="E1383" s="29" t="s">
        <v>563</v>
      </c>
      <c r="F1383" s="30">
        <v>1</v>
      </c>
      <c r="G1383" s="31">
        <v>231.38</v>
      </c>
      <c r="H1383" s="31">
        <f t="shared" si="137"/>
        <v>231.38</v>
      </c>
      <c r="I1383" s="170" t="s">
        <v>2842</v>
      </c>
      <c r="J1383" t="s">
        <v>2853</v>
      </c>
      <c r="K1383" s="188" t="s">
        <v>2853</v>
      </c>
    </row>
    <row r="1384" spans="1:11" x14ac:dyDescent="0.25">
      <c r="A1384" t="s">
        <v>5954</v>
      </c>
      <c r="B1384" s="27" t="s">
        <v>1409</v>
      </c>
      <c r="D1384" s="28" t="s">
        <v>3522</v>
      </c>
      <c r="E1384" s="29" t="s">
        <v>563</v>
      </c>
      <c r="F1384" s="30">
        <v>1</v>
      </c>
      <c r="G1384" s="31">
        <v>231.38</v>
      </c>
      <c r="H1384" s="31">
        <f t="shared" si="137"/>
        <v>231.38</v>
      </c>
      <c r="I1384" s="170" t="s">
        <v>2842</v>
      </c>
      <c r="J1384" t="s">
        <v>2853</v>
      </c>
      <c r="K1384" s="188" t="s">
        <v>2853</v>
      </c>
    </row>
    <row r="1385" spans="1:11" x14ac:dyDescent="0.25">
      <c r="A1385" t="s">
        <v>5955</v>
      </c>
      <c r="B1385" s="27" t="s">
        <v>1410</v>
      </c>
      <c r="D1385" s="28" t="s">
        <v>3523</v>
      </c>
      <c r="E1385" s="29" t="s">
        <v>671</v>
      </c>
      <c r="F1385" s="30">
        <v>1</v>
      </c>
      <c r="G1385" s="31">
        <v>231.38</v>
      </c>
      <c r="H1385" s="31">
        <f t="shared" si="137"/>
        <v>231.38</v>
      </c>
      <c r="I1385" s="170" t="s">
        <v>2842</v>
      </c>
      <c r="J1385" t="s">
        <v>2853</v>
      </c>
      <c r="K1385" s="188" t="s">
        <v>2853</v>
      </c>
    </row>
    <row r="1386" spans="1:11" x14ac:dyDescent="0.25">
      <c r="A1386" t="s">
        <v>5956</v>
      </c>
      <c r="B1386" s="27" t="s">
        <v>1411</v>
      </c>
      <c r="D1386" s="28" t="s">
        <v>3524</v>
      </c>
      <c r="E1386" s="29" t="s">
        <v>671</v>
      </c>
      <c r="F1386" s="30">
        <v>1</v>
      </c>
      <c r="G1386" s="31">
        <v>231.38</v>
      </c>
      <c r="H1386" s="31">
        <f t="shared" si="137"/>
        <v>231.38</v>
      </c>
      <c r="I1386" s="170" t="s">
        <v>2842</v>
      </c>
      <c r="J1386" t="s">
        <v>2853</v>
      </c>
      <c r="K1386" s="188" t="s">
        <v>2853</v>
      </c>
    </row>
    <row r="1387" spans="1:11" x14ac:dyDescent="0.25">
      <c r="A1387" t="s">
        <v>5957</v>
      </c>
      <c r="B1387" s="27" t="s">
        <v>1412</v>
      </c>
      <c r="D1387" s="28" t="s">
        <v>3525</v>
      </c>
      <c r="E1387" s="29" t="s">
        <v>671</v>
      </c>
      <c r="F1387" s="30">
        <v>1</v>
      </c>
      <c r="G1387" s="31">
        <v>231.38</v>
      </c>
      <c r="H1387" s="31">
        <f t="shared" si="137"/>
        <v>231.38</v>
      </c>
      <c r="I1387" s="170" t="s">
        <v>2842</v>
      </c>
      <c r="J1387" t="s">
        <v>2853</v>
      </c>
      <c r="K1387" s="188" t="s">
        <v>2853</v>
      </c>
    </row>
    <row r="1388" spans="1:11" x14ac:dyDescent="0.25">
      <c r="A1388" t="s">
        <v>5958</v>
      </c>
      <c r="B1388" s="27" t="s">
        <v>1413</v>
      </c>
      <c r="D1388" s="28" t="s">
        <v>3526</v>
      </c>
      <c r="E1388" s="29" t="s">
        <v>21</v>
      </c>
      <c r="F1388" s="30">
        <v>1</v>
      </c>
      <c r="G1388" s="31">
        <v>284.26</v>
      </c>
      <c r="H1388" s="31">
        <f t="shared" si="137"/>
        <v>284.26</v>
      </c>
      <c r="I1388" s="170" t="s">
        <v>2842</v>
      </c>
      <c r="J1388" t="s">
        <v>2853</v>
      </c>
      <c r="K1388" s="188" t="s">
        <v>2853</v>
      </c>
    </row>
    <row r="1389" spans="1:11" x14ac:dyDescent="0.25">
      <c r="A1389" t="s">
        <v>5959</v>
      </c>
      <c r="B1389" s="27" t="s">
        <v>1414</v>
      </c>
      <c r="D1389" s="28" t="s">
        <v>3527</v>
      </c>
      <c r="E1389" s="29" t="s">
        <v>21</v>
      </c>
      <c r="F1389" s="30">
        <v>1</v>
      </c>
      <c r="G1389" s="31">
        <v>284.26</v>
      </c>
      <c r="H1389" s="31">
        <f t="shared" si="137"/>
        <v>284.26</v>
      </c>
      <c r="I1389" s="170" t="s">
        <v>2842</v>
      </c>
      <c r="J1389" t="s">
        <v>2853</v>
      </c>
      <c r="K1389" s="188" t="s">
        <v>2853</v>
      </c>
    </row>
    <row r="1390" spans="1:11" x14ac:dyDescent="0.25">
      <c r="A1390" t="s">
        <v>5960</v>
      </c>
      <c r="B1390" s="27" t="s">
        <v>1415</v>
      </c>
      <c r="D1390" s="28" t="s">
        <v>3528</v>
      </c>
      <c r="E1390" s="29" t="s">
        <v>21</v>
      </c>
      <c r="F1390" s="30">
        <v>1</v>
      </c>
      <c r="G1390" s="31">
        <v>284.26</v>
      </c>
      <c r="H1390" s="31">
        <f t="shared" si="137"/>
        <v>284.26</v>
      </c>
      <c r="I1390" s="170" t="s">
        <v>2842</v>
      </c>
      <c r="J1390" t="s">
        <v>2853</v>
      </c>
      <c r="K1390" s="188" t="s">
        <v>2853</v>
      </c>
    </row>
    <row r="1391" spans="1:11" x14ac:dyDescent="0.25">
      <c r="A1391" t="s">
        <v>5961</v>
      </c>
      <c r="B1391" s="27" t="s">
        <v>1416</v>
      </c>
      <c r="D1391" s="28" t="s">
        <v>3529</v>
      </c>
      <c r="E1391" s="29" t="s">
        <v>563</v>
      </c>
      <c r="F1391" s="30">
        <v>1</v>
      </c>
      <c r="G1391" s="31">
        <v>284.26</v>
      </c>
      <c r="H1391" s="31">
        <f t="shared" si="137"/>
        <v>284.26</v>
      </c>
      <c r="I1391" s="170" t="s">
        <v>2842</v>
      </c>
      <c r="J1391" t="s">
        <v>2853</v>
      </c>
      <c r="K1391" s="188" t="s">
        <v>2853</v>
      </c>
    </row>
    <row r="1392" spans="1:11" x14ac:dyDescent="0.25">
      <c r="A1392" t="s">
        <v>5962</v>
      </c>
      <c r="B1392" s="27" t="s">
        <v>1417</v>
      </c>
      <c r="D1392" s="28" t="s">
        <v>3530</v>
      </c>
      <c r="E1392" s="29" t="s">
        <v>563</v>
      </c>
      <c r="F1392" s="30">
        <v>1</v>
      </c>
      <c r="G1392" s="31">
        <v>284.26</v>
      </c>
      <c r="H1392" s="31">
        <f t="shared" si="137"/>
        <v>284.26</v>
      </c>
      <c r="I1392" s="170" t="s">
        <v>2842</v>
      </c>
      <c r="J1392" t="s">
        <v>2853</v>
      </c>
      <c r="K1392" s="188" t="s">
        <v>2853</v>
      </c>
    </row>
    <row r="1393" spans="1:11" x14ac:dyDescent="0.25">
      <c r="A1393" t="s">
        <v>5963</v>
      </c>
      <c r="B1393" s="27" t="s">
        <v>1418</v>
      </c>
      <c r="D1393" s="28" t="s">
        <v>3531</v>
      </c>
      <c r="E1393" s="29" t="s">
        <v>563</v>
      </c>
      <c r="F1393" s="30">
        <v>1</v>
      </c>
      <c r="G1393" s="31">
        <v>284.26</v>
      </c>
      <c r="H1393" s="31">
        <f t="shared" si="137"/>
        <v>284.26</v>
      </c>
      <c r="I1393" s="170" t="s">
        <v>2842</v>
      </c>
      <c r="J1393" t="s">
        <v>2853</v>
      </c>
      <c r="K1393" s="188" t="s">
        <v>2853</v>
      </c>
    </row>
    <row r="1394" spans="1:11" x14ac:dyDescent="0.25">
      <c r="A1394" t="s">
        <v>5964</v>
      </c>
      <c r="B1394" s="27" t="s">
        <v>1419</v>
      </c>
      <c r="D1394" s="28" t="s">
        <v>3532</v>
      </c>
      <c r="E1394" s="29" t="s">
        <v>671</v>
      </c>
      <c r="F1394" s="30">
        <v>1</v>
      </c>
      <c r="G1394" s="31">
        <v>284.26</v>
      </c>
      <c r="H1394" s="31">
        <f t="shared" si="137"/>
        <v>284.26</v>
      </c>
      <c r="I1394" s="170" t="s">
        <v>2842</v>
      </c>
      <c r="J1394" t="s">
        <v>2853</v>
      </c>
      <c r="K1394" s="188" t="s">
        <v>2853</v>
      </c>
    </row>
    <row r="1395" spans="1:11" x14ac:dyDescent="0.25">
      <c r="A1395" t="s">
        <v>5965</v>
      </c>
      <c r="B1395" s="27" t="s">
        <v>1420</v>
      </c>
      <c r="D1395" s="28" t="s">
        <v>3533</v>
      </c>
      <c r="E1395" s="29" t="s">
        <v>671</v>
      </c>
      <c r="F1395" s="30">
        <v>1</v>
      </c>
      <c r="G1395" s="31">
        <v>284.26</v>
      </c>
      <c r="H1395" s="31">
        <f t="shared" si="137"/>
        <v>284.26</v>
      </c>
      <c r="I1395" s="170" t="s">
        <v>2842</v>
      </c>
      <c r="J1395" t="s">
        <v>2853</v>
      </c>
      <c r="K1395" s="188" t="s">
        <v>2853</v>
      </c>
    </row>
    <row r="1396" spans="1:11" x14ac:dyDescent="0.25">
      <c r="A1396" t="s">
        <v>5966</v>
      </c>
      <c r="B1396" s="27" t="s">
        <v>1421</v>
      </c>
      <c r="D1396" s="28" t="s">
        <v>3534</v>
      </c>
      <c r="E1396" s="29" t="s">
        <v>671</v>
      </c>
      <c r="F1396" s="30">
        <v>1</v>
      </c>
      <c r="G1396" s="31">
        <v>284.26</v>
      </c>
      <c r="H1396" s="31">
        <f t="shared" si="137"/>
        <v>284.26</v>
      </c>
      <c r="I1396" s="170" t="s">
        <v>2842</v>
      </c>
      <c r="J1396" t="s">
        <v>2853</v>
      </c>
      <c r="K1396" s="188" t="s">
        <v>2853</v>
      </c>
    </row>
    <row r="1397" spans="1:11" x14ac:dyDescent="0.25">
      <c r="A1397" t="s">
        <v>5967</v>
      </c>
      <c r="B1397" s="27" t="s">
        <v>1422</v>
      </c>
      <c r="D1397" s="28" t="s">
        <v>3535</v>
      </c>
      <c r="E1397" s="29" t="s">
        <v>21</v>
      </c>
      <c r="F1397" s="30">
        <v>1</v>
      </c>
      <c r="G1397" s="31">
        <v>330.53</v>
      </c>
      <c r="H1397" s="31">
        <f t="shared" si="137"/>
        <v>330.53</v>
      </c>
      <c r="I1397" s="170" t="s">
        <v>2842</v>
      </c>
      <c r="J1397" t="s">
        <v>2853</v>
      </c>
      <c r="K1397" s="188" t="s">
        <v>2853</v>
      </c>
    </row>
    <row r="1398" spans="1:11" x14ac:dyDescent="0.25">
      <c r="A1398" t="s">
        <v>5968</v>
      </c>
      <c r="B1398" s="27" t="s">
        <v>1423</v>
      </c>
      <c r="D1398" s="28" t="s">
        <v>3536</v>
      </c>
      <c r="E1398" s="29" t="s">
        <v>21</v>
      </c>
      <c r="F1398" s="30">
        <v>1</v>
      </c>
      <c r="G1398" s="31">
        <v>330.53</v>
      </c>
      <c r="H1398" s="31">
        <f t="shared" si="137"/>
        <v>330.53</v>
      </c>
      <c r="I1398" s="170" t="s">
        <v>2842</v>
      </c>
      <c r="J1398" t="s">
        <v>2853</v>
      </c>
      <c r="K1398" s="188" t="s">
        <v>2853</v>
      </c>
    </row>
    <row r="1399" spans="1:11" x14ac:dyDescent="0.25">
      <c r="A1399" t="s">
        <v>5969</v>
      </c>
      <c r="B1399" s="27" t="s">
        <v>1424</v>
      </c>
      <c r="D1399" s="28" t="s">
        <v>3537</v>
      </c>
      <c r="E1399" s="29" t="s">
        <v>21</v>
      </c>
      <c r="F1399" s="30">
        <v>1</v>
      </c>
      <c r="G1399" s="31">
        <v>330.53</v>
      </c>
      <c r="H1399" s="31">
        <f t="shared" si="137"/>
        <v>330.53</v>
      </c>
      <c r="I1399" s="170" t="s">
        <v>2842</v>
      </c>
      <c r="J1399" t="s">
        <v>2853</v>
      </c>
      <c r="K1399" s="188" t="s">
        <v>2853</v>
      </c>
    </row>
    <row r="1400" spans="1:11" x14ac:dyDescent="0.25">
      <c r="A1400" t="s">
        <v>5970</v>
      </c>
      <c r="B1400" s="27" t="s">
        <v>1425</v>
      </c>
      <c r="D1400" s="28" t="s">
        <v>3538</v>
      </c>
      <c r="E1400" s="29" t="s">
        <v>563</v>
      </c>
      <c r="F1400" s="30">
        <v>1</v>
      </c>
      <c r="G1400" s="31">
        <v>330.53</v>
      </c>
      <c r="H1400" s="31">
        <f t="shared" si="137"/>
        <v>330.53</v>
      </c>
      <c r="I1400" s="170" t="s">
        <v>2842</v>
      </c>
      <c r="J1400" t="s">
        <v>2853</v>
      </c>
      <c r="K1400" s="188" t="s">
        <v>2853</v>
      </c>
    </row>
    <row r="1401" spans="1:11" x14ac:dyDescent="0.25">
      <c r="A1401" t="s">
        <v>5971</v>
      </c>
      <c r="B1401" s="27" t="s">
        <v>1426</v>
      </c>
      <c r="D1401" s="28" t="s">
        <v>3539</v>
      </c>
      <c r="E1401" s="29" t="s">
        <v>563</v>
      </c>
      <c r="F1401" s="30">
        <v>1</v>
      </c>
      <c r="G1401" s="31">
        <v>330.53</v>
      </c>
      <c r="H1401" s="31">
        <f t="shared" si="137"/>
        <v>330.53</v>
      </c>
      <c r="I1401" s="170" t="s">
        <v>2842</v>
      </c>
      <c r="J1401" t="s">
        <v>2853</v>
      </c>
      <c r="K1401" s="188" t="s">
        <v>2853</v>
      </c>
    </row>
    <row r="1402" spans="1:11" x14ac:dyDescent="0.25">
      <c r="A1402" t="s">
        <v>5972</v>
      </c>
      <c r="B1402" s="27" t="s">
        <v>1427</v>
      </c>
      <c r="D1402" s="28" t="s">
        <v>3540</v>
      </c>
      <c r="E1402" s="29" t="s">
        <v>563</v>
      </c>
      <c r="F1402" s="30">
        <v>1</v>
      </c>
      <c r="G1402" s="31">
        <v>330.53</v>
      </c>
      <c r="H1402" s="31">
        <f t="shared" si="137"/>
        <v>330.53</v>
      </c>
      <c r="I1402" s="170" t="s">
        <v>2842</v>
      </c>
      <c r="J1402" t="s">
        <v>2853</v>
      </c>
      <c r="K1402" s="188" t="s">
        <v>2853</v>
      </c>
    </row>
    <row r="1403" spans="1:11" x14ac:dyDescent="0.25">
      <c r="A1403" t="s">
        <v>5973</v>
      </c>
      <c r="B1403" s="27" t="s">
        <v>1428</v>
      </c>
      <c r="D1403" s="28" t="s">
        <v>3541</v>
      </c>
      <c r="E1403" s="29" t="s">
        <v>671</v>
      </c>
      <c r="F1403" s="30">
        <v>1</v>
      </c>
      <c r="G1403" s="31">
        <v>330.53</v>
      </c>
      <c r="H1403" s="31">
        <f t="shared" si="137"/>
        <v>330.53</v>
      </c>
      <c r="I1403" s="170" t="s">
        <v>2842</v>
      </c>
      <c r="J1403" t="s">
        <v>2853</v>
      </c>
      <c r="K1403" s="188" t="s">
        <v>2853</v>
      </c>
    </row>
    <row r="1404" spans="1:11" x14ac:dyDescent="0.25">
      <c r="A1404" t="s">
        <v>5974</v>
      </c>
      <c r="B1404" s="27" t="s">
        <v>1429</v>
      </c>
      <c r="D1404" s="28" t="s">
        <v>3542</v>
      </c>
      <c r="E1404" s="29" t="s">
        <v>671</v>
      </c>
      <c r="F1404" s="30">
        <v>1</v>
      </c>
      <c r="G1404" s="31">
        <v>330.53</v>
      </c>
      <c r="H1404" s="31">
        <f t="shared" si="137"/>
        <v>330.53</v>
      </c>
      <c r="I1404" s="170" t="s">
        <v>2842</v>
      </c>
      <c r="J1404" t="s">
        <v>2853</v>
      </c>
      <c r="K1404" s="188" t="s">
        <v>2853</v>
      </c>
    </row>
    <row r="1405" spans="1:11" x14ac:dyDescent="0.25">
      <c r="A1405" t="s">
        <v>5975</v>
      </c>
      <c r="B1405" s="27" t="s">
        <v>1430</v>
      </c>
      <c r="D1405" s="28" t="s">
        <v>3543</v>
      </c>
      <c r="E1405" s="29" t="s">
        <v>671</v>
      </c>
      <c r="F1405" s="30">
        <v>1</v>
      </c>
      <c r="G1405" s="31">
        <v>330.53</v>
      </c>
      <c r="H1405" s="31">
        <f t="shared" si="137"/>
        <v>330.53</v>
      </c>
      <c r="I1405" s="170" t="s">
        <v>2842</v>
      </c>
      <c r="J1405" t="s">
        <v>2853</v>
      </c>
      <c r="K1405" s="188" t="s">
        <v>2853</v>
      </c>
    </row>
    <row r="1406" spans="1:11" x14ac:dyDescent="0.25">
      <c r="A1406" t="s">
        <v>5976</v>
      </c>
      <c r="B1406" s="27" t="s">
        <v>1431</v>
      </c>
      <c r="D1406" s="28" t="s">
        <v>3544</v>
      </c>
      <c r="E1406" s="29" t="s">
        <v>21</v>
      </c>
      <c r="F1406" s="30">
        <v>1</v>
      </c>
      <c r="G1406" s="31">
        <v>211.55</v>
      </c>
      <c r="H1406" s="31">
        <f t="shared" si="137"/>
        <v>211.55</v>
      </c>
      <c r="I1406" s="170" t="s">
        <v>2842</v>
      </c>
      <c r="J1406" t="s">
        <v>2853</v>
      </c>
      <c r="K1406" s="188" t="s">
        <v>2853</v>
      </c>
    </row>
    <row r="1407" spans="1:11" x14ac:dyDescent="0.25">
      <c r="A1407" t="s">
        <v>5977</v>
      </c>
      <c r="B1407" s="27" t="s">
        <v>1432</v>
      </c>
      <c r="D1407" s="28" t="s">
        <v>3545</v>
      </c>
      <c r="E1407" s="29" t="s">
        <v>21</v>
      </c>
      <c r="F1407" s="30">
        <v>1</v>
      </c>
      <c r="G1407" s="31">
        <v>211.55</v>
      </c>
      <c r="H1407" s="31">
        <f t="shared" si="137"/>
        <v>211.55</v>
      </c>
      <c r="I1407" s="170" t="s">
        <v>2842</v>
      </c>
      <c r="J1407" t="s">
        <v>2853</v>
      </c>
      <c r="K1407" s="188" t="s">
        <v>2853</v>
      </c>
    </row>
    <row r="1408" spans="1:11" x14ac:dyDescent="0.25">
      <c r="A1408" t="s">
        <v>5978</v>
      </c>
      <c r="B1408" s="27" t="s">
        <v>1433</v>
      </c>
      <c r="D1408" s="28" t="s">
        <v>3546</v>
      </c>
      <c r="E1408" s="29" t="s">
        <v>21</v>
      </c>
      <c r="F1408" s="30">
        <v>1</v>
      </c>
      <c r="G1408" s="31">
        <v>211.55</v>
      </c>
      <c r="H1408" s="31">
        <f t="shared" si="137"/>
        <v>211.55</v>
      </c>
      <c r="I1408" s="170" t="s">
        <v>2842</v>
      </c>
      <c r="J1408" t="s">
        <v>2853</v>
      </c>
      <c r="K1408" s="188" t="s">
        <v>2853</v>
      </c>
    </row>
    <row r="1409" spans="1:11" x14ac:dyDescent="0.25">
      <c r="A1409" t="s">
        <v>5979</v>
      </c>
      <c r="B1409" s="27" t="s">
        <v>1434</v>
      </c>
      <c r="D1409" s="28" t="s">
        <v>3547</v>
      </c>
      <c r="E1409" s="29" t="s">
        <v>563</v>
      </c>
      <c r="F1409" s="30">
        <v>1</v>
      </c>
      <c r="G1409" s="31">
        <v>211.55</v>
      </c>
      <c r="H1409" s="31">
        <f t="shared" si="137"/>
        <v>211.55</v>
      </c>
      <c r="I1409" s="170" t="s">
        <v>2842</v>
      </c>
      <c r="J1409" t="s">
        <v>2853</v>
      </c>
      <c r="K1409" s="188" t="s">
        <v>2853</v>
      </c>
    </row>
    <row r="1410" spans="1:11" x14ac:dyDescent="0.25">
      <c r="A1410" t="s">
        <v>5980</v>
      </c>
      <c r="B1410" s="27" t="s">
        <v>1435</v>
      </c>
      <c r="D1410" s="28" t="s">
        <v>3548</v>
      </c>
      <c r="E1410" s="29" t="s">
        <v>563</v>
      </c>
      <c r="F1410" s="30">
        <v>1</v>
      </c>
      <c r="G1410" s="31">
        <v>211.55</v>
      </c>
      <c r="H1410" s="31">
        <f t="shared" si="137"/>
        <v>211.55</v>
      </c>
      <c r="I1410" s="170" t="s">
        <v>2842</v>
      </c>
      <c r="J1410" t="s">
        <v>2853</v>
      </c>
      <c r="K1410" s="188" t="s">
        <v>2853</v>
      </c>
    </row>
    <row r="1411" spans="1:11" x14ac:dyDescent="0.25">
      <c r="A1411" t="s">
        <v>5981</v>
      </c>
      <c r="B1411" s="27" t="s">
        <v>1436</v>
      </c>
      <c r="D1411" s="28" t="s">
        <v>3549</v>
      </c>
      <c r="E1411" s="29" t="s">
        <v>563</v>
      </c>
      <c r="F1411" s="30">
        <v>1</v>
      </c>
      <c r="G1411" s="31">
        <v>211.55</v>
      </c>
      <c r="H1411" s="31">
        <f t="shared" si="137"/>
        <v>211.55</v>
      </c>
      <c r="I1411" s="170" t="s">
        <v>2842</v>
      </c>
      <c r="J1411" t="s">
        <v>2853</v>
      </c>
      <c r="K1411" s="188" t="s">
        <v>2853</v>
      </c>
    </row>
    <row r="1412" spans="1:11" x14ac:dyDescent="0.25">
      <c r="A1412" t="s">
        <v>5982</v>
      </c>
      <c r="B1412" s="27" t="s">
        <v>1437</v>
      </c>
      <c r="D1412" s="28" t="s">
        <v>3550</v>
      </c>
      <c r="E1412" s="29" t="s">
        <v>671</v>
      </c>
      <c r="F1412" s="30">
        <v>1</v>
      </c>
      <c r="G1412" s="31">
        <v>211.55</v>
      </c>
      <c r="H1412" s="31">
        <f t="shared" si="137"/>
        <v>211.55</v>
      </c>
      <c r="I1412" s="170" t="s">
        <v>2842</v>
      </c>
      <c r="J1412" t="s">
        <v>2853</v>
      </c>
      <c r="K1412" s="188" t="s">
        <v>2853</v>
      </c>
    </row>
    <row r="1413" spans="1:11" x14ac:dyDescent="0.25">
      <c r="A1413" t="s">
        <v>5983</v>
      </c>
      <c r="B1413" s="27" t="s">
        <v>1438</v>
      </c>
      <c r="D1413" s="28" t="s">
        <v>3551</v>
      </c>
      <c r="E1413" s="29" t="s">
        <v>671</v>
      </c>
      <c r="F1413" s="30">
        <v>1</v>
      </c>
      <c r="G1413" s="31">
        <v>211.55</v>
      </c>
      <c r="H1413" s="31">
        <f t="shared" si="137"/>
        <v>211.55</v>
      </c>
      <c r="I1413" s="170" t="s">
        <v>2842</v>
      </c>
      <c r="J1413" t="s">
        <v>2853</v>
      </c>
      <c r="K1413" s="188" t="s">
        <v>2853</v>
      </c>
    </row>
    <row r="1414" spans="1:11" x14ac:dyDescent="0.25">
      <c r="A1414" t="s">
        <v>5984</v>
      </c>
      <c r="B1414" s="27" t="s">
        <v>1439</v>
      </c>
      <c r="D1414" s="28" t="s">
        <v>3552</v>
      </c>
      <c r="E1414" s="29" t="s">
        <v>671</v>
      </c>
      <c r="F1414" s="30">
        <v>1</v>
      </c>
      <c r="G1414" s="31">
        <v>211.55</v>
      </c>
      <c r="H1414" s="31">
        <f t="shared" si="137"/>
        <v>211.55</v>
      </c>
      <c r="I1414" s="170" t="s">
        <v>2842</v>
      </c>
      <c r="J1414" t="s">
        <v>2853</v>
      </c>
      <c r="K1414" s="188" t="s">
        <v>2853</v>
      </c>
    </row>
    <row r="1415" spans="1:11" x14ac:dyDescent="0.25">
      <c r="A1415" t="s">
        <v>5985</v>
      </c>
      <c r="B1415" s="27" t="s">
        <v>1440</v>
      </c>
      <c r="D1415" s="28" t="s">
        <v>3553</v>
      </c>
      <c r="E1415" s="29" t="s">
        <v>21</v>
      </c>
      <c r="F1415" s="30">
        <v>1</v>
      </c>
      <c r="G1415" s="31">
        <v>257.83</v>
      </c>
      <c r="H1415" s="31">
        <f t="shared" si="137"/>
        <v>257.83</v>
      </c>
      <c r="I1415" s="170" t="s">
        <v>2842</v>
      </c>
      <c r="J1415" t="s">
        <v>2853</v>
      </c>
      <c r="K1415" s="188" t="s">
        <v>2853</v>
      </c>
    </row>
    <row r="1416" spans="1:11" x14ac:dyDescent="0.25">
      <c r="A1416" t="s">
        <v>5986</v>
      </c>
      <c r="B1416" s="27" t="s">
        <v>1441</v>
      </c>
      <c r="D1416" s="28" t="s">
        <v>3554</v>
      </c>
      <c r="E1416" s="29" t="s">
        <v>21</v>
      </c>
      <c r="F1416" s="30">
        <v>1</v>
      </c>
      <c r="G1416" s="31">
        <v>257.83</v>
      </c>
      <c r="H1416" s="31">
        <f t="shared" si="137"/>
        <v>257.83</v>
      </c>
      <c r="I1416" s="170" t="s">
        <v>2842</v>
      </c>
      <c r="J1416" t="s">
        <v>2853</v>
      </c>
      <c r="K1416" s="188" t="s">
        <v>2853</v>
      </c>
    </row>
    <row r="1417" spans="1:11" x14ac:dyDescent="0.25">
      <c r="A1417" t="s">
        <v>5987</v>
      </c>
      <c r="B1417" s="27" t="s">
        <v>1442</v>
      </c>
      <c r="D1417" s="28" t="s">
        <v>3555</v>
      </c>
      <c r="E1417" s="29" t="s">
        <v>21</v>
      </c>
      <c r="F1417" s="30">
        <v>1</v>
      </c>
      <c r="G1417" s="31">
        <v>257.83</v>
      </c>
      <c r="H1417" s="31">
        <f t="shared" si="137"/>
        <v>257.83</v>
      </c>
      <c r="I1417" s="170" t="s">
        <v>2842</v>
      </c>
      <c r="J1417" t="s">
        <v>2853</v>
      </c>
      <c r="K1417" s="188" t="s">
        <v>2853</v>
      </c>
    </row>
    <row r="1418" spans="1:11" x14ac:dyDescent="0.25">
      <c r="A1418" t="s">
        <v>5988</v>
      </c>
      <c r="B1418" s="27" t="s">
        <v>1443</v>
      </c>
      <c r="D1418" s="28" t="s">
        <v>3556</v>
      </c>
      <c r="E1418" s="29" t="s">
        <v>563</v>
      </c>
      <c r="F1418" s="30">
        <v>1</v>
      </c>
      <c r="G1418" s="31">
        <v>257.83</v>
      </c>
      <c r="H1418" s="31">
        <f t="shared" si="137"/>
        <v>257.83</v>
      </c>
      <c r="I1418" s="170" t="s">
        <v>2842</v>
      </c>
      <c r="J1418" t="s">
        <v>2853</v>
      </c>
      <c r="K1418" s="188" t="s">
        <v>2853</v>
      </c>
    </row>
    <row r="1419" spans="1:11" x14ac:dyDescent="0.25">
      <c r="A1419" t="s">
        <v>5989</v>
      </c>
      <c r="B1419" s="27" t="s">
        <v>1444</v>
      </c>
      <c r="D1419" s="28" t="s">
        <v>3557</v>
      </c>
      <c r="E1419" s="29" t="s">
        <v>563</v>
      </c>
      <c r="F1419" s="30">
        <v>1</v>
      </c>
      <c r="G1419" s="31">
        <v>257.83</v>
      </c>
      <c r="H1419" s="31">
        <f t="shared" si="137"/>
        <v>257.83</v>
      </c>
      <c r="I1419" s="170" t="s">
        <v>2842</v>
      </c>
      <c r="J1419" t="s">
        <v>2853</v>
      </c>
      <c r="K1419" s="188" t="s">
        <v>2853</v>
      </c>
    </row>
    <row r="1420" spans="1:11" x14ac:dyDescent="0.25">
      <c r="A1420" t="s">
        <v>5990</v>
      </c>
      <c r="B1420" s="27" t="s">
        <v>1445</v>
      </c>
      <c r="D1420" s="28" t="s">
        <v>3558</v>
      </c>
      <c r="E1420" s="29" t="s">
        <v>563</v>
      </c>
      <c r="F1420" s="30">
        <v>1</v>
      </c>
      <c r="G1420" s="31">
        <v>257.83</v>
      </c>
      <c r="H1420" s="31">
        <f t="shared" si="137"/>
        <v>257.83</v>
      </c>
      <c r="I1420" s="170" t="s">
        <v>2842</v>
      </c>
      <c r="J1420" t="s">
        <v>2853</v>
      </c>
      <c r="K1420" s="188" t="s">
        <v>2853</v>
      </c>
    </row>
    <row r="1421" spans="1:11" x14ac:dyDescent="0.25">
      <c r="A1421" t="s">
        <v>5991</v>
      </c>
      <c r="B1421" s="27" t="s">
        <v>1446</v>
      </c>
      <c r="D1421" s="28" t="s">
        <v>3559</v>
      </c>
      <c r="E1421" s="29" t="s">
        <v>671</v>
      </c>
      <c r="F1421" s="30">
        <v>1</v>
      </c>
      <c r="G1421" s="31">
        <v>257.83</v>
      </c>
      <c r="H1421" s="31">
        <f t="shared" si="137"/>
        <v>257.83</v>
      </c>
      <c r="I1421" s="170" t="s">
        <v>2842</v>
      </c>
      <c r="J1421" t="s">
        <v>2853</v>
      </c>
      <c r="K1421" s="188" t="s">
        <v>2853</v>
      </c>
    </row>
    <row r="1422" spans="1:11" x14ac:dyDescent="0.25">
      <c r="A1422" t="s">
        <v>5992</v>
      </c>
      <c r="B1422" s="27" t="s">
        <v>1447</v>
      </c>
      <c r="D1422" s="28" t="s">
        <v>3560</v>
      </c>
      <c r="E1422" s="29" t="s">
        <v>671</v>
      </c>
      <c r="F1422" s="30">
        <v>1</v>
      </c>
      <c r="G1422" s="31">
        <v>257.83</v>
      </c>
      <c r="H1422" s="31">
        <f t="shared" si="137"/>
        <v>257.83</v>
      </c>
      <c r="I1422" s="170" t="s">
        <v>2842</v>
      </c>
      <c r="J1422" t="s">
        <v>2853</v>
      </c>
      <c r="K1422" s="188" t="s">
        <v>2853</v>
      </c>
    </row>
    <row r="1423" spans="1:11" x14ac:dyDescent="0.25">
      <c r="A1423" t="s">
        <v>5993</v>
      </c>
      <c r="B1423" s="27" t="s">
        <v>1448</v>
      </c>
      <c r="D1423" s="28" t="s">
        <v>3561</v>
      </c>
      <c r="E1423" s="29" t="s">
        <v>671</v>
      </c>
      <c r="F1423" s="30">
        <v>1</v>
      </c>
      <c r="G1423" s="31">
        <v>257.83</v>
      </c>
      <c r="H1423" s="31">
        <f t="shared" si="137"/>
        <v>257.83</v>
      </c>
      <c r="I1423" s="170" t="s">
        <v>2842</v>
      </c>
      <c r="J1423" t="s">
        <v>2853</v>
      </c>
      <c r="K1423" s="188" t="s">
        <v>2853</v>
      </c>
    </row>
    <row r="1424" spans="1:11" x14ac:dyDescent="0.25">
      <c r="A1424" t="s">
        <v>5994</v>
      </c>
      <c r="B1424" s="27" t="s">
        <v>1449</v>
      </c>
      <c r="D1424" s="28" t="s">
        <v>3562</v>
      </c>
      <c r="E1424" s="29" t="s">
        <v>21</v>
      </c>
      <c r="F1424" s="30">
        <v>1</v>
      </c>
      <c r="G1424" s="31">
        <v>290.89</v>
      </c>
      <c r="H1424" s="31">
        <f t="shared" si="137"/>
        <v>290.89</v>
      </c>
      <c r="I1424" s="170" t="s">
        <v>2842</v>
      </c>
      <c r="J1424" t="s">
        <v>2853</v>
      </c>
      <c r="K1424" s="188" t="s">
        <v>2853</v>
      </c>
    </row>
    <row r="1425" spans="1:11" x14ac:dyDescent="0.25">
      <c r="A1425" t="s">
        <v>5995</v>
      </c>
      <c r="B1425" s="27" t="s">
        <v>1450</v>
      </c>
      <c r="D1425" s="28" t="s">
        <v>3563</v>
      </c>
      <c r="E1425" s="29" t="s">
        <v>21</v>
      </c>
      <c r="F1425" s="30">
        <v>1</v>
      </c>
      <c r="G1425" s="31">
        <v>290.89</v>
      </c>
      <c r="H1425" s="31">
        <f t="shared" si="137"/>
        <v>290.89</v>
      </c>
      <c r="I1425" s="170" t="s">
        <v>2842</v>
      </c>
      <c r="J1425" t="s">
        <v>2853</v>
      </c>
      <c r="K1425" s="188" t="s">
        <v>2853</v>
      </c>
    </row>
    <row r="1426" spans="1:11" x14ac:dyDescent="0.25">
      <c r="A1426" t="s">
        <v>5996</v>
      </c>
      <c r="B1426" s="27" t="s">
        <v>1451</v>
      </c>
      <c r="D1426" s="28" t="s">
        <v>3564</v>
      </c>
      <c r="E1426" s="29" t="s">
        <v>21</v>
      </c>
      <c r="F1426" s="30">
        <v>1</v>
      </c>
      <c r="G1426" s="31">
        <v>290.89</v>
      </c>
      <c r="H1426" s="31">
        <f t="shared" si="137"/>
        <v>290.89</v>
      </c>
      <c r="I1426" s="170" t="s">
        <v>2842</v>
      </c>
      <c r="J1426" t="s">
        <v>2853</v>
      </c>
      <c r="K1426" s="188" t="s">
        <v>2853</v>
      </c>
    </row>
    <row r="1427" spans="1:11" x14ac:dyDescent="0.25">
      <c r="A1427" t="s">
        <v>5997</v>
      </c>
      <c r="B1427" s="27" t="s">
        <v>1452</v>
      </c>
      <c r="D1427" s="28" t="s">
        <v>3565</v>
      </c>
      <c r="E1427" s="29" t="s">
        <v>563</v>
      </c>
      <c r="F1427" s="30">
        <v>1</v>
      </c>
      <c r="G1427" s="31">
        <v>290.89</v>
      </c>
      <c r="H1427" s="31">
        <f t="shared" si="137"/>
        <v>290.89</v>
      </c>
      <c r="I1427" s="170" t="s">
        <v>2842</v>
      </c>
      <c r="J1427" t="s">
        <v>2853</v>
      </c>
      <c r="K1427" s="188" t="s">
        <v>2853</v>
      </c>
    </row>
    <row r="1428" spans="1:11" x14ac:dyDescent="0.25">
      <c r="A1428" t="s">
        <v>5998</v>
      </c>
      <c r="B1428" s="27" t="s">
        <v>1453</v>
      </c>
      <c r="D1428" s="28" t="s">
        <v>3566</v>
      </c>
      <c r="E1428" s="29" t="s">
        <v>563</v>
      </c>
      <c r="F1428" s="30">
        <v>1</v>
      </c>
      <c r="G1428" s="31">
        <v>290.89</v>
      </c>
      <c r="H1428" s="31">
        <f t="shared" si="137"/>
        <v>290.89</v>
      </c>
      <c r="I1428" s="170" t="s">
        <v>2842</v>
      </c>
      <c r="J1428" t="s">
        <v>2853</v>
      </c>
      <c r="K1428" s="188" t="s">
        <v>2853</v>
      </c>
    </row>
    <row r="1429" spans="1:11" x14ac:dyDescent="0.25">
      <c r="A1429" t="s">
        <v>5999</v>
      </c>
      <c r="B1429" s="27" t="s">
        <v>1454</v>
      </c>
      <c r="D1429" s="28" t="s">
        <v>3567</v>
      </c>
      <c r="E1429" s="29" t="s">
        <v>563</v>
      </c>
      <c r="F1429" s="30">
        <v>1</v>
      </c>
      <c r="G1429" s="31">
        <v>290.89</v>
      </c>
      <c r="H1429" s="31">
        <f t="shared" si="137"/>
        <v>290.89</v>
      </c>
      <c r="I1429" s="170" t="s">
        <v>2842</v>
      </c>
      <c r="J1429" t="s">
        <v>2853</v>
      </c>
      <c r="K1429" s="188" t="s">
        <v>2853</v>
      </c>
    </row>
    <row r="1430" spans="1:11" x14ac:dyDescent="0.25">
      <c r="A1430" t="s">
        <v>6000</v>
      </c>
      <c r="B1430" s="27" t="s">
        <v>1455</v>
      </c>
      <c r="D1430" s="28" t="s">
        <v>3568</v>
      </c>
      <c r="E1430" s="29" t="s">
        <v>671</v>
      </c>
      <c r="F1430" s="30">
        <v>1</v>
      </c>
      <c r="G1430" s="31">
        <v>290.89</v>
      </c>
      <c r="H1430" s="31">
        <f t="shared" si="137"/>
        <v>290.89</v>
      </c>
      <c r="I1430" s="170" t="s">
        <v>2842</v>
      </c>
      <c r="J1430" t="s">
        <v>2853</v>
      </c>
      <c r="K1430" s="188" t="s">
        <v>2853</v>
      </c>
    </row>
    <row r="1431" spans="1:11" x14ac:dyDescent="0.25">
      <c r="A1431" t="s">
        <v>6001</v>
      </c>
      <c r="B1431" s="27" t="s">
        <v>1456</v>
      </c>
      <c r="D1431" s="28" t="s">
        <v>3569</v>
      </c>
      <c r="E1431" s="29" t="s">
        <v>671</v>
      </c>
      <c r="F1431" s="30">
        <v>1</v>
      </c>
      <c r="G1431" s="31">
        <v>290.89</v>
      </c>
      <c r="H1431" s="31">
        <f t="shared" si="137"/>
        <v>290.89</v>
      </c>
      <c r="I1431" s="170" t="s">
        <v>2842</v>
      </c>
      <c r="J1431" t="s">
        <v>2853</v>
      </c>
      <c r="K1431" s="188" t="s">
        <v>2853</v>
      </c>
    </row>
    <row r="1432" spans="1:11" x14ac:dyDescent="0.25">
      <c r="A1432" t="s">
        <v>6002</v>
      </c>
      <c r="B1432" s="27" t="s">
        <v>1457</v>
      </c>
      <c r="D1432" s="28" t="s">
        <v>3570</v>
      </c>
      <c r="E1432" s="29" t="s">
        <v>671</v>
      </c>
      <c r="F1432" s="30">
        <v>1</v>
      </c>
      <c r="G1432" s="31">
        <v>290.89</v>
      </c>
      <c r="H1432" s="31">
        <f t="shared" si="137"/>
        <v>290.89</v>
      </c>
      <c r="I1432" s="170" t="s">
        <v>2842</v>
      </c>
      <c r="J1432" t="s">
        <v>2853</v>
      </c>
      <c r="K1432" s="188" t="s">
        <v>2853</v>
      </c>
    </row>
    <row r="1433" spans="1:11" x14ac:dyDescent="0.25">
      <c r="A1433" t="s">
        <v>6003</v>
      </c>
      <c r="B1433" s="27" t="s">
        <v>1458</v>
      </c>
      <c r="D1433" s="28" t="s">
        <v>3571</v>
      </c>
      <c r="E1433" s="29" t="s">
        <v>21</v>
      </c>
      <c r="F1433" s="30">
        <v>1</v>
      </c>
      <c r="G1433" s="31">
        <v>337.15</v>
      </c>
      <c r="H1433" s="31">
        <f t="shared" si="137"/>
        <v>337.15</v>
      </c>
      <c r="I1433" s="170" t="s">
        <v>2842</v>
      </c>
      <c r="J1433" t="s">
        <v>2853</v>
      </c>
      <c r="K1433" s="188" t="s">
        <v>2853</v>
      </c>
    </row>
    <row r="1434" spans="1:11" x14ac:dyDescent="0.25">
      <c r="A1434" t="s">
        <v>6004</v>
      </c>
      <c r="B1434" s="27" t="s">
        <v>1459</v>
      </c>
      <c r="D1434" s="28" t="s">
        <v>3572</v>
      </c>
      <c r="E1434" s="29" t="s">
        <v>21</v>
      </c>
      <c r="F1434" s="30">
        <v>1</v>
      </c>
      <c r="G1434" s="31">
        <v>337.15</v>
      </c>
      <c r="H1434" s="31">
        <f t="shared" si="137"/>
        <v>337.15</v>
      </c>
      <c r="I1434" s="170" t="s">
        <v>2842</v>
      </c>
      <c r="J1434" t="s">
        <v>2853</v>
      </c>
      <c r="K1434" s="188" t="s">
        <v>2853</v>
      </c>
    </row>
    <row r="1435" spans="1:11" x14ac:dyDescent="0.25">
      <c r="A1435" t="s">
        <v>6005</v>
      </c>
      <c r="B1435" s="27" t="s">
        <v>1460</v>
      </c>
      <c r="D1435" s="28" t="s">
        <v>3573</v>
      </c>
      <c r="E1435" s="29" t="s">
        <v>21</v>
      </c>
      <c r="F1435" s="30">
        <v>1</v>
      </c>
      <c r="G1435" s="31">
        <v>337.15</v>
      </c>
      <c r="H1435" s="31">
        <f t="shared" si="137"/>
        <v>337.15</v>
      </c>
      <c r="I1435" s="170" t="s">
        <v>2842</v>
      </c>
      <c r="J1435" t="s">
        <v>2853</v>
      </c>
      <c r="K1435" s="188" t="s">
        <v>2853</v>
      </c>
    </row>
    <row r="1436" spans="1:11" x14ac:dyDescent="0.25">
      <c r="A1436" t="s">
        <v>6006</v>
      </c>
      <c r="B1436" s="27" t="s">
        <v>1461</v>
      </c>
      <c r="D1436" s="28" t="s">
        <v>3574</v>
      </c>
      <c r="E1436" s="29" t="s">
        <v>563</v>
      </c>
      <c r="F1436" s="30">
        <v>1</v>
      </c>
      <c r="G1436" s="31">
        <v>337.15</v>
      </c>
      <c r="H1436" s="31">
        <f t="shared" si="137"/>
        <v>337.15</v>
      </c>
      <c r="I1436" s="170" t="s">
        <v>2842</v>
      </c>
      <c r="J1436" t="s">
        <v>2853</v>
      </c>
      <c r="K1436" s="188" t="s">
        <v>2853</v>
      </c>
    </row>
    <row r="1437" spans="1:11" x14ac:dyDescent="0.25">
      <c r="A1437" t="s">
        <v>6007</v>
      </c>
      <c r="B1437" s="27" t="s">
        <v>1462</v>
      </c>
      <c r="D1437" s="28" t="s">
        <v>3575</v>
      </c>
      <c r="E1437" s="29" t="s">
        <v>563</v>
      </c>
      <c r="F1437" s="30">
        <v>1</v>
      </c>
      <c r="G1437" s="31">
        <v>337.15</v>
      </c>
      <c r="H1437" s="31">
        <f t="shared" si="137"/>
        <v>337.15</v>
      </c>
      <c r="I1437" s="170" t="s">
        <v>2842</v>
      </c>
      <c r="J1437" t="s">
        <v>2853</v>
      </c>
      <c r="K1437" s="188" t="s">
        <v>2853</v>
      </c>
    </row>
    <row r="1438" spans="1:11" x14ac:dyDescent="0.25">
      <c r="A1438" t="s">
        <v>6008</v>
      </c>
      <c r="B1438" s="27" t="s">
        <v>1463</v>
      </c>
      <c r="D1438" s="28" t="s">
        <v>3576</v>
      </c>
      <c r="E1438" s="29" t="s">
        <v>563</v>
      </c>
      <c r="F1438" s="30">
        <v>1</v>
      </c>
      <c r="G1438" s="31">
        <v>337.15</v>
      </c>
      <c r="H1438" s="31">
        <f t="shared" si="137"/>
        <v>337.15</v>
      </c>
      <c r="I1438" s="170" t="s">
        <v>2842</v>
      </c>
      <c r="J1438" t="s">
        <v>2853</v>
      </c>
      <c r="K1438" s="188" t="s">
        <v>2853</v>
      </c>
    </row>
    <row r="1439" spans="1:11" x14ac:dyDescent="0.25">
      <c r="A1439" t="s">
        <v>6009</v>
      </c>
      <c r="B1439" s="27" t="s">
        <v>1464</v>
      </c>
      <c r="D1439" s="28" t="s">
        <v>3577</v>
      </c>
      <c r="E1439" s="29" t="s">
        <v>671</v>
      </c>
      <c r="F1439" s="30">
        <v>1</v>
      </c>
      <c r="G1439" s="31">
        <v>337.15</v>
      </c>
      <c r="H1439" s="31">
        <f t="shared" si="137"/>
        <v>337.15</v>
      </c>
      <c r="I1439" s="170" t="s">
        <v>2842</v>
      </c>
      <c r="J1439" t="s">
        <v>2853</v>
      </c>
      <c r="K1439" s="188" t="s">
        <v>2853</v>
      </c>
    </row>
    <row r="1440" spans="1:11" x14ac:dyDescent="0.25">
      <c r="A1440" t="s">
        <v>6010</v>
      </c>
      <c r="B1440" s="27" t="s">
        <v>1465</v>
      </c>
      <c r="D1440" s="28" t="s">
        <v>3578</v>
      </c>
      <c r="E1440" s="29" t="s">
        <v>671</v>
      </c>
      <c r="F1440" s="30">
        <v>1</v>
      </c>
      <c r="G1440" s="31">
        <v>337.15</v>
      </c>
      <c r="H1440" s="31">
        <f t="shared" ref="H1440:H1503" si="138">+F1440*G1440</f>
        <v>337.15</v>
      </c>
      <c r="I1440" s="170" t="s">
        <v>2842</v>
      </c>
      <c r="J1440" t="s">
        <v>2853</v>
      </c>
      <c r="K1440" s="188" t="s">
        <v>2853</v>
      </c>
    </row>
    <row r="1441" spans="1:11" x14ac:dyDescent="0.25">
      <c r="A1441" t="s">
        <v>6011</v>
      </c>
      <c r="B1441" s="27" t="s">
        <v>1466</v>
      </c>
      <c r="D1441" s="28" t="s">
        <v>3579</v>
      </c>
      <c r="E1441" s="29" t="s">
        <v>671</v>
      </c>
      <c r="F1441" s="30">
        <v>1</v>
      </c>
      <c r="G1441" s="31">
        <v>337.15</v>
      </c>
      <c r="H1441" s="31">
        <f t="shared" si="138"/>
        <v>337.15</v>
      </c>
      <c r="I1441" s="170" t="s">
        <v>2842</v>
      </c>
      <c r="J1441" t="s">
        <v>2853</v>
      </c>
      <c r="K1441" s="188" t="s">
        <v>2853</v>
      </c>
    </row>
    <row r="1442" spans="1:11" x14ac:dyDescent="0.25">
      <c r="A1442" t="s">
        <v>6012</v>
      </c>
      <c r="B1442" s="27" t="s">
        <v>1467</v>
      </c>
      <c r="D1442" s="28" t="s">
        <v>3580</v>
      </c>
      <c r="E1442" s="29" t="s">
        <v>21</v>
      </c>
      <c r="F1442" s="30">
        <v>1</v>
      </c>
      <c r="G1442" s="31">
        <v>198.33</v>
      </c>
      <c r="H1442" s="31">
        <f t="shared" si="138"/>
        <v>198.33</v>
      </c>
      <c r="I1442" s="170" t="s">
        <v>2842</v>
      </c>
      <c r="J1442" t="s">
        <v>2853</v>
      </c>
      <c r="K1442" s="188" t="s">
        <v>2853</v>
      </c>
    </row>
    <row r="1443" spans="1:11" x14ac:dyDescent="0.25">
      <c r="A1443" t="s">
        <v>6013</v>
      </c>
      <c r="B1443" s="27" t="s">
        <v>1468</v>
      </c>
      <c r="D1443" s="28" t="s">
        <v>3581</v>
      </c>
      <c r="E1443" s="29" t="s">
        <v>21</v>
      </c>
      <c r="F1443" s="30">
        <v>1</v>
      </c>
      <c r="G1443" s="31">
        <v>198.33</v>
      </c>
      <c r="H1443" s="31">
        <f t="shared" si="138"/>
        <v>198.33</v>
      </c>
      <c r="I1443" s="170" t="s">
        <v>2842</v>
      </c>
      <c r="J1443" t="s">
        <v>2853</v>
      </c>
      <c r="K1443" s="188" t="s">
        <v>2853</v>
      </c>
    </row>
    <row r="1444" spans="1:11" x14ac:dyDescent="0.25">
      <c r="A1444" t="s">
        <v>6014</v>
      </c>
      <c r="B1444" s="27" t="s">
        <v>1469</v>
      </c>
      <c r="D1444" s="28" t="s">
        <v>3582</v>
      </c>
      <c r="E1444" s="29" t="s">
        <v>21</v>
      </c>
      <c r="F1444" s="30">
        <v>1</v>
      </c>
      <c r="G1444" s="31">
        <v>198.33</v>
      </c>
      <c r="H1444" s="31">
        <f t="shared" si="138"/>
        <v>198.33</v>
      </c>
      <c r="I1444" s="170" t="s">
        <v>2842</v>
      </c>
      <c r="J1444" t="s">
        <v>2853</v>
      </c>
      <c r="K1444" s="188" t="s">
        <v>2853</v>
      </c>
    </row>
    <row r="1445" spans="1:11" x14ac:dyDescent="0.25">
      <c r="A1445" t="s">
        <v>6015</v>
      </c>
      <c r="B1445" s="27" t="s">
        <v>1470</v>
      </c>
      <c r="D1445" s="28" t="s">
        <v>3583</v>
      </c>
      <c r="E1445" s="29" t="s">
        <v>563</v>
      </c>
      <c r="F1445" s="30">
        <v>1</v>
      </c>
      <c r="G1445" s="31">
        <v>198.33</v>
      </c>
      <c r="H1445" s="31">
        <f t="shared" si="138"/>
        <v>198.33</v>
      </c>
      <c r="I1445" s="170" t="s">
        <v>2842</v>
      </c>
      <c r="J1445" t="s">
        <v>2853</v>
      </c>
      <c r="K1445" s="188" t="s">
        <v>2853</v>
      </c>
    </row>
    <row r="1446" spans="1:11" x14ac:dyDescent="0.25">
      <c r="A1446" t="s">
        <v>6016</v>
      </c>
      <c r="B1446" s="27" t="s">
        <v>1471</v>
      </c>
      <c r="D1446" s="28" t="s">
        <v>3584</v>
      </c>
      <c r="E1446" s="29" t="s">
        <v>563</v>
      </c>
      <c r="F1446" s="30">
        <v>1</v>
      </c>
      <c r="G1446" s="31">
        <v>198.33</v>
      </c>
      <c r="H1446" s="31">
        <f t="shared" si="138"/>
        <v>198.33</v>
      </c>
      <c r="I1446" s="170" t="s">
        <v>2842</v>
      </c>
      <c r="J1446" t="s">
        <v>2853</v>
      </c>
      <c r="K1446" s="188" t="s">
        <v>2853</v>
      </c>
    </row>
    <row r="1447" spans="1:11" x14ac:dyDescent="0.25">
      <c r="A1447" t="s">
        <v>6017</v>
      </c>
      <c r="B1447" s="27" t="s">
        <v>1472</v>
      </c>
      <c r="D1447" s="28" t="s">
        <v>3585</v>
      </c>
      <c r="E1447" s="29" t="s">
        <v>563</v>
      </c>
      <c r="F1447" s="30">
        <v>1</v>
      </c>
      <c r="G1447" s="31">
        <v>198.33</v>
      </c>
      <c r="H1447" s="31">
        <f t="shared" si="138"/>
        <v>198.33</v>
      </c>
      <c r="I1447" s="170" t="s">
        <v>2842</v>
      </c>
      <c r="J1447" t="s">
        <v>2853</v>
      </c>
      <c r="K1447" s="188" t="s">
        <v>2853</v>
      </c>
    </row>
    <row r="1448" spans="1:11" x14ac:dyDescent="0.25">
      <c r="A1448" t="s">
        <v>6018</v>
      </c>
      <c r="B1448" s="27" t="s">
        <v>1473</v>
      </c>
      <c r="D1448" s="28" t="s">
        <v>3586</v>
      </c>
      <c r="E1448" s="29" t="s">
        <v>671</v>
      </c>
      <c r="F1448" s="30">
        <v>1</v>
      </c>
      <c r="G1448" s="31">
        <v>198.33</v>
      </c>
      <c r="H1448" s="31">
        <f t="shared" si="138"/>
        <v>198.33</v>
      </c>
      <c r="I1448" s="170" t="s">
        <v>2842</v>
      </c>
      <c r="J1448" t="s">
        <v>2853</v>
      </c>
      <c r="K1448" s="188" t="s">
        <v>2853</v>
      </c>
    </row>
    <row r="1449" spans="1:11" x14ac:dyDescent="0.25">
      <c r="A1449" t="s">
        <v>6019</v>
      </c>
      <c r="B1449" s="27" t="s">
        <v>1474</v>
      </c>
      <c r="D1449" s="28" t="s">
        <v>3587</v>
      </c>
      <c r="E1449" s="29" t="s">
        <v>671</v>
      </c>
      <c r="F1449" s="30">
        <v>1</v>
      </c>
      <c r="G1449" s="31">
        <v>198.33</v>
      </c>
      <c r="H1449" s="31">
        <f t="shared" si="138"/>
        <v>198.33</v>
      </c>
      <c r="I1449" s="170" t="s">
        <v>2842</v>
      </c>
      <c r="J1449" t="s">
        <v>2853</v>
      </c>
      <c r="K1449" s="188" t="s">
        <v>2853</v>
      </c>
    </row>
    <row r="1450" spans="1:11" x14ac:dyDescent="0.25">
      <c r="A1450" t="s">
        <v>6020</v>
      </c>
      <c r="B1450" s="27" t="s">
        <v>1475</v>
      </c>
      <c r="D1450" s="28" t="s">
        <v>3588</v>
      </c>
      <c r="E1450" s="29" t="s">
        <v>671</v>
      </c>
      <c r="F1450" s="30">
        <v>1</v>
      </c>
      <c r="G1450" s="31">
        <v>198.33</v>
      </c>
      <c r="H1450" s="31">
        <f t="shared" si="138"/>
        <v>198.33</v>
      </c>
      <c r="I1450" s="170" t="s">
        <v>2842</v>
      </c>
      <c r="J1450" t="s">
        <v>2853</v>
      </c>
      <c r="K1450" s="188" t="s">
        <v>2853</v>
      </c>
    </row>
    <row r="1451" spans="1:11" x14ac:dyDescent="0.25">
      <c r="A1451" t="s">
        <v>6021</v>
      </c>
      <c r="B1451" s="27" t="s">
        <v>1476</v>
      </c>
      <c r="D1451" s="28" t="s">
        <v>3589</v>
      </c>
      <c r="E1451" s="29" t="s">
        <v>21</v>
      </c>
      <c r="F1451" s="30">
        <v>1</v>
      </c>
      <c r="G1451" s="31">
        <v>231.38</v>
      </c>
      <c r="H1451" s="31">
        <f t="shared" si="138"/>
        <v>231.38</v>
      </c>
      <c r="I1451" s="170" t="s">
        <v>2842</v>
      </c>
      <c r="J1451" t="s">
        <v>2853</v>
      </c>
      <c r="K1451" s="188" t="s">
        <v>2853</v>
      </c>
    </row>
    <row r="1452" spans="1:11" x14ac:dyDescent="0.25">
      <c r="A1452" t="s">
        <v>6022</v>
      </c>
      <c r="B1452" s="27" t="s">
        <v>1477</v>
      </c>
      <c r="D1452" s="28" t="s">
        <v>3590</v>
      </c>
      <c r="E1452" s="29" t="s">
        <v>21</v>
      </c>
      <c r="F1452" s="30">
        <v>1</v>
      </c>
      <c r="G1452" s="31">
        <v>231.38</v>
      </c>
      <c r="H1452" s="31">
        <f t="shared" si="138"/>
        <v>231.38</v>
      </c>
      <c r="I1452" s="170" t="s">
        <v>2842</v>
      </c>
      <c r="J1452" t="s">
        <v>2853</v>
      </c>
      <c r="K1452" s="188" t="s">
        <v>2853</v>
      </c>
    </row>
    <row r="1453" spans="1:11" x14ac:dyDescent="0.25">
      <c r="A1453" t="s">
        <v>6023</v>
      </c>
      <c r="B1453" s="27" t="s">
        <v>1478</v>
      </c>
      <c r="D1453" s="28" t="s">
        <v>3591</v>
      </c>
      <c r="E1453" s="29" t="s">
        <v>21</v>
      </c>
      <c r="F1453" s="30">
        <v>1</v>
      </c>
      <c r="G1453" s="31">
        <v>231.38</v>
      </c>
      <c r="H1453" s="31">
        <f t="shared" si="138"/>
        <v>231.38</v>
      </c>
      <c r="I1453" s="170" t="s">
        <v>2842</v>
      </c>
      <c r="J1453" t="s">
        <v>2853</v>
      </c>
      <c r="K1453" s="188" t="s">
        <v>2853</v>
      </c>
    </row>
    <row r="1454" spans="1:11" x14ac:dyDescent="0.25">
      <c r="A1454" t="s">
        <v>6024</v>
      </c>
      <c r="B1454" s="27" t="s">
        <v>1479</v>
      </c>
      <c r="D1454" s="28" t="s">
        <v>3592</v>
      </c>
      <c r="E1454" s="29" t="s">
        <v>563</v>
      </c>
      <c r="F1454" s="30">
        <v>1</v>
      </c>
      <c r="G1454" s="31">
        <v>231.38</v>
      </c>
      <c r="H1454" s="31">
        <f t="shared" si="138"/>
        <v>231.38</v>
      </c>
      <c r="I1454" s="170" t="s">
        <v>2842</v>
      </c>
      <c r="J1454" t="s">
        <v>2853</v>
      </c>
      <c r="K1454" s="188" t="s">
        <v>2853</v>
      </c>
    </row>
    <row r="1455" spans="1:11" x14ac:dyDescent="0.25">
      <c r="A1455" t="s">
        <v>6025</v>
      </c>
      <c r="B1455" s="27" t="s">
        <v>1480</v>
      </c>
      <c r="D1455" s="28" t="s">
        <v>3593</v>
      </c>
      <c r="E1455" s="29" t="s">
        <v>563</v>
      </c>
      <c r="F1455" s="30">
        <v>1</v>
      </c>
      <c r="G1455" s="31">
        <v>231.38</v>
      </c>
      <c r="H1455" s="31">
        <f t="shared" si="138"/>
        <v>231.38</v>
      </c>
      <c r="I1455" s="170" t="s">
        <v>2842</v>
      </c>
      <c r="J1455" t="s">
        <v>2853</v>
      </c>
      <c r="K1455" s="188" t="s">
        <v>2853</v>
      </c>
    </row>
    <row r="1456" spans="1:11" x14ac:dyDescent="0.25">
      <c r="A1456" t="s">
        <v>6026</v>
      </c>
      <c r="B1456" s="27" t="s">
        <v>1481</v>
      </c>
      <c r="D1456" s="28" t="s">
        <v>3594</v>
      </c>
      <c r="E1456" s="29" t="s">
        <v>563</v>
      </c>
      <c r="F1456" s="30">
        <v>1</v>
      </c>
      <c r="G1456" s="31">
        <v>231.38</v>
      </c>
      <c r="H1456" s="31">
        <f t="shared" si="138"/>
        <v>231.38</v>
      </c>
      <c r="I1456" s="170" t="s">
        <v>2842</v>
      </c>
      <c r="J1456" t="s">
        <v>2853</v>
      </c>
      <c r="K1456" s="188" t="s">
        <v>2853</v>
      </c>
    </row>
    <row r="1457" spans="1:11" x14ac:dyDescent="0.25">
      <c r="A1457" t="s">
        <v>6027</v>
      </c>
      <c r="B1457" s="27" t="s">
        <v>1482</v>
      </c>
      <c r="D1457" s="28" t="s">
        <v>3595</v>
      </c>
      <c r="E1457" s="29" t="s">
        <v>671</v>
      </c>
      <c r="F1457" s="30">
        <v>1</v>
      </c>
      <c r="G1457" s="31">
        <v>231.38</v>
      </c>
      <c r="H1457" s="31">
        <f t="shared" si="138"/>
        <v>231.38</v>
      </c>
      <c r="I1457" s="170" t="s">
        <v>2842</v>
      </c>
      <c r="J1457" t="s">
        <v>2853</v>
      </c>
      <c r="K1457" s="188" t="s">
        <v>2853</v>
      </c>
    </row>
    <row r="1458" spans="1:11" x14ac:dyDescent="0.25">
      <c r="A1458" t="s">
        <v>6028</v>
      </c>
      <c r="B1458" s="27" t="s">
        <v>1483</v>
      </c>
      <c r="D1458" s="28" t="s">
        <v>3596</v>
      </c>
      <c r="E1458" s="29" t="s">
        <v>671</v>
      </c>
      <c r="F1458" s="30">
        <v>1</v>
      </c>
      <c r="G1458" s="31">
        <v>231.38</v>
      </c>
      <c r="H1458" s="31">
        <f t="shared" si="138"/>
        <v>231.38</v>
      </c>
      <c r="I1458" s="170" t="s">
        <v>2842</v>
      </c>
      <c r="J1458" t="s">
        <v>2853</v>
      </c>
      <c r="K1458" s="188" t="s">
        <v>2853</v>
      </c>
    </row>
    <row r="1459" spans="1:11" x14ac:dyDescent="0.25">
      <c r="A1459" t="s">
        <v>6029</v>
      </c>
      <c r="B1459" s="27" t="s">
        <v>1484</v>
      </c>
      <c r="D1459" s="28" t="s">
        <v>3597</v>
      </c>
      <c r="E1459" s="29" t="s">
        <v>671</v>
      </c>
      <c r="F1459" s="30">
        <v>1</v>
      </c>
      <c r="G1459" s="31">
        <v>231.38</v>
      </c>
      <c r="H1459" s="31">
        <f t="shared" si="138"/>
        <v>231.38</v>
      </c>
      <c r="I1459" s="170" t="s">
        <v>2842</v>
      </c>
      <c r="J1459" t="s">
        <v>2853</v>
      </c>
      <c r="K1459" s="188" t="s">
        <v>2853</v>
      </c>
    </row>
    <row r="1460" spans="1:11" x14ac:dyDescent="0.25">
      <c r="A1460" t="s">
        <v>6030</v>
      </c>
      <c r="B1460" s="27" t="s">
        <v>1485</v>
      </c>
      <c r="D1460" s="28" t="s">
        <v>3598</v>
      </c>
      <c r="E1460" s="29" t="s">
        <v>21</v>
      </c>
      <c r="F1460" s="30">
        <v>1</v>
      </c>
      <c r="G1460" s="31">
        <v>264.44</v>
      </c>
      <c r="H1460" s="31">
        <f t="shared" si="138"/>
        <v>264.44</v>
      </c>
      <c r="I1460" s="170" t="s">
        <v>2842</v>
      </c>
      <c r="J1460" t="s">
        <v>2853</v>
      </c>
      <c r="K1460" s="188" t="s">
        <v>2853</v>
      </c>
    </row>
    <row r="1461" spans="1:11" x14ac:dyDescent="0.25">
      <c r="A1461" t="s">
        <v>6031</v>
      </c>
      <c r="B1461" s="27" t="s">
        <v>1486</v>
      </c>
      <c r="D1461" s="28" t="s">
        <v>3599</v>
      </c>
      <c r="E1461" s="29" t="s">
        <v>21</v>
      </c>
      <c r="F1461" s="30">
        <v>1</v>
      </c>
      <c r="G1461" s="31">
        <v>264.44</v>
      </c>
      <c r="H1461" s="31">
        <f t="shared" si="138"/>
        <v>264.44</v>
      </c>
      <c r="I1461" s="170" t="s">
        <v>2842</v>
      </c>
      <c r="J1461" t="s">
        <v>2853</v>
      </c>
      <c r="K1461" s="188" t="s">
        <v>2853</v>
      </c>
    </row>
    <row r="1462" spans="1:11" x14ac:dyDescent="0.25">
      <c r="A1462" t="s">
        <v>6032</v>
      </c>
      <c r="B1462" s="27" t="s">
        <v>1487</v>
      </c>
      <c r="D1462" s="28" t="s">
        <v>3600</v>
      </c>
      <c r="E1462" s="29" t="s">
        <v>21</v>
      </c>
      <c r="F1462" s="30">
        <v>1</v>
      </c>
      <c r="G1462" s="31">
        <v>264.44</v>
      </c>
      <c r="H1462" s="31">
        <f t="shared" si="138"/>
        <v>264.44</v>
      </c>
      <c r="I1462" s="170" t="s">
        <v>2842</v>
      </c>
      <c r="J1462" t="s">
        <v>2853</v>
      </c>
      <c r="K1462" s="188" t="s">
        <v>2853</v>
      </c>
    </row>
    <row r="1463" spans="1:11" x14ac:dyDescent="0.25">
      <c r="A1463" t="s">
        <v>6033</v>
      </c>
      <c r="B1463" s="27" t="s">
        <v>1488</v>
      </c>
      <c r="D1463" s="28" t="s">
        <v>3601</v>
      </c>
      <c r="E1463" s="29" t="s">
        <v>563</v>
      </c>
      <c r="F1463" s="30">
        <v>1</v>
      </c>
      <c r="G1463" s="31">
        <v>264.44</v>
      </c>
      <c r="H1463" s="31">
        <f t="shared" si="138"/>
        <v>264.44</v>
      </c>
      <c r="I1463" s="170" t="s">
        <v>2842</v>
      </c>
      <c r="J1463" t="s">
        <v>2853</v>
      </c>
      <c r="K1463" s="188" t="s">
        <v>2853</v>
      </c>
    </row>
    <row r="1464" spans="1:11" x14ac:dyDescent="0.25">
      <c r="A1464" t="s">
        <v>6034</v>
      </c>
      <c r="B1464" s="27" t="s">
        <v>1489</v>
      </c>
      <c r="D1464" s="28" t="s">
        <v>3602</v>
      </c>
      <c r="E1464" s="29" t="s">
        <v>563</v>
      </c>
      <c r="F1464" s="30">
        <v>1</v>
      </c>
      <c r="G1464" s="31">
        <v>264.44</v>
      </c>
      <c r="H1464" s="31">
        <f t="shared" si="138"/>
        <v>264.44</v>
      </c>
      <c r="I1464" s="170" t="s">
        <v>2842</v>
      </c>
      <c r="J1464" t="s">
        <v>2853</v>
      </c>
      <c r="K1464" s="188" t="s">
        <v>2853</v>
      </c>
    </row>
    <row r="1465" spans="1:11" x14ac:dyDescent="0.25">
      <c r="A1465" t="s">
        <v>6035</v>
      </c>
      <c r="B1465" s="27" t="s">
        <v>1490</v>
      </c>
      <c r="D1465" s="28" t="s">
        <v>3603</v>
      </c>
      <c r="E1465" s="29" t="s">
        <v>563</v>
      </c>
      <c r="F1465" s="30">
        <v>1</v>
      </c>
      <c r="G1465" s="31">
        <v>264.44</v>
      </c>
      <c r="H1465" s="31">
        <f t="shared" si="138"/>
        <v>264.44</v>
      </c>
      <c r="I1465" s="170" t="s">
        <v>2842</v>
      </c>
      <c r="J1465" t="s">
        <v>2853</v>
      </c>
      <c r="K1465" s="188" t="s">
        <v>2853</v>
      </c>
    </row>
    <row r="1466" spans="1:11" x14ac:dyDescent="0.25">
      <c r="A1466" t="s">
        <v>6036</v>
      </c>
      <c r="B1466" s="27" t="s">
        <v>1491</v>
      </c>
      <c r="D1466" s="28" t="s">
        <v>3604</v>
      </c>
      <c r="E1466" s="29" t="s">
        <v>671</v>
      </c>
      <c r="F1466" s="30">
        <v>1</v>
      </c>
      <c r="G1466" s="31">
        <v>264.44</v>
      </c>
      <c r="H1466" s="31">
        <f t="shared" si="138"/>
        <v>264.44</v>
      </c>
      <c r="I1466" s="170" t="s">
        <v>2842</v>
      </c>
      <c r="J1466" t="s">
        <v>2853</v>
      </c>
      <c r="K1466" s="188" t="s">
        <v>2853</v>
      </c>
    </row>
    <row r="1467" spans="1:11" x14ac:dyDescent="0.25">
      <c r="A1467" t="s">
        <v>6037</v>
      </c>
      <c r="B1467" s="27" t="s">
        <v>1492</v>
      </c>
      <c r="D1467" s="28" t="s">
        <v>3605</v>
      </c>
      <c r="E1467" s="29" t="s">
        <v>671</v>
      </c>
      <c r="F1467" s="30">
        <v>1</v>
      </c>
      <c r="G1467" s="31">
        <v>264.44</v>
      </c>
      <c r="H1467" s="31">
        <f t="shared" si="138"/>
        <v>264.44</v>
      </c>
      <c r="I1467" s="170" t="s">
        <v>2842</v>
      </c>
      <c r="J1467" t="s">
        <v>2853</v>
      </c>
      <c r="K1467" s="188" t="s">
        <v>2853</v>
      </c>
    </row>
    <row r="1468" spans="1:11" x14ac:dyDescent="0.25">
      <c r="A1468" t="s">
        <v>6038</v>
      </c>
      <c r="B1468" s="27" t="s">
        <v>1493</v>
      </c>
      <c r="D1468" s="28" t="s">
        <v>3606</v>
      </c>
      <c r="E1468" s="29" t="s">
        <v>671</v>
      </c>
      <c r="F1468" s="30">
        <v>1</v>
      </c>
      <c r="G1468" s="31">
        <v>264.44</v>
      </c>
      <c r="H1468" s="31">
        <f t="shared" si="138"/>
        <v>264.44</v>
      </c>
      <c r="I1468" s="170" t="s">
        <v>2842</v>
      </c>
      <c r="J1468" t="s">
        <v>2853</v>
      </c>
      <c r="K1468" s="188" t="s">
        <v>2853</v>
      </c>
    </row>
    <row r="1469" spans="1:11" x14ac:dyDescent="0.25">
      <c r="A1469" t="s">
        <v>6039</v>
      </c>
      <c r="B1469" s="27" t="s">
        <v>1494</v>
      </c>
      <c r="D1469" s="28" t="s">
        <v>3607</v>
      </c>
      <c r="E1469" s="29" t="s">
        <v>21</v>
      </c>
      <c r="F1469" s="30">
        <v>1</v>
      </c>
      <c r="G1469" s="31">
        <v>297.49</v>
      </c>
      <c r="H1469" s="31">
        <f t="shared" si="138"/>
        <v>297.49</v>
      </c>
      <c r="I1469" s="170" t="s">
        <v>2842</v>
      </c>
      <c r="J1469" t="s">
        <v>2853</v>
      </c>
      <c r="K1469" s="188" t="s">
        <v>2853</v>
      </c>
    </row>
    <row r="1470" spans="1:11" x14ac:dyDescent="0.25">
      <c r="A1470" t="s">
        <v>6040</v>
      </c>
      <c r="B1470" s="27" t="s">
        <v>1495</v>
      </c>
      <c r="D1470" s="28" t="s">
        <v>3608</v>
      </c>
      <c r="E1470" s="29" t="s">
        <v>21</v>
      </c>
      <c r="F1470" s="30">
        <v>1</v>
      </c>
      <c r="G1470" s="31">
        <v>297.49</v>
      </c>
      <c r="H1470" s="31">
        <f t="shared" si="138"/>
        <v>297.49</v>
      </c>
      <c r="I1470" s="170" t="s">
        <v>2842</v>
      </c>
      <c r="J1470" t="s">
        <v>2853</v>
      </c>
      <c r="K1470" s="188" t="s">
        <v>2853</v>
      </c>
    </row>
    <row r="1471" spans="1:11" x14ac:dyDescent="0.25">
      <c r="A1471" t="s">
        <v>6041</v>
      </c>
      <c r="B1471" s="27" t="s">
        <v>1496</v>
      </c>
      <c r="D1471" s="28" t="s">
        <v>3609</v>
      </c>
      <c r="E1471" s="29" t="s">
        <v>21</v>
      </c>
      <c r="F1471" s="30">
        <v>1</v>
      </c>
      <c r="G1471" s="31">
        <v>297.49</v>
      </c>
      <c r="H1471" s="31">
        <f t="shared" si="138"/>
        <v>297.49</v>
      </c>
      <c r="I1471" s="170" t="s">
        <v>2842</v>
      </c>
      <c r="J1471" t="s">
        <v>2853</v>
      </c>
      <c r="K1471" s="188" t="s">
        <v>2853</v>
      </c>
    </row>
    <row r="1472" spans="1:11" x14ac:dyDescent="0.25">
      <c r="A1472" t="s">
        <v>6042</v>
      </c>
      <c r="B1472" s="27" t="s">
        <v>1497</v>
      </c>
      <c r="D1472" s="28" t="s">
        <v>3610</v>
      </c>
      <c r="E1472" s="29" t="s">
        <v>563</v>
      </c>
      <c r="F1472" s="30">
        <v>1</v>
      </c>
      <c r="G1472" s="31">
        <v>297.49</v>
      </c>
      <c r="H1472" s="31">
        <f t="shared" si="138"/>
        <v>297.49</v>
      </c>
      <c r="I1472" s="170" t="s">
        <v>2842</v>
      </c>
      <c r="J1472" t="s">
        <v>2853</v>
      </c>
      <c r="K1472" s="188" t="s">
        <v>2853</v>
      </c>
    </row>
    <row r="1473" spans="1:11" x14ac:dyDescent="0.25">
      <c r="A1473" t="s">
        <v>6043</v>
      </c>
      <c r="B1473" s="27" t="s">
        <v>1498</v>
      </c>
      <c r="D1473" s="28" t="s">
        <v>3611</v>
      </c>
      <c r="E1473" s="29" t="s">
        <v>563</v>
      </c>
      <c r="F1473" s="30">
        <v>1</v>
      </c>
      <c r="G1473" s="31">
        <v>297.49</v>
      </c>
      <c r="H1473" s="31">
        <f t="shared" si="138"/>
        <v>297.49</v>
      </c>
      <c r="I1473" s="170" t="s">
        <v>2842</v>
      </c>
      <c r="J1473" t="s">
        <v>2853</v>
      </c>
      <c r="K1473" s="188" t="s">
        <v>2853</v>
      </c>
    </row>
    <row r="1474" spans="1:11" x14ac:dyDescent="0.25">
      <c r="A1474" t="s">
        <v>6044</v>
      </c>
      <c r="B1474" s="27" t="s">
        <v>1499</v>
      </c>
      <c r="D1474" s="28" t="s">
        <v>3612</v>
      </c>
      <c r="E1474" s="29" t="s">
        <v>563</v>
      </c>
      <c r="F1474" s="30">
        <v>1</v>
      </c>
      <c r="G1474" s="31">
        <v>297.49</v>
      </c>
      <c r="H1474" s="31">
        <f t="shared" si="138"/>
        <v>297.49</v>
      </c>
      <c r="I1474" s="170" t="s">
        <v>2842</v>
      </c>
      <c r="J1474" t="s">
        <v>2853</v>
      </c>
      <c r="K1474" s="188" t="s">
        <v>2853</v>
      </c>
    </row>
    <row r="1475" spans="1:11" x14ac:dyDescent="0.25">
      <c r="A1475" t="s">
        <v>6045</v>
      </c>
      <c r="B1475" s="27" t="s">
        <v>1500</v>
      </c>
      <c r="D1475" s="28" t="s">
        <v>3613</v>
      </c>
      <c r="E1475" s="29" t="s">
        <v>671</v>
      </c>
      <c r="F1475" s="30">
        <v>1</v>
      </c>
      <c r="G1475" s="31">
        <v>297.49</v>
      </c>
      <c r="H1475" s="31">
        <f t="shared" si="138"/>
        <v>297.49</v>
      </c>
      <c r="I1475" s="170" t="s">
        <v>2842</v>
      </c>
      <c r="J1475" t="s">
        <v>2853</v>
      </c>
      <c r="K1475" s="188" t="s">
        <v>2853</v>
      </c>
    </row>
    <row r="1476" spans="1:11" x14ac:dyDescent="0.25">
      <c r="A1476" t="s">
        <v>6046</v>
      </c>
      <c r="B1476" s="27" t="s">
        <v>1501</v>
      </c>
      <c r="D1476" s="28" t="s">
        <v>3614</v>
      </c>
      <c r="E1476" s="29" t="s">
        <v>671</v>
      </c>
      <c r="F1476" s="30">
        <v>1</v>
      </c>
      <c r="G1476" s="31">
        <v>297.49</v>
      </c>
      <c r="H1476" s="31">
        <f t="shared" si="138"/>
        <v>297.49</v>
      </c>
      <c r="I1476" s="170" t="s">
        <v>2842</v>
      </c>
      <c r="J1476" t="s">
        <v>2853</v>
      </c>
      <c r="K1476" s="188" t="s">
        <v>2853</v>
      </c>
    </row>
    <row r="1477" spans="1:11" x14ac:dyDescent="0.25">
      <c r="A1477" t="s">
        <v>6047</v>
      </c>
      <c r="B1477" s="27" t="s">
        <v>1502</v>
      </c>
      <c r="D1477" s="28" t="s">
        <v>3615</v>
      </c>
      <c r="E1477" s="29" t="s">
        <v>671</v>
      </c>
      <c r="F1477" s="30">
        <v>1</v>
      </c>
      <c r="G1477" s="31">
        <v>297.49</v>
      </c>
      <c r="H1477" s="31">
        <f t="shared" si="138"/>
        <v>297.49</v>
      </c>
      <c r="I1477" s="170" t="s">
        <v>2842</v>
      </c>
      <c r="J1477" t="s">
        <v>2853</v>
      </c>
      <c r="K1477" s="188" t="s">
        <v>2853</v>
      </c>
    </row>
    <row r="1478" spans="1:11" x14ac:dyDescent="0.25">
      <c r="A1478" t="s">
        <v>6048</v>
      </c>
      <c r="B1478" s="27" t="s">
        <v>1503</v>
      </c>
      <c r="D1478" s="28" t="s">
        <v>3616</v>
      </c>
      <c r="E1478" s="29" t="s">
        <v>21</v>
      </c>
      <c r="F1478" s="30">
        <v>1</v>
      </c>
      <c r="G1478" s="31">
        <v>152.04</v>
      </c>
      <c r="H1478" s="31">
        <f t="shared" si="138"/>
        <v>152.04</v>
      </c>
      <c r="I1478" s="170" t="s">
        <v>2842</v>
      </c>
      <c r="J1478" t="s">
        <v>2853</v>
      </c>
      <c r="K1478" s="188" t="s">
        <v>2853</v>
      </c>
    </row>
    <row r="1479" spans="1:11" x14ac:dyDescent="0.25">
      <c r="A1479" t="s">
        <v>6049</v>
      </c>
      <c r="B1479" s="27" t="s">
        <v>1504</v>
      </c>
      <c r="D1479" s="28" t="s">
        <v>3617</v>
      </c>
      <c r="E1479" s="29" t="s">
        <v>21</v>
      </c>
      <c r="F1479" s="30">
        <v>1</v>
      </c>
      <c r="G1479" s="31">
        <v>152.04</v>
      </c>
      <c r="H1479" s="31">
        <f t="shared" si="138"/>
        <v>152.04</v>
      </c>
      <c r="I1479" s="170" t="s">
        <v>2842</v>
      </c>
      <c r="J1479" t="s">
        <v>2853</v>
      </c>
      <c r="K1479" s="188" t="s">
        <v>2853</v>
      </c>
    </row>
    <row r="1480" spans="1:11" x14ac:dyDescent="0.25">
      <c r="A1480" t="s">
        <v>6050</v>
      </c>
      <c r="B1480" s="27" t="s">
        <v>1505</v>
      </c>
      <c r="D1480" s="28" t="s">
        <v>3618</v>
      </c>
      <c r="E1480" s="29" t="s">
        <v>21</v>
      </c>
      <c r="F1480" s="30">
        <v>1</v>
      </c>
      <c r="G1480" s="31">
        <v>152.04</v>
      </c>
      <c r="H1480" s="31">
        <f t="shared" si="138"/>
        <v>152.04</v>
      </c>
      <c r="I1480" s="170" t="s">
        <v>2842</v>
      </c>
      <c r="J1480" t="s">
        <v>2853</v>
      </c>
      <c r="K1480" s="188" t="s">
        <v>2853</v>
      </c>
    </row>
    <row r="1481" spans="1:11" x14ac:dyDescent="0.25">
      <c r="A1481" t="s">
        <v>6051</v>
      </c>
      <c r="B1481" s="27" t="s">
        <v>1506</v>
      </c>
      <c r="D1481" s="28" t="s">
        <v>3619</v>
      </c>
      <c r="E1481" s="29" t="s">
        <v>563</v>
      </c>
      <c r="F1481" s="30">
        <v>1</v>
      </c>
      <c r="G1481" s="31">
        <v>152.04</v>
      </c>
      <c r="H1481" s="31">
        <f t="shared" si="138"/>
        <v>152.04</v>
      </c>
      <c r="I1481" s="170" t="s">
        <v>2842</v>
      </c>
      <c r="J1481" t="s">
        <v>2853</v>
      </c>
      <c r="K1481" s="188" t="s">
        <v>2853</v>
      </c>
    </row>
    <row r="1482" spans="1:11" x14ac:dyDescent="0.25">
      <c r="A1482" t="s">
        <v>6052</v>
      </c>
      <c r="B1482" s="27" t="s">
        <v>1507</v>
      </c>
      <c r="D1482" s="28" t="s">
        <v>3620</v>
      </c>
      <c r="E1482" s="29" t="s">
        <v>563</v>
      </c>
      <c r="F1482" s="30">
        <v>1</v>
      </c>
      <c r="G1482" s="31">
        <v>152.04</v>
      </c>
      <c r="H1482" s="31">
        <f t="shared" si="138"/>
        <v>152.04</v>
      </c>
      <c r="I1482" s="170" t="s">
        <v>2842</v>
      </c>
      <c r="J1482" t="s">
        <v>2853</v>
      </c>
      <c r="K1482" s="188" t="s">
        <v>2853</v>
      </c>
    </row>
    <row r="1483" spans="1:11" x14ac:dyDescent="0.25">
      <c r="A1483" t="s">
        <v>6053</v>
      </c>
      <c r="B1483" s="27" t="s">
        <v>1508</v>
      </c>
      <c r="D1483" s="28" t="s">
        <v>3621</v>
      </c>
      <c r="E1483" s="29" t="s">
        <v>563</v>
      </c>
      <c r="F1483" s="30">
        <v>1</v>
      </c>
      <c r="G1483" s="31">
        <v>152.04</v>
      </c>
      <c r="H1483" s="31">
        <f t="shared" si="138"/>
        <v>152.04</v>
      </c>
      <c r="I1483" s="170" t="s">
        <v>2842</v>
      </c>
      <c r="J1483" t="s">
        <v>2853</v>
      </c>
      <c r="K1483" s="188" t="s">
        <v>2853</v>
      </c>
    </row>
    <row r="1484" spans="1:11" x14ac:dyDescent="0.25">
      <c r="A1484" t="s">
        <v>6054</v>
      </c>
      <c r="B1484" s="27" t="s">
        <v>1509</v>
      </c>
      <c r="D1484" s="28" t="s">
        <v>3622</v>
      </c>
      <c r="E1484" s="29" t="s">
        <v>671</v>
      </c>
      <c r="F1484" s="30">
        <v>1</v>
      </c>
      <c r="G1484" s="31">
        <v>152.04</v>
      </c>
      <c r="H1484" s="31">
        <f t="shared" si="138"/>
        <v>152.04</v>
      </c>
      <c r="I1484" s="170" t="s">
        <v>2842</v>
      </c>
      <c r="J1484" t="s">
        <v>2853</v>
      </c>
      <c r="K1484" s="188" t="s">
        <v>2853</v>
      </c>
    </row>
    <row r="1485" spans="1:11" x14ac:dyDescent="0.25">
      <c r="A1485" t="s">
        <v>6055</v>
      </c>
      <c r="B1485" s="27" t="s">
        <v>1510</v>
      </c>
      <c r="D1485" s="28" t="s">
        <v>3623</v>
      </c>
      <c r="E1485" s="29" t="s">
        <v>671</v>
      </c>
      <c r="F1485" s="30">
        <v>1</v>
      </c>
      <c r="G1485" s="31">
        <v>152.04</v>
      </c>
      <c r="H1485" s="31">
        <f t="shared" si="138"/>
        <v>152.04</v>
      </c>
      <c r="I1485" s="170" t="s">
        <v>2842</v>
      </c>
      <c r="J1485" t="s">
        <v>2853</v>
      </c>
      <c r="K1485" s="188" t="s">
        <v>2853</v>
      </c>
    </row>
    <row r="1486" spans="1:11" x14ac:dyDescent="0.25">
      <c r="A1486" t="s">
        <v>6056</v>
      </c>
      <c r="B1486" s="27" t="s">
        <v>1511</v>
      </c>
      <c r="D1486" s="28" t="s">
        <v>3624</v>
      </c>
      <c r="E1486" s="29" t="s">
        <v>671</v>
      </c>
      <c r="F1486" s="30">
        <v>1</v>
      </c>
      <c r="G1486" s="31">
        <v>152.04</v>
      </c>
      <c r="H1486" s="31">
        <f t="shared" si="138"/>
        <v>152.04</v>
      </c>
      <c r="I1486" s="170" t="s">
        <v>2842</v>
      </c>
      <c r="J1486" t="s">
        <v>2853</v>
      </c>
      <c r="K1486" s="188" t="s">
        <v>2853</v>
      </c>
    </row>
    <row r="1487" spans="1:11" x14ac:dyDescent="0.25">
      <c r="A1487" t="s">
        <v>6057</v>
      </c>
      <c r="B1487" s="27" t="s">
        <v>1512</v>
      </c>
      <c r="D1487" s="28" t="s">
        <v>3625</v>
      </c>
      <c r="E1487" s="29" t="s">
        <v>21</v>
      </c>
      <c r="F1487" s="30">
        <v>1</v>
      </c>
      <c r="G1487" s="31">
        <v>171.89</v>
      </c>
      <c r="H1487" s="31">
        <f t="shared" si="138"/>
        <v>171.89</v>
      </c>
      <c r="I1487" s="170" t="s">
        <v>2842</v>
      </c>
      <c r="J1487" t="s">
        <v>2853</v>
      </c>
      <c r="K1487" s="188" t="s">
        <v>2853</v>
      </c>
    </row>
    <row r="1488" spans="1:11" x14ac:dyDescent="0.25">
      <c r="A1488" t="s">
        <v>6058</v>
      </c>
      <c r="B1488" s="27" t="s">
        <v>1513</v>
      </c>
      <c r="D1488" s="28" t="s">
        <v>3626</v>
      </c>
      <c r="E1488" s="29" t="s">
        <v>21</v>
      </c>
      <c r="F1488" s="30">
        <v>1</v>
      </c>
      <c r="G1488" s="31">
        <v>171.89</v>
      </c>
      <c r="H1488" s="31">
        <f t="shared" si="138"/>
        <v>171.89</v>
      </c>
      <c r="I1488" s="170" t="s">
        <v>2842</v>
      </c>
      <c r="J1488" t="s">
        <v>2853</v>
      </c>
      <c r="K1488" s="188" t="s">
        <v>2853</v>
      </c>
    </row>
    <row r="1489" spans="1:11" x14ac:dyDescent="0.25">
      <c r="A1489" t="s">
        <v>6059</v>
      </c>
      <c r="B1489" s="27" t="s">
        <v>1514</v>
      </c>
      <c r="D1489" s="28" t="s">
        <v>3627</v>
      </c>
      <c r="E1489" s="29" t="s">
        <v>21</v>
      </c>
      <c r="F1489" s="30">
        <v>1</v>
      </c>
      <c r="G1489" s="31">
        <v>171.89</v>
      </c>
      <c r="H1489" s="31">
        <f t="shared" si="138"/>
        <v>171.89</v>
      </c>
      <c r="I1489" s="170" t="s">
        <v>2842</v>
      </c>
      <c r="J1489" t="s">
        <v>2853</v>
      </c>
      <c r="K1489" s="188" t="s">
        <v>2853</v>
      </c>
    </row>
    <row r="1490" spans="1:11" x14ac:dyDescent="0.25">
      <c r="A1490" t="s">
        <v>6060</v>
      </c>
      <c r="B1490" s="27" t="s">
        <v>1515</v>
      </c>
      <c r="D1490" s="28" t="s">
        <v>3628</v>
      </c>
      <c r="E1490" s="29" t="s">
        <v>563</v>
      </c>
      <c r="F1490" s="30">
        <v>1</v>
      </c>
      <c r="G1490" s="31">
        <v>171.89</v>
      </c>
      <c r="H1490" s="31">
        <f t="shared" si="138"/>
        <v>171.89</v>
      </c>
      <c r="I1490" s="170" t="s">
        <v>2842</v>
      </c>
      <c r="J1490" t="s">
        <v>2853</v>
      </c>
      <c r="K1490" s="188" t="s">
        <v>2853</v>
      </c>
    </row>
    <row r="1491" spans="1:11" x14ac:dyDescent="0.25">
      <c r="A1491" t="s">
        <v>6061</v>
      </c>
      <c r="B1491" s="27" t="s">
        <v>1516</v>
      </c>
      <c r="D1491" s="28" t="s">
        <v>3629</v>
      </c>
      <c r="E1491" s="29" t="s">
        <v>563</v>
      </c>
      <c r="F1491" s="30">
        <v>1</v>
      </c>
      <c r="G1491" s="31">
        <v>171.89</v>
      </c>
      <c r="H1491" s="31">
        <f t="shared" si="138"/>
        <v>171.89</v>
      </c>
      <c r="I1491" s="170" t="s">
        <v>2842</v>
      </c>
      <c r="J1491" t="s">
        <v>2853</v>
      </c>
      <c r="K1491" s="188" t="s">
        <v>2853</v>
      </c>
    </row>
    <row r="1492" spans="1:11" x14ac:dyDescent="0.25">
      <c r="A1492" t="s">
        <v>6062</v>
      </c>
      <c r="B1492" s="27" t="s">
        <v>1517</v>
      </c>
      <c r="D1492" s="28" t="s">
        <v>3630</v>
      </c>
      <c r="E1492" s="29" t="s">
        <v>563</v>
      </c>
      <c r="F1492" s="30">
        <v>1</v>
      </c>
      <c r="G1492" s="31">
        <v>171.89</v>
      </c>
      <c r="H1492" s="31">
        <f t="shared" si="138"/>
        <v>171.89</v>
      </c>
      <c r="I1492" s="170" t="s">
        <v>2842</v>
      </c>
      <c r="J1492" t="s">
        <v>2853</v>
      </c>
      <c r="K1492" s="188" t="s">
        <v>2853</v>
      </c>
    </row>
    <row r="1493" spans="1:11" x14ac:dyDescent="0.25">
      <c r="A1493" t="s">
        <v>6063</v>
      </c>
      <c r="B1493" s="27" t="s">
        <v>1518</v>
      </c>
      <c r="D1493" s="28" t="s">
        <v>3631</v>
      </c>
      <c r="E1493" s="29" t="s">
        <v>671</v>
      </c>
      <c r="F1493" s="30">
        <v>1</v>
      </c>
      <c r="G1493" s="31">
        <v>171.89</v>
      </c>
      <c r="H1493" s="31">
        <f t="shared" si="138"/>
        <v>171.89</v>
      </c>
      <c r="I1493" s="170" t="s">
        <v>2842</v>
      </c>
      <c r="J1493" t="s">
        <v>2853</v>
      </c>
      <c r="K1493" s="188" t="s">
        <v>2853</v>
      </c>
    </row>
    <row r="1494" spans="1:11" x14ac:dyDescent="0.25">
      <c r="A1494" t="s">
        <v>6064</v>
      </c>
      <c r="B1494" s="27" t="s">
        <v>1519</v>
      </c>
      <c r="D1494" s="28" t="s">
        <v>3632</v>
      </c>
      <c r="E1494" s="29" t="s">
        <v>671</v>
      </c>
      <c r="F1494" s="30">
        <v>1</v>
      </c>
      <c r="G1494" s="31">
        <v>171.89</v>
      </c>
      <c r="H1494" s="31">
        <f t="shared" si="138"/>
        <v>171.89</v>
      </c>
      <c r="I1494" s="170" t="s">
        <v>2842</v>
      </c>
      <c r="J1494" t="s">
        <v>2853</v>
      </c>
      <c r="K1494" s="188" t="s">
        <v>2853</v>
      </c>
    </row>
    <row r="1495" spans="1:11" x14ac:dyDescent="0.25">
      <c r="A1495" t="s">
        <v>6065</v>
      </c>
      <c r="B1495" s="27" t="s">
        <v>1520</v>
      </c>
      <c r="D1495" s="28" t="s">
        <v>3633</v>
      </c>
      <c r="E1495" s="29" t="s">
        <v>671</v>
      </c>
      <c r="F1495" s="30">
        <v>1</v>
      </c>
      <c r="G1495" s="31">
        <v>171.89</v>
      </c>
      <c r="H1495" s="31">
        <f t="shared" si="138"/>
        <v>171.89</v>
      </c>
      <c r="I1495" s="170" t="s">
        <v>2842</v>
      </c>
      <c r="J1495" t="s">
        <v>2853</v>
      </c>
      <c r="K1495" s="188" t="s">
        <v>2853</v>
      </c>
    </row>
    <row r="1496" spans="1:11" x14ac:dyDescent="0.25">
      <c r="A1496" t="s">
        <v>6066</v>
      </c>
      <c r="B1496" s="27" t="s">
        <v>1521</v>
      </c>
      <c r="D1496" s="28" t="s">
        <v>3634</v>
      </c>
      <c r="E1496" s="29" t="s">
        <v>21</v>
      </c>
      <c r="F1496" s="30">
        <v>1</v>
      </c>
      <c r="G1496" s="31">
        <v>191.72</v>
      </c>
      <c r="H1496" s="31">
        <f t="shared" si="138"/>
        <v>191.72</v>
      </c>
      <c r="I1496" s="170" t="s">
        <v>2842</v>
      </c>
      <c r="J1496" t="s">
        <v>2853</v>
      </c>
      <c r="K1496" s="188" t="s">
        <v>2853</v>
      </c>
    </row>
    <row r="1497" spans="1:11" x14ac:dyDescent="0.25">
      <c r="A1497" t="s">
        <v>6067</v>
      </c>
      <c r="B1497" s="27" t="s">
        <v>1522</v>
      </c>
      <c r="D1497" s="28" t="s">
        <v>3635</v>
      </c>
      <c r="E1497" s="29" t="s">
        <v>21</v>
      </c>
      <c r="F1497" s="30">
        <v>1</v>
      </c>
      <c r="G1497" s="31">
        <v>191.72</v>
      </c>
      <c r="H1497" s="31">
        <f t="shared" si="138"/>
        <v>191.72</v>
      </c>
      <c r="I1497" s="170" t="s">
        <v>2842</v>
      </c>
      <c r="J1497" t="s">
        <v>2853</v>
      </c>
      <c r="K1497" s="188" t="s">
        <v>2853</v>
      </c>
    </row>
    <row r="1498" spans="1:11" x14ac:dyDescent="0.25">
      <c r="A1498" t="s">
        <v>6068</v>
      </c>
      <c r="B1498" s="27" t="s">
        <v>1523</v>
      </c>
      <c r="D1498" s="28" t="s">
        <v>3636</v>
      </c>
      <c r="E1498" s="29" t="s">
        <v>21</v>
      </c>
      <c r="F1498" s="30">
        <v>1</v>
      </c>
      <c r="G1498" s="31">
        <v>191.72</v>
      </c>
      <c r="H1498" s="31">
        <f t="shared" si="138"/>
        <v>191.72</v>
      </c>
      <c r="I1498" s="170" t="s">
        <v>2842</v>
      </c>
      <c r="J1498" t="s">
        <v>2853</v>
      </c>
      <c r="K1498" s="188" t="s">
        <v>2853</v>
      </c>
    </row>
    <row r="1499" spans="1:11" x14ac:dyDescent="0.25">
      <c r="A1499" t="s">
        <v>6069</v>
      </c>
      <c r="B1499" s="27" t="s">
        <v>1524</v>
      </c>
      <c r="D1499" s="28" t="s">
        <v>3637</v>
      </c>
      <c r="E1499" s="29" t="s">
        <v>563</v>
      </c>
      <c r="F1499" s="30">
        <v>1</v>
      </c>
      <c r="G1499" s="31">
        <v>191.72</v>
      </c>
      <c r="H1499" s="31">
        <f t="shared" si="138"/>
        <v>191.72</v>
      </c>
      <c r="I1499" s="170" t="s">
        <v>2842</v>
      </c>
      <c r="J1499" t="s">
        <v>2853</v>
      </c>
      <c r="K1499" s="188" t="s">
        <v>2853</v>
      </c>
    </row>
    <row r="1500" spans="1:11" x14ac:dyDescent="0.25">
      <c r="A1500" t="s">
        <v>6070</v>
      </c>
      <c r="B1500" s="27" t="s">
        <v>1525</v>
      </c>
      <c r="D1500" s="28" t="s">
        <v>3638</v>
      </c>
      <c r="E1500" s="29" t="s">
        <v>563</v>
      </c>
      <c r="F1500" s="30">
        <v>1</v>
      </c>
      <c r="G1500" s="31">
        <v>191.72</v>
      </c>
      <c r="H1500" s="31">
        <f t="shared" si="138"/>
        <v>191.72</v>
      </c>
      <c r="I1500" s="170" t="s">
        <v>2842</v>
      </c>
      <c r="J1500" t="s">
        <v>2853</v>
      </c>
      <c r="K1500" s="188" t="s">
        <v>2853</v>
      </c>
    </row>
    <row r="1501" spans="1:11" x14ac:dyDescent="0.25">
      <c r="A1501" t="s">
        <v>6071</v>
      </c>
      <c r="B1501" s="27" t="s">
        <v>1526</v>
      </c>
      <c r="D1501" s="28" t="s">
        <v>3639</v>
      </c>
      <c r="E1501" s="29" t="s">
        <v>563</v>
      </c>
      <c r="F1501" s="30">
        <v>1</v>
      </c>
      <c r="G1501" s="31">
        <v>191.72</v>
      </c>
      <c r="H1501" s="31">
        <f t="shared" si="138"/>
        <v>191.72</v>
      </c>
      <c r="I1501" s="170" t="s">
        <v>2842</v>
      </c>
      <c r="J1501" t="s">
        <v>2853</v>
      </c>
      <c r="K1501" s="188" t="s">
        <v>2853</v>
      </c>
    </row>
    <row r="1502" spans="1:11" x14ac:dyDescent="0.25">
      <c r="A1502" t="s">
        <v>6072</v>
      </c>
      <c r="B1502" s="27" t="s">
        <v>1527</v>
      </c>
      <c r="D1502" s="28" t="s">
        <v>3640</v>
      </c>
      <c r="E1502" s="29" t="s">
        <v>671</v>
      </c>
      <c r="F1502" s="30">
        <v>1</v>
      </c>
      <c r="G1502" s="31">
        <v>191.72</v>
      </c>
      <c r="H1502" s="31">
        <f t="shared" si="138"/>
        <v>191.72</v>
      </c>
      <c r="I1502" s="170" t="s">
        <v>2842</v>
      </c>
      <c r="J1502" t="s">
        <v>2853</v>
      </c>
      <c r="K1502" s="188" t="s">
        <v>2853</v>
      </c>
    </row>
    <row r="1503" spans="1:11" x14ac:dyDescent="0.25">
      <c r="A1503" t="s">
        <v>6073</v>
      </c>
      <c r="B1503" s="27" t="s">
        <v>1528</v>
      </c>
      <c r="D1503" s="28" t="s">
        <v>3641</v>
      </c>
      <c r="E1503" s="29" t="s">
        <v>671</v>
      </c>
      <c r="F1503" s="30">
        <v>1</v>
      </c>
      <c r="G1503" s="31">
        <v>191.72</v>
      </c>
      <c r="H1503" s="31">
        <f t="shared" si="138"/>
        <v>191.72</v>
      </c>
      <c r="I1503" s="170" t="s">
        <v>2842</v>
      </c>
      <c r="J1503" t="s">
        <v>2853</v>
      </c>
      <c r="K1503" s="188" t="s">
        <v>2853</v>
      </c>
    </row>
    <row r="1504" spans="1:11" x14ac:dyDescent="0.25">
      <c r="A1504" t="s">
        <v>6074</v>
      </c>
      <c r="B1504" s="27" t="s">
        <v>1529</v>
      </c>
      <c r="D1504" s="28" t="s">
        <v>3642</v>
      </c>
      <c r="E1504" s="29" t="s">
        <v>671</v>
      </c>
      <c r="F1504" s="30">
        <v>1</v>
      </c>
      <c r="G1504" s="31">
        <v>191.72</v>
      </c>
      <c r="H1504" s="31">
        <f t="shared" ref="H1504:H1567" si="139">+F1504*G1504</f>
        <v>191.72</v>
      </c>
      <c r="I1504" s="170" t="s">
        <v>2842</v>
      </c>
      <c r="J1504" t="s">
        <v>2853</v>
      </c>
      <c r="K1504" s="188" t="s">
        <v>2853</v>
      </c>
    </row>
    <row r="1505" spans="1:11" x14ac:dyDescent="0.25">
      <c r="A1505" t="s">
        <v>6075</v>
      </c>
      <c r="B1505" s="27" t="s">
        <v>1530</v>
      </c>
      <c r="D1505" s="28" t="s">
        <v>3643</v>
      </c>
      <c r="E1505" s="29" t="s">
        <v>21</v>
      </c>
      <c r="F1505" s="30">
        <v>1</v>
      </c>
      <c r="G1505" s="31">
        <v>211.55</v>
      </c>
      <c r="H1505" s="31">
        <f t="shared" si="139"/>
        <v>211.55</v>
      </c>
      <c r="I1505" s="170" t="s">
        <v>2842</v>
      </c>
      <c r="J1505" t="s">
        <v>2853</v>
      </c>
      <c r="K1505" s="188" t="s">
        <v>2853</v>
      </c>
    </row>
    <row r="1506" spans="1:11" x14ac:dyDescent="0.25">
      <c r="A1506" t="s">
        <v>6076</v>
      </c>
      <c r="B1506" s="27" t="s">
        <v>1531</v>
      </c>
      <c r="D1506" s="28" t="s">
        <v>3644</v>
      </c>
      <c r="E1506" s="29" t="s">
        <v>21</v>
      </c>
      <c r="F1506" s="30">
        <v>1</v>
      </c>
      <c r="G1506" s="31">
        <v>211.55</v>
      </c>
      <c r="H1506" s="31">
        <f t="shared" si="139"/>
        <v>211.55</v>
      </c>
      <c r="I1506" s="170" t="s">
        <v>2842</v>
      </c>
      <c r="J1506" t="s">
        <v>2853</v>
      </c>
      <c r="K1506" s="188" t="s">
        <v>2853</v>
      </c>
    </row>
    <row r="1507" spans="1:11" x14ac:dyDescent="0.25">
      <c r="A1507" t="s">
        <v>6077</v>
      </c>
      <c r="B1507" s="27" t="s">
        <v>1532</v>
      </c>
      <c r="D1507" s="28" t="s">
        <v>3645</v>
      </c>
      <c r="E1507" s="29" t="s">
        <v>21</v>
      </c>
      <c r="F1507" s="30">
        <v>1</v>
      </c>
      <c r="G1507" s="31">
        <v>211.55</v>
      </c>
      <c r="H1507" s="31">
        <f t="shared" si="139"/>
        <v>211.55</v>
      </c>
      <c r="I1507" s="170" t="s">
        <v>2842</v>
      </c>
      <c r="J1507" t="s">
        <v>2853</v>
      </c>
      <c r="K1507" s="188" t="s">
        <v>2853</v>
      </c>
    </row>
    <row r="1508" spans="1:11" x14ac:dyDescent="0.25">
      <c r="A1508" t="s">
        <v>6078</v>
      </c>
      <c r="B1508" s="27" t="s">
        <v>1533</v>
      </c>
      <c r="D1508" s="28" t="s">
        <v>3646</v>
      </c>
      <c r="E1508" s="29" t="s">
        <v>563</v>
      </c>
      <c r="F1508" s="30">
        <v>1</v>
      </c>
      <c r="G1508" s="31">
        <v>211.55</v>
      </c>
      <c r="H1508" s="31">
        <f t="shared" si="139"/>
        <v>211.55</v>
      </c>
      <c r="I1508" s="170" t="s">
        <v>2842</v>
      </c>
      <c r="J1508" t="s">
        <v>2853</v>
      </c>
      <c r="K1508" s="188" t="s">
        <v>2853</v>
      </c>
    </row>
    <row r="1509" spans="1:11" x14ac:dyDescent="0.25">
      <c r="A1509" t="s">
        <v>6079</v>
      </c>
      <c r="B1509" s="27" t="s">
        <v>1534</v>
      </c>
      <c r="D1509" s="28" t="s">
        <v>3647</v>
      </c>
      <c r="E1509" s="29" t="s">
        <v>563</v>
      </c>
      <c r="F1509" s="30">
        <v>1</v>
      </c>
      <c r="G1509" s="31">
        <v>211.55</v>
      </c>
      <c r="H1509" s="31">
        <f t="shared" si="139"/>
        <v>211.55</v>
      </c>
      <c r="I1509" s="170" t="s">
        <v>2842</v>
      </c>
      <c r="J1509" t="s">
        <v>2853</v>
      </c>
      <c r="K1509" s="188" t="s">
        <v>2853</v>
      </c>
    </row>
    <row r="1510" spans="1:11" x14ac:dyDescent="0.25">
      <c r="A1510" t="s">
        <v>6080</v>
      </c>
      <c r="B1510" s="27" t="s">
        <v>1535</v>
      </c>
      <c r="D1510" s="28" t="s">
        <v>3648</v>
      </c>
      <c r="E1510" s="29" t="s">
        <v>563</v>
      </c>
      <c r="F1510" s="30">
        <v>1</v>
      </c>
      <c r="G1510" s="31">
        <v>211.55</v>
      </c>
      <c r="H1510" s="31">
        <f t="shared" si="139"/>
        <v>211.55</v>
      </c>
      <c r="I1510" s="170" t="s">
        <v>2842</v>
      </c>
      <c r="J1510" t="s">
        <v>2853</v>
      </c>
      <c r="K1510" s="188" t="s">
        <v>2853</v>
      </c>
    </row>
    <row r="1511" spans="1:11" x14ac:dyDescent="0.25">
      <c r="A1511" t="s">
        <v>6081</v>
      </c>
      <c r="B1511" s="27" t="s">
        <v>1536</v>
      </c>
      <c r="D1511" s="28" t="s">
        <v>3649</v>
      </c>
      <c r="E1511" s="29" t="s">
        <v>671</v>
      </c>
      <c r="F1511" s="30">
        <v>1</v>
      </c>
      <c r="G1511" s="31">
        <v>211.55</v>
      </c>
      <c r="H1511" s="31">
        <f t="shared" si="139"/>
        <v>211.55</v>
      </c>
      <c r="I1511" s="170" t="s">
        <v>2842</v>
      </c>
      <c r="J1511" t="s">
        <v>2853</v>
      </c>
      <c r="K1511" s="188" t="s">
        <v>2853</v>
      </c>
    </row>
    <row r="1512" spans="1:11" x14ac:dyDescent="0.25">
      <c r="A1512" t="s">
        <v>6082</v>
      </c>
      <c r="B1512" s="27" t="s">
        <v>1537</v>
      </c>
      <c r="D1512" s="28" t="s">
        <v>3650</v>
      </c>
      <c r="E1512" s="29" t="s">
        <v>671</v>
      </c>
      <c r="F1512" s="30">
        <v>1</v>
      </c>
      <c r="G1512" s="31">
        <v>211.55</v>
      </c>
      <c r="H1512" s="31">
        <f t="shared" si="139"/>
        <v>211.55</v>
      </c>
      <c r="I1512" s="170" t="s">
        <v>2842</v>
      </c>
      <c r="J1512" t="s">
        <v>2853</v>
      </c>
      <c r="K1512" s="188" t="s">
        <v>2853</v>
      </c>
    </row>
    <row r="1513" spans="1:11" x14ac:dyDescent="0.25">
      <c r="A1513" t="s">
        <v>6083</v>
      </c>
      <c r="B1513" s="27" t="s">
        <v>1538</v>
      </c>
      <c r="D1513" s="28" t="s">
        <v>3651</v>
      </c>
      <c r="E1513" s="29" t="s">
        <v>671</v>
      </c>
      <c r="F1513" s="30">
        <v>1</v>
      </c>
      <c r="G1513" s="31">
        <v>211.55</v>
      </c>
      <c r="H1513" s="31">
        <f t="shared" si="139"/>
        <v>211.55</v>
      </c>
      <c r="I1513" s="170" t="s">
        <v>2842</v>
      </c>
      <c r="J1513" t="s">
        <v>2853</v>
      </c>
      <c r="K1513" s="188" t="s">
        <v>2853</v>
      </c>
    </row>
    <row r="1514" spans="1:11" x14ac:dyDescent="0.25">
      <c r="A1514" t="s">
        <v>6084</v>
      </c>
      <c r="B1514" s="27" t="s">
        <v>1539</v>
      </c>
      <c r="D1514" s="28" t="s">
        <v>3652</v>
      </c>
      <c r="E1514" s="29" t="s">
        <v>21</v>
      </c>
      <c r="F1514" s="30">
        <v>1</v>
      </c>
      <c r="G1514" s="31">
        <v>178.49</v>
      </c>
      <c r="H1514" s="31">
        <f t="shared" si="139"/>
        <v>178.49</v>
      </c>
      <c r="I1514" s="170" t="s">
        <v>2842</v>
      </c>
      <c r="J1514" t="s">
        <v>2853</v>
      </c>
      <c r="K1514" s="188" t="s">
        <v>2853</v>
      </c>
    </row>
    <row r="1515" spans="1:11" x14ac:dyDescent="0.25">
      <c r="A1515" t="s">
        <v>6085</v>
      </c>
      <c r="B1515" s="27" t="s">
        <v>1540</v>
      </c>
      <c r="D1515" s="28" t="s">
        <v>3653</v>
      </c>
      <c r="E1515" s="29" t="s">
        <v>21</v>
      </c>
      <c r="F1515" s="30">
        <v>1</v>
      </c>
      <c r="G1515" s="31">
        <v>178.49</v>
      </c>
      <c r="H1515" s="31">
        <f t="shared" si="139"/>
        <v>178.49</v>
      </c>
      <c r="I1515" s="170" t="s">
        <v>2842</v>
      </c>
      <c r="J1515" t="s">
        <v>2853</v>
      </c>
      <c r="K1515" s="188" t="s">
        <v>2853</v>
      </c>
    </row>
    <row r="1516" spans="1:11" x14ac:dyDescent="0.25">
      <c r="A1516" t="s">
        <v>6086</v>
      </c>
      <c r="B1516" s="27" t="s">
        <v>1541</v>
      </c>
      <c r="D1516" s="28" t="s">
        <v>3654</v>
      </c>
      <c r="E1516" s="29" t="s">
        <v>21</v>
      </c>
      <c r="F1516" s="30">
        <v>1</v>
      </c>
      <c r="G1516" s="31">
        <v>178.49</v>
      </c>
      <c r="H1516" s="31">
        <f t="shared" si="139"/>
        <v>178.49</v>
      </c>
      <c r="I1516" s="170" t="s">
        <v>2842</v>
      </c>
      <c r="J1516" t="s">
        <v>2853</v>
      </c>
      <c r="K1516" s="188" t="s">
        <v>2853</v>
      </c>
    </row>
    <row r="1517" spans="1:11" x14ac:dyDescent="0.25">
      <c r="A1517" t="s">
        <v>6087</v>
      </c>
      <c r="B1517" s="27" t="s">
        <v>1542</v>
      </c>
      <c r="D1517" s="28" t="s">
        <v>3655</v>
      </c>
      <c r="E1517" s="29" t="s">
        <v>563</v>
      </c>
      <c r="F1517" s="30">
        <v>1</v>
      </c>
      <c r="G1517" s="31">
        <v>178.49</v>
      </c>
      <c r="H1517" s="31">
        <f t="shared" si="139"/>
        <v>178.49</v>
      </c>
      <c r="I1517" s="170" t="s">
        <v>2842</v>
      </c>
      <c r="J1517" t="s">
        <v>2853</v>
      </c>
      <c r="K1517" s="188" t="s">
        <v>2853</v>
      </c>
    </row>
    <row r="1518" spans="1:11" x14ac:dyDescent="0.25">
      <c r="A1518" t="s">
        <v>6088</v>
      </c>
      <c r="B1518" s="27" t="s">
        <v>1543</v>
      </c>
      <c r="D1518" s="28" t="s">
        <v>3656</v>
      </c>
      <c r="E1518" s="29" t="s">
        <v>563</v>
      </c>
      <c r="F1518" s="30">
        <v>1</v>
      </c>
      <c r="G1518" s="31">
        <v>178.49</v>
      </c>
      <c r="H1518" s="31">
        <f t="shared" si="139"/>
        <v>178.49</v>
      </c>
      <c r="I1518" s="170" t="s">
        <v>2842</v>
      </c>
      <c r="J1518" t="s">
        <v>2853</v>
      </c>
      <c r="K1518" s="188" t="s">
        <v>2853</v>
      </c>
    </row>
    <row r="1519" spans="1:11" x14ac:dyDescent="0.25">
      <c r="A1519" t="s">
        <v>6089</v>
      </c>
      <c r="B1519" s="27" t="s">
        <v>1544</v>
      </c>
      <c r="D1519" s="28" t="s">
        <v>3657</v>
      </c>
      <c r="E1519" s="29" t="s">
        <v>563</v>
      </c>
      <c r="F1519" s="30">
        <v>1</v>
      </c>
      <c r="G1519" s="31">
        <v>178.49</v>
      </c>
      <c r="H1519" s="31">
        <f t="shared" si="139"/>
        <v>178.49</v>
      </c>
      <c r="I1519" s="170" t="s">
        <v>2842</v>
      </c>
      <c r="J1519" t="s">
        <v>2853</v>
      </c>
      <c r="K1519" s="188" t="s">
        <v>2853</v>
      </c>
    </row>
    <row r="1520" spans="1:11" x14ac:dyDescent="0.25">
      <c r="A1520" t="s">
        <v>6090</v>
      </c>
      <c r="B1520" s="27" t="s">
        <v>1545</v>
      </c>
      <c r="D1520" s="28" t="s">
        <v>3658</v>
      </c>
      <c r="E1520" s="29" t="s">
        <v>671</v>
      </c>
      <c r="F1520" s="30">
        <v>1</v>
      </c>
      <c r="G1520" s="31">
        <v>178.49</v>
      </c>
      <c r="H1520" s="31">
        <f t="shared" si="139"/>
        <v>178.49</v>
      </c>
      <c r="I1520" s="170" t="s">
        <v>2842</v>
      </c>
      <c r="J1520" t="s">
        <v>2853</v>
      </c>
      <c r="K1520" s="188" t="s">
        <v>2853</v>
      </c>
    </row>
    <row r="1521" spans="1:11" x14ac:dyDescent="0.25">
      <c r="A1521" t="s">
        <v>6091</v>
      </c>
      <c r="B1521" s="27" t="s">
        <v>1546</v>
      </c>
      <c r="D1521" s="28" t="s">
        <v>3659</v>
      </c>
      <c r="E1521" s="29" t="s">
        <v>671</v>
      </c>
      <c r="F1521" s="30">
        <v>1</v>
      </c>
      <c r="G1521" s="31">
        <v>178.49</v>
      </c>
      <c r="H1521" s="31">
        <f t="shared" si="139"/>
        <v>178.49</v>
      </c>
      <c r="I1521" s="170" t="s">
        <v>2842</v>
      </c>
      <c r="J1521" t="s">
        <v>2853</v>
      </c>
      <c r="K1521" s="188" t="s">
        <v>2853</v>
      </c>
    </row>
    <row r="1522" spans="1:11" x14ac:dyDescent="0.25">
      <c r="A1522" t="s">
        <v>6092</v>
      </c>
      <c r="B1522" s="27" t="s">
        <v>1547</v>
      </c>
      <c r="D1522" s="28" t="s">
        <v>3660</v>
      </c>
      <c r="E1522" s="29" t="s">
        <v>671</v>
      </c>
      <c r="F1522" s="30">
        <v>1</v>
      </c>
      <c r="G1522" s="31">
        <v>178.49</v>
      </c>
      <c r="H1522" s="31">
        <f t="shared" si="139"/>
        <v>178.49</v>
      </c>
      <c r="I1522" s="170" t="s">
        <v>2842</v>
      </c>
      <c r="J1522" t="s">
        <v>2853</v>
      </c>
      <c r="K1522" s="188" t="s">
        <v>2853</v>
      </c>
    </row>
    <row r="1523" spans="1:11" x14ac:dyDescent="0.25">
      <c r="A1523" t="s">
        <v>6093</v>
      </c>
      <c r="B1523" s="27" t="s">
        <v>1548</v>
      </c>
      <c r="D1523" s="28" t="s">
        <v>3661</v>
      </c>
      <c r="E1523" s="29" t="s">
        <v>21</v>
      </c>
      <c r="F1523" s="30">
        <v>1</v>
      </c>
      <c r="G1523" s="31">
        <v>198.33</v>
      </c>
      <c r="H1523" s="31">
        <f t="shared" si="139"/>
        <v>198.33</v>
      </c>
      <c r="I1523" s="170" t="s">
        <v>2842</v>
      </c>
      <c r="J1523" t="s">
        <v>2853</v>
      </c>
      <c r="K1523" s="188" t="s">
        <v>2853</v>
      </c>
    </row>
    <row r="1524" spans="1:11" x14ac:dyDescent="0.25">
      <c r="A1524" t="s">
        <v>6094</v>
      </c>
      <c r="B1524" s="27" t="s">
        <v>1549</v>
      </c>
      <c r="D1524" s="28" t="s">
        <v>3662</v>
      </c>
      <c r="E1524" s="29" t="s">
        <v>21</v>
      </c>
      <c r="F1524" s="30">
        <v>1</v>
      </c>
      <c r="G1524" s="31">
        <v>198.33</v>
      </c>
      <c r="H1524" s="31">
        <f t="shared" si="139"/>
        <v>198.33</v>
      </c>
      <c r="I1524" s="170" t="s">
        <v>2842</v>
      </c>
      <c r="J1524" t="s">
        <v>2853</v>
      </c>
      <c r="K1524" s="188" t="s">
        <v>2853</v>
      </c>
    </row>
    <row r="1525" spans="1:11" x14ac:dyDescent="0.25">
      <c r="A1525" t="s">
        <v>6095</v>
      </c>
      <c r="B1525" s="27" t="s">
        <v>1550</v>
      </c>
      <c r="D1525" s="28" t="s">
        <v>3663</v>
      </c>
      <c r="E1525" s="29" t="s">
        <v>21</v>
      </c>
      <c r="F1525" s="30">
        <v>1</v>
      </c>
      <c r="G1525" s="31">
        <v>198.33</v>
      </c>
      <c r="H1525" s="31">
        <f t="shared" si="139"/>
        <v>198.33</v>
      </c>
      <c r="I1525" s="170" t="s">
        <v>2842</v>
      </c>
      <c r="J1525" t="s">
        <v>2853</v>
      </c>
      <c r="K1525" s="188" t="s">
        <v>2853</v>
      </c>
    </row>
    <row r="1526" spans="1:11" x14ac:dyDescent="0.25">
      <c r="A1526" t="s">
        <v>6096</v>
      </c>
      <c r="B1526" s="27" t="s">
        <v>1551</v>
      </c>
      <c r="D1526" s="28" t="s">
        <v>3664</v>
      </c>
      <c r="E1526" s="29" t="s">
        <v>563</v>
      </c>
      <c r="F1526" s="30">
        <v>1</v>
      </c>
      <c r="G1526" s="31">
        <v>198.33</v>
      </c>
      <c r="H1526" s="31">
        <f t="shared" si="139"/>
        <v>198.33</v>
      </c>
      <c r="I1526" s="170" t="s">
        <v>2842</v>
      </c>
      <c r="J1526" t="s">
        <v>2853</v>
      </c>
      <c r="K1526" s="188" t="s">
        <v>2853</v>
      </c>
    </row>
    <row r="1527" spans="1:11" x14ac:dyDescent="0.25">
      <c r="A1527" t="s">
        <v>6097</v>
      </c>
      <c r="B1527" s="27" t="s">
        <v>1552</v>
      </c>
      <c r="D1527" s="28" t="s">
        <v>3665</v>
      </c>
      <c r="E1527" s="29" t="s">
        <v>563</v>
      </c>
      <c r="F1527" s="30">
        <v>1</v>
      </c>
      <c r="G1527" s="31">
        <v>198.33</v>
      </c>
      <c r="H1527" s="31">
        <f t="shared" si="139"/>
        <v>198.33</v>
      </c>
      <c r="I1527" s="170" t="s">
        <v>2842</v>
      </c>
      <c r="J1527" t="s">
        <v>2853</v>
      </c>
      <c r="K1527" s="188" t="s">
        <v>2853</v>
      </c>
    </row>
    <row r="1528" spans="1:11" x14ac:dyDescent="0.25">
      <c r="A1528" t="s">
        <v>6098</v>
      </c>
      <c r="B1528" s="27" t="s">
        <v>1553</v>
      </c>
      <c r="D1528" s="28" t="s">
        <v>3666</v>
      </c>
      <c r="E1528" s="29" t="s">
        <v>563</v>
      </c>
      <c r="F1528" s="30">
        <v>1</v>
      </c>
      <c r="G1528" s="31">
        <v>198.33</v>
      </c>
      <c r="H1528" s="31">
        <f t="shared" si="139"/>
        <v>198.33</v>
      </c>
      <c r="I1528" s="170" t="s">
        <v>2842</v>
      </c>
      <c r="J1528" t="s">
        <v>2853</v>
      </c>
      <c r="K1528" s="188" t="s">
        <v>2853</v>
      </c>
    </row>
    <row r="1529" spans="1:11" x14ac:dyDescent="0.25">
      <c r="A1529" t="s">
        <v>6099</v>
      </c>
      <c r="B1529" s="27" t="s">
        <v>1554</v>
      </c>
      <c r="D1529" s="28" t="s">
        <v>3667</v>
      </c>
      <c r="E1529" s="29" t="s">
        <v>671</v>
      </c>
      <c r="F1529" s="30">
        <v>1</v>
      </c>
      <c r="G1529" s="31">
        <v>198.33</v>
      </c>
      <c r="H1529" s="31">
        <f t="shared" si="139"/>
        <v>198.33</v>
      </c>
      <c r="I1529" s="170" t="s">
        <v>2842</v>
      </c>
      <c r="J1529" t="s">
        <v>2853</v>
      </c>
      <c r="K1529" s="188" t="s">
        <v>2853</v>
      </c>
    </row>
    <row r="1530" spans="1:11" x14ac:dyDescent="0.25">
      <c r="A1530" t="s">
        <v>6100</v>
      </c>
      <c r="B1530" s="27" t="s">
        <v>1555</v>
      </c>
      <c r="D1530" s="28" t="s">
        <v>3668</v>
      </c>
      <c r="E1530" s="29" t="s">
        <v>671</v>
      </c>
      <c r="F1530" s="30">
        <v>1</v>
      </c>
      <c r="G1530" s="31">
        <v>198.33</v>
      </c>
      <c r="H1530" s="31">
        <f t="shared" si="139"/>
        <v>198.33</v>
      </c>
      <c r="I1530" s="170" t="s">
        <v>2842</v>
      </c>
      <c r="J1530" t="s">
        <v>2853</v>
      </c>
      <c r="K1530" s="188" t="s">
        <v>2853</v>
      </c>
    </row>
    <row r="1531" spans="1:11" x14ac:dyDescent="0.25">
      <c r="A1531" t="s">
        <v>6101</v>
      </c>
      <c r="B1531" s="27" t="s">
        <v>1556</v>
      </c>
      <c r="D1531" s="28" t="s">
        <v>3669</v>
      </c>
      <c r="E1531" s="29" t="s">
        <v>671</v>
      </c>
      <c r="F1531" s="30">
        <v>1</v>
      </c>
      <c r="G1531" s="31">
        <v>198.33</v>
      </c>
      <c r="H1531" s="31">
        <f t="shared" si="139"/>
        <v>198.33</v>
      </c>
      <c r="I1531" s="170" t="s">
        <v>2842</v>
      </c>
      <c r="J1531" t="s">
        <v>2853</v>
      </c>
      <c r="K1531" s="188" t="s">
        <v>2853</v>
      </c>
    </row>
    <row r="1532" spans="1:11" x14ac:dyDescent="0.25">
      <c r="A1532" t="s">
        <v>6102</v>
      </c>
      <c r="B1532" s="27" t="s">
        <v>1557</v>
      </c>
      <c r="D1532" s="28" t="s">
        <v>3670</v>
      </c>
      <c r="E1532" s="29" t="s">
        <v>21</v>
      </c>
      <c r="F1532" s="30">
        <v>1</v>
      </c>
      <c r="G1532" s="31">
        <v>218.15</v>
      </c>
      <c r="H1532" s="31">
        <f t="shared" si="139"/>
        <v>218.15</v>
      </c>
      <c r="I1532" s="170" t="s">
        <v>2842</v>
      </c>
      <c r="J1532" t="s">
        <v>2853</v>
      </c>
      <c r="K1532" s="188" t="s">
        <v>2853</v>
      </c>
    </row>
    <row r="1533" spans="1:11" x14ac:dyDescent="0.25">
      <c r="A1533" t="s">
        <v>6103</v>
      </c>
      <c r="B1533" s="27" t="s">
        <v>1558</v>
      </c>
      <c r="D1533" s="28" t="s">
        <v>3671</v>
      </c>
      <c r="E1533" s="29" t="s">
        <v>21</v>
      </c>
      <c r="F1533" s="30">
        <v>1</v>
      </c>
      <c r="G1533" s="31">
        <v>218.15</v>
      </c>
      <c r="H1533" s="31">
        <f t="shared" si="139"/>
        <v>218.15</v>
      </c>
      <c r="I1533" s="170" t="s">
        <v>2842</v>
      </c>
      <c r="J1533" t="s">
        <v>2853</v>
      </c>
      <c r="K1533" s="188" t="s">
        <v>2853</v>
      </c>
    </row>
    <row r="1534" spans="1:11" x14ac:dyDescent="0.25">
      <c r="A1534" t="s">
        <v>6104</v>
      </c>
      <c r="B1534" s="27" t="s">
        <v>1559</v>
      </c>
      <c r="D1534" s="28" t="s">
        <v>3672</v>
      </c>
      <c r="E1534" s="29" t="s">
        <v>21</v>
      </c>
      <c r="F1534" s="30">
        <v>1</v>
      </c>
      <c r="G1534" s="31">
        <v>218.15</v>
      </c>
      <c r="H1534" s="31">
        <f t="shared" si="139"/>
        <v>218.15</v>
      </c>
      <c r="I1534" s="170" t="s">
        <v>2842</v>
      </c>
      <c r="J1534" t="s">
        <v>2853</v>
      </c>
      <c r="K1534" s="188" t="s">
        <v>2853</v>
      </c>
    </row>
    <row r="1535" spans="1:11" x14ac:dyDescent="0.25">
      <c r="A1535" t="s">
        <v>6105</v>
      </c>
      <c r="B1535" s="27" t="s">
        <v>1560</v>
      </c>
      <c r="D1535" s="28" t="s">
        <v>3673</v>
      </c>
      <c r="E1535" s="29" t="s">
        <v>563</v>
      </c>
      <c r="F1535" s="30">
        <v>1</v>
      </c>
      <c r="G1535" s="31">
        <v>218.15</v>
      </c>
      <c r="H1535" s="31">
        <f t="shared" si="139"/>
        <v>218.15</v>
      </c>
      <c r="I1535" s="170" t="s">
        <v>2842</v>
      </c>
      <c r="J1535" t="s">
        <v>2853</v>
      </c>
      <c r="K1535" s="188" t="s">
        <v>2853</v>
      </c>
    </row>
    <row r="1536" spans="1:11" x14ac:dyDescent="0.25">
      <c r="A1536" t="s">
        <v>6106</v>
      </c>
      <c r="B1536" s="27" t="s">
        <v>1561</v>
      </c>
      <c r="D1536" s="28" t="s">
        <v>3674</v>
      </c>
      <c r="E1536" s="29" t="s">
        <v>563</v>
      </c>
      <c r="F1536" s="30">
        <v>1</v>
      </c>
      <c r="G1536" s="31">
        <v>218.15</v>
      </c>
      <c r="H1536" s="31">
        <f t="shared" si="139"/>
        <v>218.15</v>
      </c>
      <c r="I1536" s="170" t="s">
        <v>2842</v>
      </c>
      <c r="J1536" t="s">
        <v>2853</v>
      </c>
      <c r="K1536" s="188" t="s">
        <v>2853</v>
      </c>
    </row>
    <row r="1537" spans="1:11" x14ac:dyDescent="0.25">
      <c r="A1537" t="s">
        <v>6107</v>
      </c>
      <c r="B1537" s="27" t="s">
        <v>1562</v>
      </c>
      <c r="D1537" s="28" t="s">
        <v>3675</v>
      </c>
      <c r="E1537" s="29" t="s">
        <v>563</v>
      </c>
      <c r="F1537" s="30">
        <v>1</v>
      </c>
      <c r="G1537" s="31">
        <v>218.15</v>
      </c>
      <c r="H1537" s="31">
        <f t="shared" si="139"/>
        <v>218.15</v>
      </c>
      <c r="I1537" s="170" t="s">
        <v>2842</v>
      </c>
      <c r="J1537" t="s">
        <v>2853</v>
      </c>
      <c r="K1537" s="188" t="s">
        <v>2853</v>
      </c>
    </row>
    <row r="1538" spans="1:11" x14ac:dyDescent="0.25">
      <c r="A1538" t="s">
        <v>6108</v>
      </c>
      <c r="B1538" s="27" t="s">
        <v>1563</v>
      </c>
      <c r="D1538" s="28" t="s">
        <v>3676</v>
      </c>
      <c r="E1538" s="29" t="s">
        <v>671</v>
      </c>
      <c r="F1538" s="30">
        <v>1</v>
      </c>
      <c r="G1538" s="31">
        <v>218.15</v>
      </c>
      <c r="H1538" s="31">
        <f t="shared" si="139"/>
        <v>218.15</v>
      </c>
      <c r="I1538" s="170" t="s">
        <v>2842</v>
      </c>
      <c r="J1538" t="s">
        <v>2853</v>
      </c>
      <c r="K1538" s="188" t="s">
        <v>2853</v>
      </c>
    </row>
    <row r="1539" spans="1:11" x14ac:dyDescent="0.25">
      <c r="A1539" t="s">
        <v>6109</v>
      </c>
      <c r="B1539" s="27" t="s">
        <v>1564</v>
      </c>
      <c r="D1539" s="28" t="s">
        <v>3677</v>
      </c>
      <c r="E1539" s="29" t="s">
        <v>671</v>
      </c>
      <c r="F1539" s="30">
        <v>1</v>
      </c>
      <c r="G1539" s="31">
        <v>218.15</v>
      </c>
      <c r="H1539" s="31">
        <f t="shared" si="139"/>
        <v>218.15</v>
      </c>
      <c r="I1539" s="170" t="s">
        <v>2842</v>
      </c>
      <c r="J1539" t="s">
        <v>2853</v>
      </c>
      <c r="K1539" s="188" t="s">
        <v>2853</v>
      </c>
    </row>
    <row r="1540" spans="1:11" x14ac:dyDescent="0.25">
      <c r="A1540" t="s">
        <v>6110</v>
      </c>
      <c r="B1540" s="27" t="s">
        <v>1565</v>
      </c>
      <c r="D1540" s="28" t="s">
        <v>3678</v>
      </c>
      <c r="E1540" s="29" t="s">
        <v>671</v>
      </c>
      <c r="F1540" s="30">
        <v>1</v>
      </c>
      <c r="G1540" s="31">
        <v>218.15</v>
      </c>
      <c r="H1540" s="31">
        <f t="shared" si="139"/>
        <v>218.15</v>
      </c>
      <c r="I1540" s="170" t="s">
        <v>2842</v>
      </c>
      <c r="J1540" t="s">
        <v>2853</v>
      </c>
      <c r="K1540" s="188" t="s">
        <v>2853</v>
      </c>
    </row>
    <row r="1541" spans="1:11" x14ac:dyDescent="0.25">
      <c r="A1541" t="s">
        <v>6111</v>
      </c>
      <c r="B1541" s="27" t="s">
        <v>1566</v>
      </c>
      <c r="D1541" s="28" t="s">
        <v>3679</v>
      </c>
      <c r="E1541" s="29" t="s">
        <v>21</v>
      </c>
      <c r="F1541" s="30">
        <v>1</v>
      </c>
      <c r="G1541" s="31">
        <v>244.6</v>
      </c>
      <c r="H1541" s="31">
        <f t="shared" si="139"/>
        <v>244.6</v>
      </c>
      <c r="I1541" s="170" t="s">
        <v>2842</v>
      </c>
      <c r="J1541" t="s">
        <v>2853</v>
      </c>
      <c r="K1541" s="188" t="s">
        <v>2853</v>
      </c>
    </row>
    <row r="1542" spans="1:11" x14ac:dyDescent="0.25">
      <c r="A1542" t="s">
        <v>6112</v>
      </c>
      <c r="B1542" s="27" t="s">
        <v>1567</v>
      </c>
      <c r="D1542" s="28" t="s">
        <v>3680</v>
      </c>
      <c r="E1542" s="29" t="s">
        <v>21</v>
      </c>
      <c r="F1542" s="30">
        <v>1</v>
      </c>
      <c r="G1542" s="31">
        <v>244.6</v>
      </c>
      <c r="H1542" s="31">
        <f t="shared" si="139"/>
        <v>244.6</v>
      </c>
      <c r="I1542" s="170" t="s">
        <v>2842</v>
      </c>
      <c r="J1542" t="s">
        <v>2853</v>
      </c>
      <c r="K1542" s="188" t="s">
        <v>2853</v>
      </c>
    </row>
    <row r="1543" spans="1:11" x14ac:dyDescent="0.25">
      <c r="A1543" t="s">
        <v>6113</v>
      </c>
      <c r="B1543" s="27" t="s">
        <v>1568</v>
      </c>
      <c r="D1543" s="28" t="s">
        <v>3681</v>
      </c>
      <c r="E1543" s="29" t="s">
        <v>21</v>
      </c>
      <c r="F1543" s="30">
        <v>1</v>
      </c>
      <c r="G1543" s="31">
        <v>244.6</v>
      </c>
      <c r="H1543" s="31">
        <f t="shared" si="139"/>
        <v>244.6</v>
      </c>
      <c r="I1543" s="170" t="s">
        <v>2842</v>
      </c>
      <c r="J1543" t="s">
        <v>2853</v>
      </c>
      <c r="K1543" s="188" t="s">
        <v>2853</v>
      </c>
    </row>
    <row r="1544" spans="1:11" x14ac:dyDescent="0.25">
      <c r="A1544" t="s">
        <v>6114</v>
      </c>
      <c r="B1544" s="27" t="s">
        <v>1569</v>
      </c>
      <c r="D1544" s="28" t="s">
        <v>3682</v>
      </c>
      <c r="E1544" s="29" t="s">
        <v>563</v>
      </c>
      <c r="F1544" s="30">
        <v>1</v>
      </c>
      <c r="G1544" s="31">
        <v>244.6</v>
      </c>
      <c r="H1544" s="31">
        <f t="shared" si="139"/>
        <v>244.6</v>
      </c>
      <c r="I1544" s="170" t="s">
        <v>2842</v>
      </c>
      <c r="J1544" t="s">
        <v>2853</v>
      </c>
      <c r="K1544" s="188" t="s">
        <v>2853</v>
      </c>
    </row>
    <row r="1545" spans="1:11" x14ac:dyDescent="0.25">
      <c r="A1545" t="s">
        <v>6115</v>
      </c>
      <c r="B1545" s="27" t="s">
        <v>1570</v>
      </c>
      <c r="D1545" s="28" t="s">
        <v>3683</v>
      </c>
      <c r="E1545" s="29" t="s">
        <v>563</v>
      </c>
      <c r="F1545" s="30">
        <v>1</v>
      </c>
      <c r="G1545" s="31">
        <v>244.6</v>
      </c>
      <c r="H1545" s="31">
        <f t="shared" si="139"/>
        <v>244.6</v>
      </c>
      <c r="I1545" s="170" t="s">
        <v>2842</v>
      </c>
      <c r="J1545" t="s">
        <v>2853</v>
      </c>
      <c r="K1545" s="188" t="s">
        <v>2853</v>
      </c>
    </row>
    <row r="1546" spans="1:11" x14ac:dyDescent="0.25">
      <c r="A1546" t="s">
        <v>6116</v>
      </c>
      <c r="B1546" s="27" t="s">
        <v>1571</v>
      </c>
      <c r="D1546" s="28" t="s">
        <v>3684</v>
      </c>
      <c r="E1546" s="29" t="s">
        <v>563</v>
      </c>
      <c r="F1546" s="30">
        <v>1</v>
      </c>
      <c r="G1546" s="31">
        <v>244.6</v>
      </c>
      <c r="H1546" s="31">
        <f t="shared" si="139"/>
        <v>244.6</v>
      </c>
      <c r="I1546" s="170" t="s">
        <v>2842</v>
      </c>
      <c r="J1546" t="s">
        <v>2853</v>
      </c>
      <c r="K1546" s="188" t="s">
        <v>2853</v>
      </c>
    </row>
    <row r="1547" spans="1:11" x14ac:dyDescent="0.25">
      <c r="A1547" t="s">
        <v>6117</v>
      </c>
      <c r="B1547" s="27" t="s">
        <v>1572</v>
      </c>
      <c r="D1547" s="28" t="s">
        <v>3685</v>
      </c>
      <c r="E1547" s="29" t="s">
        <v>671</v>
      </c>
      <c r="F1547" s="30">
        <v>1</v>
      </c>
      <c r="G1547" s="31">
        <v>244.6</v>
      </c>
      <c r="H1547" s="31">
        <f t="shared" si="139"/>
        <v>244.6</v>
      </c>
      <c r="I1547" s="170" t="s">
        <v>2842</v>
      </c>
      <c r="J1547" t="s">
        <v>2853</v>
      </c>
      <c r="K1547" s="188" t="s">
        <v>2853</v>
      </c>
    </row>
    <row r="1548" spans="1:11" x14ac:dyDescent="0.25">
      <c r="A1548" t="s">
        <v>6118</v>
      </c>
      <c r="B1548" s="27" t="s">
        <v>1573</v>
      </c>
      <c r="D1548" s="28" t="s">
        <v>3686</v>
      </c>
      <c r="E1548" s="29" t="s">
        <v>671</v>
      </c>
      <c r="F1548" s="30">
        <v>1</v>
      </c>
      <c r="G1548" s="31">
        <v>244.6</v>
      </c>
      <c r="H1548" s="31">
        <f t="shared" si="139"/>
        <v>244.6</v>
      </c>
      <c r="I1548" s="170" t="s">
        <v>2842</v>
      </c>
      <c r="J1548" t="s">
        <v>2853</v>
      </c>
      <c r="K1548" s="188" t="s">
        <v>2853</v>
      </c>
    </row>
    <row r="1549" spans="1:11" x14ac:dyDescent="0.25">
      <c r="A1549" t="s">
        <v>6119</v>
      </c>
      <c r="B1549" s="27" t="s">
        <v>1574</v>
      </c>
      <c r="D1549" s="28" t="s">
        <v>3687</v>
      </c>
      <c r="E1549" s="29" t="s">
        <v>671</v>
      </c>
      <c r="F1549" s="30">
        <v>1</v>
      </c>
      <c r="G1549" s="31">
        <v>244.6</v>
      </c>
      <c r="H1549" s="31">
        <f t="shared" si="139"/>
        <v>244.6</v>
      </c>
      <c r="I1549" s="170" t="s">
        <v>2842</v>
      </c>
      <c r="J1549" t="s">
        <v>2853</v>
      </c>
      <c r="K1549" s="188" t="s">
        <v>2853</v>
      </c>
    </row>
    <row r="1550" spans="1:11" x14ac:dyDescent="0.25">
      <c r="A1550" t="s">
        <v>6120</v>
      </c>
      <c r="B1550" s="27" t="s">
        <v>1575</v>
      </c>
      <c r="D1550" s="28" t="s">
        <v>3688</v>
      </c>
      <c r="E1550" s="29" t="s">
        <v>21</v>
      </c>
      <c r="F1550" s="30">
        <v>1</v>
      </c>
      <c r="G1550" s="31">
        <v>185.1</v>
      </c>
      <c r="H1550" s="31">
        <f t="shared" si="139"/>
        <v>185.1</v>
      </c>
      <c r="I1550" s="170" t="s">
        <v>2842</v>
      </c>
      <c r="J1550" t="s">
        <v>2853</v>
      </c>
      <c r="K1550" s="188" t="s">
        <v>2853</v>
      </c>
    </row>
    <row r="1551" spans="1:11" x14ac:dyDescent="0.25">
      <c r="A1551" t="s">
        <v>6121</v>
      </c>
      <c r="B1551" s="27" t="s">
        <v>1576</v>
      </c>
      <c r="D1551" s="28" t="s">
        <v>3689</v>
      </c>
      <c r="E1551" s="29" t="s">
        <v>21</v>
      </c>
      <c r="F1551" s="30">
        <v>1</v>
      </c>
      <c r="G1551" s="31">
        <v>185.1</v>
      </c>
      <c r="H1551" s="31">
        <f t="shared" si="139"/>
        <v>185.1</v>
      </c>
      <c r="I1551" s="170" t="s">
        <v>2842</v>
      </c>
      <c r="J1551" t="s">
        <v>2853</v>
      </c>
      <c r="K1551" s="188" t="s">
        <v>2853</v>
      </c>
    </row>
    <row r="1552" spans="1:11" x14ac:dyDescent="0.25">
      <c r="A1552" t="s">
        <v>6122</v>
      </c>
      <c r="B1552" s="27" t="s">
        <v>1577</v>
      </c>
      <c r="D1552" s="28" t="s">
        <v>3690</v>
      </c>
      <c r="E1552" s="29" t="s">
        <v>21</v>
      </c>
      <c r="F1552" s="30">
        <v>1</v>
      </c>
      <c r="G1552" s="31">
        <v>185.1</v>
      </c>
      <c r="H1552" s="31">
        <f t="shared" si="139"/>
        <v>185.1</v>
      </c>
      <c r="I1552" s="170" t="s">
        <v>2842</v>
      </c>
      <c r="J1552" t="s">
        <v>2853</v>
      </c>
      <c r="K1552" s="188" t="s">
        <v>2853</v>
      </c>
    </row>
    <row r="1553" spans="1:11" x14ac:dyDescent="0.25">
      <c r="A1553" t="s">
        <v>6123</v>
      </c>
      <c r="B1553" s="27" t="s">
        <v>1578</v>
      </c>
      <c r="D1553" s="28" t="s">
        <v>3691</v>
      </c>
      <c r="E1553" s="29" t="s">
        <v>563</v>
      </c>
      <c r="F1553" s="30">
        <v>1</v>
      </c>
      <c r="G1553" s="31">
        <v>185.1</v>
      </c>
      <c r="H1553" s="31">
        <f t="shared" si="139"/>
        <v>185.1</v>
      </c>
      <c r="I1553" s="170" t="s">
        <v>2842</v>
      </c>
      <c r="J1553" t="s">
        <v>2853</v>
      </c>
      <c r="K1553" s="188" t="s">
        <v>2853</v>
      </c>
    </row>
    <row r="1554" spans="1:11" x14ac:dyDescent="0.25">
      <c r="A1554" t="s">
        <v>6124</v>
      </c>
      <c r="B1554" s="27" t="s">
        <v>1579</v>
      </c>
      <c r="D1554" s="28" t="s">
        <v>3692</v>
      </c>
      <c r="E1554" s="29" t="s">
        <v>563</v>
      </c>
      <c r="F1554" s="30">
        <v>1</v>
      </c>
      <c r="G1554" s="31">
        <v>185.1</v>
      </c>
      <c r="H1554" s="31">
        <f t="shared" si="139"/>
        <v>185.1</v>
      </c>
      <c r="I1554" s="170" t="s">
        <v>2842</v>
      </c>
      <c r="J1554" t="s">
        <v>2853</v>
      </c>
      <c r="K1554" s="188" t="s">
        <v>2853</v>
      </c>
    </row>
    <row r="1555" spans="1:11" x14ac:dyDescent="0.25">
      <c r="A1555" t="s">
        <v>6125</v>
      </c>
      <c r="B1555" s="27" t="s">
        <v>1580</v>
      </c>
      <c r="D1555" s="28" t="s">
        <v>3693</v>
      </c>
      <c r="E1555" s="29" t="s">
        <v>563</v>
      </c>
      <c r="F1555" s="30">
        <v>1</v>
      </c>
      <c r="G1555" s="31">
        <v>185.1</v>
      </c>
      <c r="H1555" s="31">
        <f t="shared" si="139"/>
        <v>185.1</v>
      </c>
      <c r="I1555" s="170" t="s">
        <v>2842</v>
      </c>
      <c r="J1555" t="s">
        <v>2853</v>
      </c>
      <c r="K1555" s="188" t="s">
        <v>2853</v>
      </c>
    </row>
    <row r="1556" spans="1:11" x14ac:dyDescent="0.25">
      <c r="A1556" t="s">
        <v>6126</v>
      </c>
      <c r="B1556" s="27" t="s">
        <v>1581</v>
      </c>
      <c r="D1556" s="28" t="s">
        <v>3694</v>
      </c>
      <c r="E1556" s="29" t="s">
        <v>671</v>
      </c>
      <c r="F1556" s="30">
        <v>1</v>
      </c>
      <c r="G1556" s="31">
        <v>185.1</v>
      </c>
      <c r="H1556" s="31">
        <f t="shared" si="139"/>
        <v>185.1</v>
      </c>
      <c r="I1556" s="170" t="s">
        <v>2842</v>
      </c>
      <c r="J1556" t="s">
        <v>2853</v>
      </c>
      <c r="K1556" s="188" t="s">
        <v>2853</v>
      </c>
    </row>
    <row r="1557" spans="1:11" x14ac:dyDescent="0.25">
      <c r="A1557" t="s">
        <v>6127</v>
      </c>
      <c r="B1557" s="27" t="s">
        <v>1582</v>
      </c>
      <c r="D1557" s="28" t="s">
        <v>3695</v>
      </c>
      <c r="E1557" s="29" t="s">
        <v>671</v>
      </c>
      <c r="F1557" s="30">
        <v>1</v>
      </c>
      <c r="G1557" s="31">
        <v>185.1</v>
      </c>
      <c r="H1557" s="31">
        <f t="shared" si="139"/>
        <v>185.1</v>
      </c>
      <c r="I1557" s="170" t="s">
        <v>2842</v>
      </c>
      <c r="J1557" t="s">
        <v>2853</v>
      </c>
      <c r="K1557" s="188" t="s">
        <v>2853</v>
      </c>
    </row>
    <row r="1558" spans="1:11" x14ac:dyDescent="0.25">
      <c r="A1558" t="s">
        <v>6128</v>
      </c>
      <c r="B1558" s="27" t="s">
        <v>1583</v>
      </c>
      <c r="D1558" s="28" t="s">
        <v>3696</v>
      </c>
      <c r="E1558" s="29" t="s">
        <v>671</v>
      </c>
      <c r="F1558" s="30">
        <v>1</v>
      </c>
      <c r="G1558" s="31">
        <v>185.1</v>
      </c>
      <c r="H1558" s="31">
        <f t="shared" si="139"/>
        <v>185.1</v>
      </c>
      <c r="I1558" s="170" t="s">
        <v>2842</v>
      </c>
      <c r="J1558" t="s">
        <v>2853</v>
      </c>
      <c r="K1558" s="188" t="s">
        <v>2853</v>
      </c>
    </row>
    <row r="1559" spans="1:11" x14ac:dyDescent="0.25">
      <c r="A1559" t="s">
        <v>6129</v>
      </c>
      <c r="B1559" s="27" t="s">
        <v>1584</v>
      </c>
      <c r="D1559" s="28" t="s">
        <v>3697</v>
      </c>
      <c r="E1559" s="29" t="s">
        <v>21</v>
      </c>
      <c r="F1559" s="30">
        <v>1</v>
      </c>
      <c r="G1559" s="31">
        <v>204.93</v>
      </c>
      <c r="H1559" s="31">
        <f t="shared" si="139"/>
        <v>204.93</v>
      </c>
      <c r="I1559" s="170" t="s">
        <v>2842</v>
      </c>
      <c r="J1559" t="s">
        <v>2853</v>
      </c>
      <c r="K1559" s="188" t="s">
        <v>2853</v>
      </c>
    </row>
    <row r="1560" spans="1:11" x14ac:dyDescent="0.25">
      <c r="A1560" t="s">
        <v>6130</v>
      </c>
      <c r="B1560" s="27" t="s">
        <v>1585</v>
      </c>
      <c r="D1560" s="28" t="s">
        <v>3698</v>
      </c>
      <c r="E1560" s="29" t="s">
        <v>21</v>
      </c>
      <c r="F1560" s="30">
        <v>1</v>
      </c>
      <c r="G1560" s="31">
        <v>204.93</v>
      </c>
      <c r="H1560" s="31">
        <f t="shared" si="139"/>
        <v>204.93</v>
      </c>
      <c r="I1560" s="170" t="s">
        <v>2842</v>
      </c>
      <c r="J1560" t="s">
        <v>2853</v>
      </c>
      <c r="K1560" s="188" t="s">
        <v>2853</v>
      </c>
    </row>
    <row r="1561" spans="1:11" x14ac:dyDescent="0.25">
      <c r="A1561" t="s">
        <v>6131</v>
      </c>
      <c r="B1561" s="27" t="s">
        <v>1586</v>
      </c>
      <c r="D1561" s="28" t="s">
        <v>3699</v>
      </c>
      <c r="E1561" s="29" t="s">
        <v>21</v>
      </c>
      <c r="F1561" s="30">
        <v>1</v>
      </c>
      <c r="G1561" s="31">
        <v>204.93</v>
      </c>
      <c r="H1561" s="31">
        <f t="shared" si="139"/>
        <v>204.93</v>
      </c>
      <c r="I1561" s="170" t="s">
        <v>2842</v>
      </c>
      <c r="J1561" t="s">
        <v>2853</v>
      </c>
      <c r="K1561" s="188" t="s">
        <v>2853</v>
      </c>
    </row>
    <row r="1562" spans="1:11" x14ac:dyDescent="0.25">
      <c r="A1562" t="s">
        <v>6132</v>
      </c>
      <c r="B1562" s="27" t="s">
        <v>1587</v>
      </c>
      <c r="D1562" s="28" t="s">
        <v>3700</v>
      </c>
      <c r="E1562" s="29" t="s">
        <v>563</v>
      </c>
      <c r="F1562" s="30">
        <v>1</v>
      </c>
      <c r="G1562" s="31">
        <v>204.93</v>
      </c>
      <c r="H1562" s="31">
        <f t="shared" si="139"/>
        <v>204.93</v>
      </c>
      <c r="I1562" s="170" t="s">
        <v>2842</v>
      </c>
      <c r="J1562" t="s">
        <v>2853</v>
      </c>
      <c r="K1562" s="188" t="s">
        <v>2853</v>
      </c>
    </row>
    <row r="1563" spans="1:11" x14ac:dyDescent="0.25">
      <c r="A1563" t="s">
        <v>6133</v>
      </c>
      <c r="B1563" s="27" t="s">
        <v>1588</v>
      </c>
      <c r="D1563" s="28" t="s">
        <v>3701</v>
      </c>
      <c r="E1563" s="29" t="s">
        <v>563</v>
      </c>
      <c r="F1563" s="30">
        <v>1</v>
      </c>
      <c r="G1563" s="31">
        <v>204.93</v>
      </c>
      <c r="H1563" s="31">
        <f t="shared" si="139"/>
        <v>204.93</v>
      </c>
      <c r="I1563" s="170" t="s">
        <v>2842</v>
      </c>
      <c r="J1563" t="s">
        <v>2853</v>
      </c>
      <c r="K1563" s="188" t="s">
        <v>2853</v>
      </c>
    </row>
    <row r="1564" spans="1:11" x14ac:dyDescent="0.25">
      <c r="A1564" t="s">
        <v>6134</v>
      </c>
      <c r="B1564" s="27" t="s">
        <v>1589</v>
      </c>
      <c r="D1564" s="28" t="s">
        <v>3702</v>
      </c>
      <c r="E1564" s="29" t="s">
        <v>563</v>
      </c>
      <c r="F1564" s="30">
        <v>1</v>
      </c>
      <c r="G1564" s="31">
        <v>204.93</v>
      </c>
      <c r="H1564" s="31">
        <f t="shared" si="139"/>
        <v>204.93</v>
      </c>
      <c r="I1564" s="170" t="s">
        <v>2842</v>
      </c>
      <c r="J1564" t="s">
        <v>2853</v>
      </c>
      <c r="K1564" s="188" t="s">
        <v>2853</v>
      </c>
    </row>
    <row r="1565" spans="1:11" x14ac:dyDescent="0.25">
      <c r="A1565" t="s">
        <v>6135</v>
      </c>
      <c r="B1565" s="27" t="s">
        <v>1590</v>
      </c>
      <c r="D1565" s="28" t="s">
        <v>3703</v>
      </c>
      <c r="E1565" s="29" t="s">
        <v>671</v>
      </c>
      <c r="F1565" s="30">
        <v>1</v>
      </c>
      <c r="G1565" s="31">
        <v>204.93</v>
      </c>
      <c r="H1565" s="31">
        <f t="shared" si="139"/>
        <v>204.93</v>
      </c>
      <c r="I1565" s="170" t="s">
        <v>2842</v>
      </c>
      <c r="J1565" t="s">
        <v>2853</v>
      </c>
      <c r="K1565" s="188" t="s">
        <v>2853</v>
      </c>
    </row>
    <row r="1566" spans="1:11" x14ac:dyDescent="0.25">
      <c r="A1566" t="s">
        <v>6136</v>
      </c>
      <c r="B1566" s="27" t="s">
        <v>1591</v>
      </c>
      <c r="D1566" s="28" t="s">
        <v>3704</v>
      </c>
      <c r="E1566" s="29" t="s">
        <v>671</v>
      </c>
      <c r="F1566" s="30">
        <v>1</v>
      </c>
      <c r="G1566" s="31">
        <v>204.93</v>
      </c>
      <c r="H1566" s="31">
        <f t="shared" si="139"/>
        <v>204.93</v>
      </c>
      <c r="I1566" s="170" t="s">
        <v>2842</v>
      </c>
      <c r="J1566" t="s">
        <v>2853</v>
      </c>
      <c r="K1566" s="188" t="s">
        <v>2853</v>
      </c>
    </row>
    <row r="1567" spans="1:11" x14ac:dyDescent="0.25">
      <c r="A1567" t="s">
        <v>6137</v>
      </c>
      <c r="B1567" s="27" t="s">
        <v>1592</v>
      </c>
      <c r="D1567" s="28" t="s">
        <v>3705</v>
      </c>
      <c r="E1567" s="29" t="s">
        <v>671</v>
      </c>
      <c r="F1567" s="30">
        <v>1</v>
      </c>
      <c r="G1567" s="31">
        <v>204.93</v>
      </c>
      <c r="H1567" s="31">
        <f t="shared" si="139"/>
        <v>204.93</v>
      </c>
      <c r="I1567" s="170" t="s">
        <v>2842</v>
      </c>
      <c r="J1567" t="s">
        <v>2853</v>
      </c>
      <c r="K1567" s="188" t="s">
        <v>2853</v>
      </c>
    </row>
    <row r="1568" spans="1:11" x14ac:dyDescent="0.25">
      <c r="A1568" t="s">
        <v>6138</v>
      </c>
      <c r="B1568" s="27" t="s">
        <v>1593</v>
      </c>
      <c r="D1568" s="28" t="s">
        <v>3706</v>
      </c>
      <c r="E1568" s="29" t="s">
        <v>21</v>
      </c>
      <c r="F1568" s="30">
        <v>1</v>
      </c>
      <c r="G1568" s="31">
        <v>224.78</v>
      </c>
      <c r="H1568" s="31">
        <f t="shared" ref="H1568:H1631" si="140">+F1568*G1568</f>
        <v>224.78</v>
      </c>
      <c r="I1568" s="170" t="s">
        <v>2842</v>
      </c>
      <c r="J1568" t="s">
        <v>2853</v>
      </c>
      <c r="K1568" s="188" t="s">
        <v>2853</v>
      </c>
    </row>
    <row r="1569" spans="1:11" x14ac:dyDescent="0.25">
      <c r="A1569" t="s">
        <v>6139</v>
      </c>
      <c r="B1569" s="27" t="s">
        <v>1594</v>
      </c>
      <c r="D1569" s="28" t="s">
        <v>3707</v>
      </c>
      <c r="E1569" s="29" t="s">
        <v>21</v>
      </c>
      <c r="F1569" s="30">
        <v>1</v>
      </c>
      <c r="G1569" s="31">
        <v>224.78</v>
      </c>
      <c r="H1569" s="31">
        <f t="shared" si="140"/>
        <v>224.78</v>
      </c>
      <c r="I1569" s="170" t="s">
        <v>2842</v>
      </c>
      <c r="J1569" t="s">
        <v>2853</v>
      </c>
      <c r="K1569" s="188" t="s">
        <v>2853</v>
      </c>
    </row>
    <row r="1570" spans="1:11" x14ac:dyDescent="0.25">
      <c r="A1570" t="s">
        <v>6140</v>
      </c>
      <c r="B1570" s="27" t="s">
        <v>1595</v>
      </c>
      <c r="D1570" s="28" t="s">
        <v>3708</v>
      </c>
      <c r="E1570" s="29" t="s">
        <v>21</v>
      </c>
      <c r="F1570" s="30">
        <v>1</v>
      </c>
      <c r="G1570" s="31">
        <v>224.78</v>
      </c>
      <c r="H1570" s="31">
        <f t="shared" si="140"/>
        <v>224.78</v>
      </c>
      <c r="I1570" s="170" t="s">
        <v>2842</v>
      </c>
      <c r="J1570" t="s">
        <v>2853</v>
      </c>
      <c r="K1570" s="188" t="s">
        <v>2853</v>
      </c>
    </row>
    <row r="1571" spans="1:11" x14ac:dyDescent="0.25">
      <c r="A1571" t="s">
        <v>6141</v>
      </c>
      <c r="B1571" s="27" t="s">
        <v>1596</v>
      </c>
      <c r="D1571" s="28" t="s">
        <v>3709</v>
      </c>
      <c r="E1571" s="29" t="s">
        <v>563</v>
      </c>
      <c r="F1571" s="30">
        <v>1</v>
      </c>
      <c r="G1571" s="31">
        <v>224.78</v>
      </c>
      <c r="H1571" s="31">
        <f t="shared" si="140"/>
        <v>224.78</v>
      </c>
      <c r="I1571" s="170" t="s">
        <v>2842</v>
      </c>
      <c r="J1571" t="s">
        <v>2853</v>
      </c>
      <c r="K1571" s="188" t="s">
        <v>2853</v>
      </c>
    </row>
    <row r="1572" spans="1:11" x14ac:dyDescent="0.25">
      <c r="A1572" t="s">
        <v>6142</v>
      </c>
      <c r="B1572" s="27" t="s">
        <v>1597</v>
      </c>
      <c r="D1572" s="28" t="s">
        <v>3710</v>
      </c>
      <c r="E1572" s="29" t="s">
        <v>563</v>
      </c>
      <c r="F1572" s="30">
        <v>1</v>
      </c>
      <c r="G1572" s="31">
        <v>224.78</v>
      </c>
      <c r="H1572" s="31">
        <f t="shared" si="140"/>
        <v>224.78</v>
      </c>
      <c r="I1572" s="170" t="s">
        <v>2842</v>
      </c>
      <c r="J1572" t="s">
        <v>2853</v>
      </c>
      <c r="K1572" s="188" t="s">
        <v>2853</v>
      </c>
    </row>
    <row r="1573" spans="1:11" x14ac:dyDescent="0.25">
      <c r="A1573" t="s">
        <v>6143</v>
      </c>
      <c r="B1573" s="27" t="s">
        <v>1598</v>
      </c>
      <c r="D1573" s="28" t="s">
        <v>3711</v>
      </c>
      <c r="E1573" s="29" t="s">
        <v>563</v>
      </c>
      <c r="F1573" s="30">
        <v>1</v>
      </c>
      <c r="G1573" s="31">
        <v>224.78</v>
      </c>
      <c r="H1573" s="31">
        <f t="shared" si="140"/>
        <v>224.78</v>
      </c>
      <c r="I1573" s="170" t="s">
        <v>2842</v>
      </c>
      <c r="J1573" t="s">
        <v>2853</v>
      </c>
      <c r="K1573" s="188" t="s">
        <v>2853</v>
      </c>
    </row>
    <row r="1574" spans="1:11" x14ac:dyDescent="0.25">
      <c r="A1574" t="s">
        <v>6144</v>
      </c>
      <c r="B1574" s="27" t="s">
        <v>1599</v>
      </c>
      <c r="D1574" s="28" t="s">
        <v>3712</v>
      </c>
      <c r="E1574" s="29" t="s">
        <v>671</v>
      </c>
      <c r="F1574" s="30">
        <v>1</v>
      </c>
      <c r="G1574" s="31">
        <v>224.78</v>
      </c>
      <c r="H1574" s="31">
        <f t="shared" si="140"/>
        <v>224.78</v>
      </c>
      <c r="I1574" s="170" t="s">
        <v>2842</v>
      </c>
      <c r="J1574" t="s">
        <v>2853</v>
      </c>
      <c r="K1574" s="188" t="s">
        <v>2853</v>
      </c>
    </row>
    <row r="1575" spans="1:11" x14ac:dyDescent="0.25">
      <c r="A1575" t="s">
        <v>6145</v>
      </c>
      <c r="B1575" s="27" t="s">
        <v>1600</v>
      </c>
      <c r="D1575" s="28" t="s">
        <v>3713</v>
      </c>
      <c r="E1575" s="29" t="s">
        <v>671</v>
      </c>
      <c r="F1575" s="30">
        <v>1</v>
      </c>
      <c r="G1575" s="31">
        <v>224.78</v>
      </c>
      <c r="H1575" s="31">
        <f t="shared" si="140"/>
        <v>224.78</v>
      </c>
      <c r="I1575" s="170" t="s">
        <v>2842</v>
      </c>
      <c r="J1575" t="s">
        <v>2853</v>
      </c>
      <c r="K1575" s="188" t="s">
        <v>2853</v>
      </c>
    </row>
    <row r="1576" spans="1:11" x14ac:dyDescent="0.25">
      <c r="A1576" t="s">
        <v>6146</v>
      </c>
      <c r="B1576" s="27" t="s">
        <v>1601</v>
      </c>
      <c r="D1576" s="28" t="s">
        <v>3714</v>
      </c>
      <c r="E1576" s="29" t="s">
        <v>671</v>
      </c>
      <c r="F1576" s="30">
        <v>1</v>
      </c>
      <c r="G1576" s="31">
        <v>224.78</v>
      </c>
      <c r="H1576" s="31">
        <f t="shared" si="140"/>
        <v>224.78</v>
      </c>
      <c r="I1576" s="170" t="s">
        <v>2842</v>
      </c>
      <c r="J1576" t="s">
        <v>2853</v>
      </c>
      <c r="K1576" s="188" t="s">
        <v>2853</v>
      </c>
    </row>
    <row r="1577" spans="1:11" x14ac:dyDescent="0.25">
      <c r="A1577" t="s">
        <v>6147</v>
      </c>
      <c r="B1577" s="27" t="s">
        <v>1602</v>
      </c>
      <c r="D1577" s="28" t="s">
        <v>3715</v>
      </c>
      <c r="E1577" s="29" t="s">
        <v>21</v>
      </c>
      <c r="F1577" s="30">
        <v>1</v>
      </c>
      <c r="G1577" s="31">
        <v>244.6</v>
      </c>
      <c r="H1577" s="31">
        <f t="shared" si="140"/>
        <v>244.6</v>
      </c>
      <c r="I1577" s="170" t="s">
        <v>2842</v>
      </c>
      <c r="J1577" t="s">
        <v>2853</v>
      </c>
      <c r="K1577" s="188" t="s">
        <v>2853</v>
      </c>
    </row>
    <row r="1578" spans="1:11" x14ac:dyDescent="0.25">
      <c r="A1578" t="s">
        <v>6148</v>
      </c>
      <c r="B1578" s="27" t="s">
        <v>1603</v>
      </c>
      <c r="D1578" s="28" t="s">
        <v>3716</v>
      </c>
      <c r="E1578" s="29" t="s">
        <v>21</v>
      </c>
      <c r="F1578" s="30">
        <v>1</v>
      </c>
      <c r="G1578" s="31">
        <v>244.6</v>
      </c>
      <c r="H1578" s="31">
        <f t="shared" si="140"/>
        <v>244.6</v>
      </c>
      <c r="I1578" s="170" t="s">
        <v>2842</v>
      </c>
      <c r="J1578" t="s">
        <v>2853</v>
      </c>
      <c r="K1578" s="188" t="s">
        <v>2853</v>
      </c>
    </row>
    <row r="1579" spans="1:11" x14ac:dyDescent="0.25">
      <c r="A1579" t="s">
        <v>6149</v>
      </c>
      <c r="B1579" s="27" t="s">
        <v>1604</v>
      </c>
      <c r="D1579" s="28" t="s">
        <v>3717</v>
      </c>
      <c r="E1579" s="29" t="s">
        <v>21</v>
      </c>
      <c r="F1579" s="30">
        <v>1</v>
      </c>
      <c r="G1579" s="31">
        <v>244.6</v>
      </c>
      <c r="H1579" s="31">
        <f t="shared" si="140"/>
        <v>244.6</v>
      </c>
      <c r="I1579" s="170" t="s">
        <v>2842</v>
      </c>
      <c r="J1579" t="s">
        <v>2853</v>
      </c>
      <c r="K1579" s="188" t="s">
        <v>2853</v>
      </c>
    </row>
    <row r="1580" spans="1:11" x14ac:dyDescent="0.25">
      <c r="A1580" t="s">
        <v>6150</v>
      </c>
      <c r="B1580" s="27" t="s">
        <v>1605</v>
      </c>
      <c r="D1580" s="28" t="s">
        <v>3718</v>
      </c>
      <c r="E1580" s="29" t="s">
        <v>563</v>
      </c>
      <c r="F1580" s="30">
        <v>1</v>
      </c>
      <c r="G1580" s="31">
        <v>244.6</v>
      </c>
      <c r="H1580" s="31">
        <f t="shared" si="140"/>
        <v>244.6</v>
      </c>
      <c r="I1580" s="170" t="s">
        <v>2842</v>
      </c>
      <c r="J1580" t="s">
        <v>2853</v>
      </c>
      <c r="K1580" s="188" t="s">
        <v>2853</v>
      </c>
    </row>
    <row r="1581" spans="1:11" x14ac:dyDescent="0.25">
      <c r="A1581" t="s">
        <v>6151</v>
      </c>
      <c r="B1581" s="27" t="s">
        <v>1606</v>
      </c>
      <c r="D1581" s="28" t="s">
        <v>3719</v>
      </c>
      <c r="E1581" s="29" t="s">
        <v>563</v>
      </c>
      <c r="F1581" s="30">
        <v>1</v>
      </c>
      <c r="G1581" s="31">
        <v>244.6</v>
      </c>
      <c r="H1581" s="31">
        <f t="shared" si="140"/>
        <v>244.6</v>
      </c>
      <c r="I1581" s="170" t="s">
        <v>2842</v>
      </c>
      <c r="J1581" t="s">
        <v>2853</v>
      </c>
      <c r="K1581" s="188" t="s">
        <v>2853</v>
      </c>
    </row>
    <row r="1582" spans="1:11" x14ac:dyDescent="0.25">
      <c r="A1582" t="s">
        <v>6152</v>
      </c>
      <c r="B1582" s="27" t="s">
        <v>1607</v>
      </c>
      <c r="D1582" s="28" t="s">
        <v>3720</v>
      </c>
      <c r="E1582" s="29" t="s">
        <v>563</v>
      </c>
      <c r="F1582" s="30">
        <v>1</v>
      </c>
      <c r="G1582" s="31">
        <v>244.6</v>
      </c>
      <c r="H1582" s="31">
        <f t="shared" si="140"/>
        <v>244.6</v>
      </c>
      <c r="I1582" s="170" t="s">
        <v>2842</v>
      </c>
      <c r="J1582" t="s">
        <v>2853</v>
      </c>
      <c r="K1582" s="188" t="s">
        <v>2853</v>
      </c>
    </row>
    <row r="1583" spans="1:11" x14ac:dyDescent="0.25">
      <c r="A1583" t="s">
        <v>6153</v>
      </c>
      <c r="B1583" s="27" t="s">
        <v>1608</v>
      </c>
      <c r="D1583" s="28" t="s">
        <v>3721</v>
      </c>
      <c r="E1583" s="29" t="s">
        <v>671</v>
      </c>
      <c r="F1583" s="30">
        <v>1</v>
      </c>
      <c r="G1583" s="31">
        <v>244.6</v>
      </c>
      <c r="H1583" s="31">
        <f t="shared" si="140"/>
        <v>244.6</v>
      </c>
      <c r="I1583" s="170" t="s">
        <v>2842</v>
      </c>
      <c r="J1583" t="s">
        <v>2853</v>
      </c>
      <c r="K1583" s="188" t="s">
        <v>2853</v>
      </c>
    </row>
    <row r="1584" spans="1:11" x14ac:dyDescent="0.25">
      <c r="A1584" t="s">
        <v>6154</v>
      </c>
      <c r="B1584" s="27" t="s">
        <v>1609</v>
      </c>
      <c r="D1584" s="28" t="s">
        <v>3722</v>
      </c>
      <c r="E1584" s="29" t="s">
        <v>671</v>
      </c>
      <c r="F1584" s="30">
        <v>1</v>
      </c>
      <c r="G1584" s="31">
        <v>244.6</v>
      </c>
      <c r="H1584" s="31">
        <f t="shared" si="140"/>
        <v>244.6</v>
      </c>
      <c r="I1584" s="170" t="s">
        <v>2842</v>
      </c>
      <c r="J1584" t="s">
        <v>2853</v>
      </c>
      <c r="K1584" s="188" t="s">
        <v>2853</v>
      </c>
    </row>
    <row r="1585" spans="1:11" x14ac:dyDescent="0.25">
      <c r="A1585" t="s">
        <v>6155</v>
      </c>
      <c r="B1585" s="27" t="s">
        <v>1610</v>
      </c>
      <c r="D1585" s="28" t="s">
        <v>3723</v>
      </c>
      <c r="E1585" s="29" t="s">
        <v>671</v>
      </c>
      <c r="F1585" s="30">
        <v>1</v>
      </c>
      <c r="G1585" s="31">
        <v>244.6</v>
      </c>
      <c r="H1585" s="31">
        <f t="shared" si="140"/>
        <v>244.6</v>
      </c>
      <c r="I1585" s="170" t="s">
        <v>2842</v>
      </c>
      <c r="J1585" t="s">
        <v>2853</v>
      </c>
      <c r="K1585" s="188" t="s">
        <v>2853</v>
      </c>
    </row>
    <row r="1586" spans="1:11" x14ac:dyDescent="0.25">
      <c r="A1586" t="s">
        <v>6156</v>
      </c>
      <c r="B1586" s="27" t="s">
        <v>1611</v>
      </c>
      <c r="D1586" s="28" t="s">
        <v>3724</v>
      </c>
      <c r="E1586" s="29" t="s">
        <v>21</v>
      </c>
      <c r="F1586" s="30">
        <v>1</v>
      </c>
      <c r="G1586" s="31">
        <v>198.33</v>
      </c>
      <c r="H1586" s="31">
        <f t="shared" si="140"/>
        <v>198.33</v>
      </c>
      <c r="I1586" s="170" t="s">
        <v>2842</v>
      </c>
      <c r="J1586" t="s">
        <v>2853</v>
      </c>
      <c r="K1586" s="188" t="s">
        <v>2853</v>
      </c>
    </row>
    <row r="1587" spans="1:11" x14ac:dyDescent="0.25">
      <c r="A1587" t="s">
        <v>6157</v>
      </c>
      <c r="B1587" s="27" t="s">
        <v>1612</v>
      </c>
      <c r="D1587" s="28" t="s">
        <v>3725</v>
      </c>
      <c r="E1587" s="29" t="s">
        <v>21</v>
      </c>
      <c r="F1587" s="30">
        <v>1</v>
      </c>
      <c r="G1587" s="31">
        <v>198.33</v>
      </c>
      <c r="H1587" s="31">
        <f t="shared" si="140"/>
        <v>198.33</v>
      </c>
      <c r="I1587" s="170" t="s">
        <v>2842</v>
      </c>
      <c r="J1587" t="s">
        <v>2853</v>
      </c>
      <c r="K1587" s="188" t="s">
        <v>2853</v>
      </c>
    </row>
    <row r="1588" spans="1:11" x14ac:dyDescent="0.25">
      <c r="A1588" t="s">
        <v>6158</v>
      </c>
      <c r="B1588" s="27" t="s">
        <v>1613</v>
      </c>
      <c r="D1588" s="28" t="s">
        <v>3726</v>
      </c>
      <c r="E1588" s="29" t="s">
        <v>21</v>
      </c>
      <c r="F1588" s="30">
        <v>1</v>
      </c>
      <c r="G1588" s="31">
        <v>198.33</v>
      </c>
      <c r="H1588" s="31">
        <f t="shared" si="140"/>
        <v>198.33</v>
      </c>
      <c r="I1588" s="170" t="s">
        <v>2842</v>
      </c>
      <c r="J1588" t="s">
        <v>2853</v>
      </c>
      <c r="K1588" s="188" t="s">
        <v>2853</v>
      </c>
    </row>
    <row r="1589" spans="1:11" x14ac:dyDescent="0.25">
      <c r="A1589" t="s">
        <v>6159</v>
      </c>
      <c r="B1589" s="27" t="s">
        <v>1614</v>
      </c>
      <c r="D1589" s="28" t="s">
        <v>3727</v>
      </c>
      <c r="E1589" s="29" t="s">
        <v>563</v>
      </c>
      <c r="F1589" s="30">
        <v>1</v>
      </c>
      <c r="G1589" s="31">
        <v>198.33</v>
      </c>
      <c r="H1589" s="31">
        <f t="shared" si="140"/>
        <v>198.33</v>
      </c>
      <c r="I1589" s="170" t="s">
        <v>2842</v>
      </c>
      <c r="J1589" t="s">
        <v>2853</v>
      </c>
      <c r="K1589" s="188" t="s">
        <v>2853</v>
      </c>
    </row>
    <row r="1590" spans="1:11" x14ac:dyDescent="0.25">
      <c r="A1590" t="s">
        <v>6160</v>
      </c>
      <c r="B1590" s="27" t="s">
        <v>1615</v>
      </c>
      <c r="D1590" s="28" t="s">
        <v>3728</v>
      </c>
      <c r="E1590" s="29" t="s">
        <v>563</v>
      </c>
      <c r="F1590" s="30">
        <v>1</v>
      </c>
      <c r="G1590" s="31">
        <v>198.33</v>
      </c>
      <c r="H1590" s="31">
        <f t="shared" si="140"/>
        <v>198.33</v>
      </c>
      <c r="I1590" s="170" t="s">
        <v>2842</v>
      </c>
      <c r="J1590" t="s">
        <v>2853</v>
      </c>
      <c r="K1590" s="188" t="s">
        <v>2853</v>
      </c>
    </row>
    <row r="1591" spans="1:11" x14ac:dyDescent="0.25">
      <c r="A1591" t="s">
        <v>6161</v>
      </c>
      <c r="B1591" s="27" t="s">
        <v>1616</v>
      </c>
      <c r="D1591" s="28" t="s">
        <v>3729</v>
      </c>
      <c r="E1591" s="29" t="s">
        <v>563</v>
      </c>
      <c r="F1591" s="30">
        <v>1</v>
      </c>
      <c r="G1591" s="31">
        <v>198.33</v>
      </c>
      <c r="H1591" s="31">
        <f t="shared" si="140"/>
        <v>198.33</v>
      </c>
      <c r="I1591" s="170" t="s">
        <v>2842</v>
      </c>
      <c r="J1591" t="s">
        <v>2853</v>
      </c>
      <c r="K1591" s="188" t="s">
        <v>2853</v>
      </c>
    </row>
    <row r="1592" spans="1:11" x14ac:dyDescent="0.25">
      <c r="A1592" t="s">
        <v>6162</v>
      </c>
      <c r="B1592" s="27" t="s">
        <v>1617</v>
      </c>
      <c r="D1592" s="28" t="s">
        <v>3730</v>
      </c>
      <c r="E1592" s="29" t="s">
        <v>671</v>
      </c>
      <c r="F1592" s="30">
        <v>1</v>
      </c>
      <c r="G1592" s="31">
        <v>198.33</v>
      </c>
      <c r="H1592" s="31">
        <f t="shared" si="140"/>
        <v>198.33</v>
      </c>
      <c r="I1592" s="170" t="s">
        <v>2842</v>
      </c>
      <c r="J1592" t="s">
        <v>2853</v>
      </c>
      <c r="K1592" s="188" t="s">
        <v>2853</v>
      </c>
    </row>
    <row r="1593" spans="1:11" x14ac:dyDescent="0.25">
      <c r="A1593" t="s">
        <v>6163</v>
      </c>
      <c r="B1593" s="27" t="s">
        <v>1618</v>
      </c>
      <c r="D1593" s="28" t="s">
        <v>3731</v>
      </c>
      <c r="E1593" s="29" t="s">
        <v>671</v>
      </c>
      <c r="F1593" s="30">
        <v>1</v>
      </c>
      <c r="G1593" s="31">
        <v>198.33</v>
      </c>
      <c r="H1593" s="31">
        <f t="shared" si="140"/>
        <v>198.33</v>
      </c>
      <c r="I1593" s="170" t="s">
        <v>2842</v>
      </c>
      <c r="J1593" t="s">
        <v>2853</v>
      </c>
      <c r="K1593" s="188" t="s">
        <v>2853</v>
      </c>
    </row>
    <row r="1594" spans="1:11" x14ac:dyDescent="0.25">
      <c r="A1594" t="s">
        <v>6164</v>
      </c>
      <c r="B1594" s="27" t="s">
        <v>1619</v>
      </c>
      <c r="D1594" s="28" t="s">
        <v>3732</v>
      </c>
      <c r="E1594" s="29" t="s">
        <v>671</v>
      </c>
      <c r="F1594" s="30">
        <v>1</v>
      </c>
      <c r="G1594" s="31">
        <v>198.33</v>
      </c>
      <c r="H1594" s="31">
        <f t="shared" si="140"/>
        <v>198.33</v>
      </c>
      <c r="I1594" s="170" t="s">
        <v>2842</v>
      </c>
      <c r="J1594" t="s">
        <v>2853</v>
      </c>
      <c r="K1594" s="188" t="s">
        <v>2853</v>
      </c>
    </row>
    <row r="1595" spans="1:11" x14ac:dyDescent="0.25">
      <c r="A1595" t="s">
        <v>6165</v>
      </c>
      <c r="B1595" s="27" t="s">
        <v>1620</v>
      </c>
      <c r="D1595" s="28" t="s">
        <v>3733</v>
      </c>
      <c r="E1595" s="29" t="s">
        <v>21</v>
      </c>
      <c r="F1595" s="30">
        <v>1</v>
      </c>
      <c r="G1595" s="31">
        <v>237.99</v>
      </c>
      <c r="H1595" s="31">
        <f t="shared" si="140"/>
        <v>237.99</v>
      </c>
      <c r="I1595" s="170" t="s">
        <v>2842</v>
      </c>
      <c r="J1595" t="s">
        <v>2853</v>
      </c>
      <c r="K1595" s="188" t="s">
        <v>2853</v>
      </c>
    </row>
    <row r="1596" spans="1:11" x14ac:dyDescent="0.25">
      <c r="A1596" t="s">
        <v>6166</v>
      </c>
      <c r="B1596" s="27" t="s">
        <v>1621</v>
      </c>
      <c r="D1596" s="28" t="s">
        <v>3734</v>
      </c>
      <c r="E1596" s="29" t="s">
        <v>21</v>
      </c>
      <c r="F1596" s="30">
        <v>1</v>
      </c>
      <c r="G1596" s="31">
        <v>237.99</v>
      </c>
      <c r="H1596" s="31">
        <f t="shared" si="140"/>
        <v>237.99</v>
      </c>
      <c r="I1596" s="170" t="s">
        <v>2842</v>
      </c>
      <c r="J1596" t="s">
        <v>2853</v>
      </c>
      <c r="K1596" s="188" t="s">
        <v>2853</v>
      </c>
    </row>
    <row r="1597" spans="1:11" x14ac:dyDescent="0.25">
      <c r="A1597" t="s">
        <v>6167</v>
      </c>
      <c r="B1597" s="27" t="s">
        <v>1622</v>
      </c>
      <c r="D1597" s="28" t="s">
        <v>3735</v>
      </c>
      <c r="E1597" s="29" t="s">
        <v>21</v>
      </c>
      <c r="F1597" s="30">
        <v>1</v>
      </c>
      <c r="G1597" s="31">
        <v>237.99</v>
      </c>
      <c r="H1597" s="31">
        <f t="shared" si="140"/>
        <v>237.99</v>
      </c>
      <c r="I1597" s="170" t="s">
        <v>2842</v>
      </c>
      <c r="J1597" t="s">
        <v>2853</v>
      </c>
      <c r="K1597" s="188" t="s">
        <v>2853</v>
      </c>
    </row>
    <row r="1598" spans="1:11" x14ac:dyDescent="0.25">
      <c r="A1598" t="s">
        <v>6168</v>
      </c>
      <c r="B1598" s="27" t="s">
        <v>1623</v>
      </c>
      <c r="D1598" s="28" t="s">
        <v>3736</v>
      </c>
      <c r="E1598" s="29" t="s">
        <v>563</v>
      </c>
      <c r="F1598" s="30">
        <v>1</v>
      </c>
      <c r="G1598" s="31">
        <v>237.99</v>
      </c>
      <c r="H1598" s="31">
        <f t="shared" si="140"/>
        <v>237.99</v>
      </c>
      <c r="I1598" s="170" t="s">
        <v>2842</v>
      </c>
      <c r="J1598" t="s">
        <v>2853</v>
      </c>
      <c r="K1598" s="188" t="s">
        <v>2853</v>
      </c>
    </row>
    <row r="1599" spans="1:11" x14ac:dyDescent="0.25">
      <c r="A1599" t="s">
        <v>6169</v>
      </c>
      <c r="B1599" s="27" t="s">
        <v>1624</v>
      </c>
      <c r="D1599" s="28" t="s">
        <v>3737</v>
      </c>
      <c r="E1599" s="29" t="s">
        <v>563</v>
      </c>
      <c r="F1599" s="30">
        <v>1</v>
      </c>
      <c r="G1599" s="31">
        <v>237.99</v>
      </c>
      <c r="H1599" s="31">
        <f t="shared" si="140"/>
        <v>237.99</v>
      </c>
      <c r="I1599" s="170" t="s">
        <v>2842</v>
      </c>
      <c r="J1599" t="s">
        <v>2853</v>
      </c>
      <c r="K1599" s="188" t="s">
        <v>2853</v>
      </c>
    </row>
    <row r="1600" spans="1:11" x14ac:dyDescent="0.25">
      <c r="A1600" t="s">
        <v>6170</v>
      </c>
      <c r="B1600" s="27" t="s">
        <v>1625</v>
      </c>
      <c r="D1600" s="28" t="s">
        <v>3738</v>
      </c>
      <c r="E1600" s="29" t="s">
        <v>563</v>
      </c>
      <c r="F1600" s="30">
        <v>1</v>
      </c>
      <c r="G1600" s="31">
        <v>237.99</v>
      </c>
      <c r="H1600" s="31">
        <f t="shared" si="140"/>
        <v>237.99</v>
      </c>
      <c r="I1600" s="170" t="s">
        <v>2842</v>
      </c>
      <c r="J1600" t="s">
        <v>2853</v>
      </c>
      <c r="K1600" s="188" t="s">
        <v>2853</v>
      </c>
    </row>
    <row r="1601" spans="1:11" x14ac:dyDescent="0.25">
      <c r="A1601" t="s">
        <v>6171</v>
      </c>
      <c r="B1601" s="27" t="s">
        <v>1626</v>
      </c>
      <c r="D1601" s="28" t="s">
        <v>3739</v>
      </c>
      <c r="E1601" s="29" t="s">
        <v>671</v>
      </c>
      <c r="F1601" s="30">
        <v>1</v>
      </c>
      <c r="G1601" s="31">
        <v>237.99</v>
      </c>
      <c r="H1601" s="31">
        <f t="shared" si="140"/>
        <v>237.99</v>
      </c>
      <c r="I1601" s="170" t="s">
        <v>2842</v>
      </c>
      <c r="J1601" t="s">
        <v>2853</v>
      </c>
      <c r="K1601" s="188" t="s">
        <v>2853</v>
      </c>
    </row>
    <row r="1602" spans="1:11" x14ac:dyDescent="0.25">
      <c r="A1602" t="s">
        <v>6172</v>
      </c>
      <c r="B1602" s="27" t="s">
        <v>1627</v>
      </c>
      <c r="D1602" s="28" t="s">
        <v>3740</v>
      </c>
      <c r="E1602" s="29" t="s">
        <v>671</v>
      </c>
      <c r="F1602" s="30">
        <v>1</v>
      </c>
      <c r="G1602" s="31">
        <v>237.99</v>
      </c>
      <c r="H1602" s="31">
        <f t="shared" si="140"/>
        <v>237.99</v>
      </c>
      <c r="I1602" s="170" t="s">
        <v>2842</v>
      </c>
      <c r="J1602" t="s">
        <v>2853</v>
      </c>
      <c r="K1602" s="188" t="s">
        <v>2853</v>
      </c>
    </row>
    <row r="1603" spans="1:11" x14ac:dyDescent="0.25">
      <c r="A1603" t="s">
        <v>6173</v>
      </c>
      <c r="B1603" s="27" t="s">
        <v>1628</v>
      </c>
      <c r="D1603" s="28" t="s">
        <v>3741</v>
      </c>
      <c r="E1603" s="29" t="s">
        <v>671</v>
      </c>
      <c r="F1603" s="30">
        <v>1</v>
      </c>
      <c r="G1603" s="31">
        <v>237.99</v>
      </c>
      <c r="H1603" s="31">
        <f t="shared" si="140"/>
        <v>237.99</v>
      </c>
      <c r="I1603" s="170" t="s">
        <v>2842</v>
      </c>
      <c r="J1603" t="s">
        <v>2853</v>
      </c>
      <c r="K1603" s="188" t="s">
        <v>2853</v>
      </c>
    </row>
    <row r="1604" spans="1:11" x14ac:dyDescent="0.25">
      <c r="A1604" t="s">
        <v>6174</v>
      </c>
      <c r="B1604" s="27" t="s">
        <v>1629</v>
      </c>
      <c r="D1604" s="28" t="s">
        <v>3742</v>
      </c>
      <c r="E1604" s="29" t="s">
        <v>21</v>
      </c>
      <c r="F1604" s="30">
        <v>1</v>
      </c>
      <c r="G1604" s="31">
        <v>257.83</v>
      </c>
      <c r="H1604" s="31">
        <f t="shared" si="140"/>
        <v>257.83</v>
      </c>
      <c r="I1604" s="170" t="s">
        <v>2842</v>
      </c>
      <c r="J1604" t="s">
        <v>2853</v>
      </c>
      <c r="K1604" s="188" t="s">
        <v>2853</v>
      </c>
    </row>
    <row r="1605" spans="1:11" x14ac:dyDescent="0.25">
      <c r="A1605" t="s">
        <v>6175</v>
      </c>
      <c r="B1605" s="27" t="s">
        <v>1630</v>
      </c>
      <c r="D1605" s="28" t="s">
        <v>3743</v>
      </c>
      <c r="E1605" s="29" t="s">
        <v>21</v>
      </c>
      <c r="F1605" s="30">
        <v>1</v>
      </c>
      <c r="G1605" s="31">
        <v>257.83</v>
      </c>
      <c r="H1605" s="31">
        <f t="shared" si="140"/>
        <v>257.83</v>
      </c>
      <c r="I1605" s="170" t="s">
        <v>2842</v>
      </c>
      <c r="J1605" t="s">
        <v>2853</v>
      </c>
      <c r="K1605" s="188" t="s">
        <v>2853</v>
      </c>
    </row>
    <row r="1606" spans="1:11" x14ac:dyDescent="0.25">
      <c r="A1606" t="s">
        <v>6176</v>
      </c>
      <c r="B1606" s="27" t="s">
        <v>1631</v>
      </c>
      <c r="D1606" s="28" t="s">
        <v>3744</v>
      </c>
      <c r="E1606" s="29" t="s">
        <v>21</v>
      </c>
      <c r="F1606" s="30">
        <v>1</v>
      </c>
      <c r="G1606" s="31">
        <v>257.83</v>
      </c>
      <c r="H1606" s="31">
        <f t="shared" si="140"/>
        <v>257.83</v>
      </c>
      <c r="I1606" s="170" t="s">
        <v>2842</v>
      </c>
      <c r="J1606" t="s">
        <v>2853</v>
      </c>
      <c r="K1606" s="188" t="s">
        <v>2853</v>
      </c>
    </row>
    <row r="1607" spans="1:11" x14ac:dyDescent="0.25">
      <c r="A1607" t="s">
        <v>6177</v>
      </c>
      <c r="B1607" s="27" t="s">
        <v>1632</v>
      </c>
      <c r="D1607" s="28" t="s">
        <v>3745</v>
      </c>
      <c r="E1607" s="29" t="s">
        <v>563</v>
      </c>
      <c r="F1607" s="30">
        <v>1</v>
      </c>
      <c r="G1607" s="31">
        <v>257.83</v>
      </c>
      <c r="H1607" s="31">
        <f t="shared" si="140"/>
        <v>257.83</v>
      </c>
      <c r="I1607" s="170" t="s">
        <v>2842</v>
      </c>
      <c r="J1607" t="s">
        <v>2853</v>
      </c>
      <c r="K1607" s="188" t="s">
        <v>2853</v>
      </c>
    </row>
    <row r="1608" spans="1:11" x14ac:dyDescent="0.25">
      <c r="A1608" t="s">
        <v>6178</v>
      </c>
      <c r="B1608" s="27" t="s">
        <v>1633</v>
      </c>
      <c r="D1608" s="28" t="s">
        <v>3746</v>
      </c>
      <c r="E1608" s="29" t="s">
        <v>563</v>
      </c>
      <c r="F1608" s="30">
        <v>1</v>
      </c>
      <c r="G1608" s="31">
        <v>257.83</v>
      </c>
      <c r="H1608" s="31">
        <f t="shared" si="140"/>
        <v>257.83</v>
      </c>
      <c r="I1608" s="170" t="s">
        <v>2842</v>
      </c>
      <c r="J1608" t="s">
        <v>2853</v>
      </c>
      <c r="K1608" s="188" t="s">
        <v>2853</v>
      </c>
    </row>
    <row r="1609" spans="1:11" x14ac:dyDescent="0.25">
      <c r="A1609" t="s">
        <v>6179</v>
      </c>
      <c r="B1609" s="27" t="s">
        <v>1634</v>
      </c>
      <c r="D1609" s="28" t="s">
        <v>3747</v>
      </c>
      <c r="E1609" s="29" t="s">
        <v>563</v>
      </c>
      <c r="F1609" s="30">
        <v>1</v>
      </c>
      <c r="G1609" s="31">
        <v>257.83</v>
      </c>
      <c r="H1609" s="31">
        <f t="shared" si="140"/>
        <v>257.83</v>
      </c>
      <c r="I1609" s="170" t="s">
        <v>2842</v>
      </c>
      <c r="J1609" t="s">
        <v>2853</v>
      </c>
      <c r="K1609" s="188" t="s">
        <v>2853</v>
      </c>
    </row>
    <row r="1610" spans="1:11" x14ac:dyDescent="0.25">
      <c r="A1610" t="s">
        <v>6180</v>
      </c>
      <c r="B1610" s="27" t="s">
        <v>1635</v>
      </c>
      <c r="D1610" s="28" t="s">
        <v>3748</v>
      </c>
      <c r="E1610" s="29" t="s">
        <v>671</v>
      </c>
      <c r="F1610" s="30">
        <v>1</v>
      </c>
      <c r="G1610" s="31">
        <v>257.83</v>
      </c>
      <c r="H1610" s="31">
        <f t="shared" si="140"/>
        <v>257.83</v>
      </c>
      <c r="I1610" s="170" t="s">
        <v>2842</v>
      </c>
      <c r="J1610" t="s">
        <v>2853</v>
      </c>
      <c r="K1610" s="188" t="s">
        <v>2853</v>
      </c>
    </row>
    <row r="1611" spans="1:11" x14ac:dyDescent="0.25">
      <c r="A1611" t="s">
        <v>6181</v>
      </c>
      <c r="B1611" s="27" t="s">
        <v>1636</v>
      </c>
      <c r="D1611" s="28" t="s">
        <v>3749</v>
      </c>
      <c r="E1611" s="29" t="s">
        <v>671</v>
      </c>
      <c r="F1611" s="30">
        <v>1</v>
      </c>
      <c r="G1611" s="31">
        <v>257.83</v>
      </c>
      <c r="H1611" s="31">
        <f t="shared" si="140"/>
        <v>257.83</v>
      </c>
      <c r="I1611" s="170" t="s">
        <v>2842</v>
      </c>
      <c r="J1611" t="s">
        <v>2853</v>
      </c>
      <c r="K1611" s="188" t="s">
        <v>2853</v>
      </c>
    </row>
    <row r="1612" spans="1:11" x14ac:dyDescent="0.25">
      <c r="A1612" t="s">
        <v>6182</v>
      </c>
      <c r="B1612" s="27" t="s">
        <v>1637</v>
      </c>
      <c r="D1612" s="28" t="s">
        <v>3750</v>
      </c>
      <c r="E1612" s="29" t="s">
        <v>671</v>
      </c>
      <c r="F1612" s="30">
        <v>1</v>
      </c>
      <c r="G1612" s="31">
        <v>257.83</v>
      </c>
      <c r="H1612" s="31">
        <f t="shared" si="140"/>
        <v>257.83</v>
      </c>
      <c r="I1612" s="170" t="s">
        <v>2842</v>
      </c>
      <c r="J1612" t="s">
        <v>2853</v>
      </c>
      <c r="K1612" s="188" t="s">
        <v>2853</v>
      </c>
    </row>
    <row r="1613" spans="1:11" x14ac:dyDescent="0.25">
      <c r="A1613" t="s">
        <v>6183</v>
      </c>
      <c r="B1613" s="27" t="s">
        <v>1638</v>
      </c>
      <c r="D1613" s="28" t="s">
        <v>3751</v>
      </c>
      <c r="E1613" s="29" t="s">
        <v>21</v>
      </c>
      <c r="F1613" s="30">
        <v>1</v>
      </c>
      <c r="G1613" s="31">
        <v>277.66000000000003</v>
      </c>
      <c r="H1613" s="31">
        <f t="shared" si="140"/>
        <v>277.66000000000003</v>
      </c>
      <c r="I1613" s="170" t="s">
        <v>2842</v>
      </c>
      <c r="J1613" t="s">
        <v>2853</v>
      </c>
      <c r="K1613" s="188" t="s">
        <v>2853</v>
      </c>
    </row>
    <row r="1614" spans="1:11" x14ac:dyDescent="0.25">
      <c r="A1614" t="s">
        <v>6184</v>
      </c>
      <c r="B1614" s="27" t="s">
        <v>1639</v>
      </c>
      <c r="D1614" s="28" t="s">
        <v>3752</v>
      </c>
      <c r="E1614" s="29" t="s">
        <v>21</v>
      </c>
      <c r="F1614" s="30">
        <v>1</v>
      </c>
      <c r="G1614" s="31">
        <v>277.66000000000003</v>
      </c>
      <c r="H1614" s="31">
        <f t="shared" si="140"/>
        <v>277.66000000000003</v>
      </c>
      <c r="I1614" s="170" t="s">
        <v>2842</v>
      </c>
      <c r="J1614" t="s">
        <v>2853</v>
      </c>
      <c r="K1614" s="188" t="s">
        <v>2853</v>
      </c>
    </row>
    <row r="1615" spans="1:11" x14ac:dyDescent="0.25">
      <c r="A1615" t="s">
        <v>6185</v>
      </c>
      <c r="B1615" s="27" t="s">
        <v>1640</v>
      </c>
      <c r="D1615" s="28" t="s">
        <v>3753</v>
      </c>
      <c r="E1615" s="29" t="s">
        <v>21</v>
      </c>
      <c r="F1615" s="30">
        <v>1</v>
      </c>
      <c r="G1615" s="31">
        <v>277.66000000000003</v>
      </c>
      <c r="H1615" s="31">
        <f t="shared" si="140"/>
        <v>277.66000000000003</v>
      </c>
      <c r="I1615" s="170" t="s">
        <v>2842</v>
      </c>
      <c r="J1615" t="s">
        <v>2853</v>
      </c>
      <c r="K1615" s="188" t="s">
        <v>2853</v>
      </c>
    </row>
    <row r="1616" spans="1:11" x14ac:dyDescent="0.25">
      <c r="A1616" t="s">
        <v>6186</v>
      </c>
      <c r="B1616" s="27" t="s">
        <v>1641</v>
      </c>
      <c r="D1616" s="28" t="s">
        <v>3754</v>
      </c>
      <c r="E1616" s="29" t="s">
        <v>563</v>
      </c>
      <c r="F1616" s="30">
        <v>1</v>
      </c>
      <c r="G1616" s="31">
        <v>277.66000000000003</v>
      </c>
      <c r="H1616" s="31">
        <f t="shared" si="140"/>
        <v>277.66000000000003</v>
      </c>
      <c r="I1616" s="170" t="s">
        <v>2842</v>
      </c>
      <c r="J1616" t="s">
        <v>2853</v>
      </c>
      <c r="K1616" s="188" t="s">
        <v>2853</v>
      </c>
    </row>
    <row r="1617" spans="1:11" x14ac:dyDescent="0.25">
      <c r="A1617" t="s">
        <v>6187</v>
      </c>
      <c r="B1617" s="27" t="s">
        <v>1642</v>
      </c>
      <c r="D1617" s="28" t="s">
        <v>3755</v>
      </c>
      <c r="E1617" s="29" t="s">
        <v>563</v>
      </c>
      <c r="F1617" s="30">
        <v>1</v>
      </c>
      <c r="G1617" s="31">
        <v>277.66000000000003</v>
      </c>
      <c r="H1617" s="31">
        <f t="shared" si="140"/>
        <v>277.66000000000003</v>
      </c>
      <c r="I1617" s="170" t="s">
        <v>2842</v>
      </c>
      <c r="J1617" t="s">
        <v>2853</v>
      </c>
      <c r="K1617" s="188" t="s">
        <v>2853</v>
      </c>
    </row>
    <row r="1618" spans="1:11" x14ac:dyDescent="0.25">
      <c r="A1618" t="s">
        <v>6188</v>
      </c>
      <c r="B1618" s="27" t="s">
        <v>1643</v>
      </c>
      <c r="D1618" s="28" t="s">
        <v>3756</v>
      </c>
      <c r="E1618" s="29" t="s">
        <v>563</v>
      </c>
      <c r="F1618" s="30">
        <v>1</v>
      </c>
      <c r="G1618" s="31">
        <v>277.66000000000003</v>
      </c>
      <c r="H1618" s="31">
        <f t="shared" si="140"/>
        <v>277.66000000000003</v>
      </c>
      <c r="I1618" s="170" t="s">
        <v>2842</v>
      </c>
      <c r="J1618" t="s">
        <v>2853</v>
      </c>
      <c r="K1618" s="188" t="s">
        <v>2853</v>
      </c>
    </row>
    <row r="1619" spans="1:11" x14ac:dyDescent="0.25">
      <c r="A1619" t="s">
        <v>6189</v>
      </c>
      <c r="B1619" s="27" t="s">
        <v>1644</v>
      </c>
      <c r="D1619" s="28" t="s">
        <v>3757</v>
      </c>
      <c r="E1619" s="29" t="s">
        <v>671</v>
      </c>
      <c r="F1619" s="30">
        <v>1</v>
      </c>
      <c r="G1619" s="31">
        <v>277.66000000000003</v>
      </c>
      <c r="H1619" s="31">
        <f t="shared" si="140"/>
        <v>277.66000000000003</v>
      </c>
      <c r="I1619" s="170" t="s">
        <v>2842</v>
      </c>
      <c r="J1619" t="s">
        <v>2853</v>
      </c>
      <c r="K1619" s="188" t="s">
        <v>2853</v>
      </c>
    </row>
    <row r="1620" spans="1:11" x14ac:dyDescent="0.25">
      <c r="A1620" t="s">
        <v>6190</v>
      </c>
      <c r="B1620" s="27" t="s">
        <v>1645</v>
      </c>
      <c r="D1620" s="28" t="s">
        <v>3758</v>
      </c>
      <c r="E1620" s="29" t="s">
        <v>671</v>
      </c>
      <c r="F1620" s="30">
        <v>1</v>
      </c>
      <c r="G1620" s="31">
        <v>277.66000000000003</v>
      </c>
      <c r="H1620" s="31">
        <f t="shared" si="140"/>
        <v>277.66000000000003</v>
      </c>
      <c r="I1620" s="170" t="s">
        <v>2842</v>
      </c>
      <c r="J1620" t="s">
        <v>2853</v>
      </c>
      <c r="K1620" s="188" t="s">
        <v>2853</v>
      </c>
    </row>
    <row r="1621" spans="1:11" x14ac:dyDescent="0.25">
      <c r="A1621" t="s">
        <v>6191</v>
      </c>
      <c r="B1621" s="27" t="s">
        <v>1646</v>
      </c>
      <c r="D1621" s="28" t="s">
        <v>3759</v>
      </c>
      <c r="E1621" s="29" t="s">
        <v>671</v>
      </c>
      <c r="F1621" s="30">
        <v>1</v>
      </c>
      <c r="G1621" s="31">
        <v>277.66000000000003</v>
      </c>
      <c r="H1621" s="31">
        <f t="shared" si="140"/>
        <v>277.66000000000003</v>
      </c>
      <c r="I1621" s="170" t="s">
        <v>2842</v>
      </c>
      <c r="J1621" t="s">
        <v>2853</v>
      </c>
      <c r="K1621" s="188" t="s">
        <v>2853</v>
      </c>
    </row>
    <row r="1622" spans="1:11" x14ac:dyDescent="0.25">
      <c r="A1622" t="s">
        <v>6192</v>
      </c>
      <c r="B1622" s="27" t="s">
        <v>1647</v>
      </c>
      <c r="D1622" s="28" t="s">
        <v>3760</v>
      </c>
      <c r="E1622" s="29" t="s">
        <v>21</v>
      </c>
      <c r="F1622" s="30">
        <v>1</v>
      </c>
      <c r="G1622" s="31">
        <v>145.44</v>
      </c>
      <c r="H1622" s="31">
        <f t="shared" si="140"/>
        <v>145.44</v>
      </c>
      <c r="I1622" s="170" t="s">
        <v>2842</v>
      </c>
      <c r="J1622" t="s">
        <v>2853</v>
      </c>
      <c r="K1622" s="188" t="s">
        <v>2853</v>
      </c>
    </row>
    <row r="1623" spans="1:11" x14ac:dyDescent="0.25">
      <c r="A1623" t="s">
        <v>6193</v>
      </c>
      <c r="B1623" s="27" t="s">
        <v>1648</v>
      </c>
      <c r="D1623" s="28" t="s">
        <v>3761</v>
      </c>
      <c r="E1623" s="29" t="s">
        <v>563</v>
      </c>
      <c r="F1623" s="30">
        <v>1</v>
      </c>
      <c r="G1623" s="31">
        <v>145.44</v>
      </c>
      <c r="H1623" s="31">
        <f t="shared" si="140"/>
        <v>145.44</v>
      </c>
      <c r="I1623" s="170" t="s">
        <v>2842</v>
      </c>
      <c r="J1623" t="s">
        <v>2853</v>
      </c>
      <c r="K1623" s="188" t="s">
        <v>2853</v>
      </c>
    </row>
    <row r="1624" spans="1:11" x14ac:dyDescent="0.25">
      <c r="A1624" t="s">
        <v>6194</v>
      </c>
      <c r="B1624" s="27" t="s">
        <v>1649</v>
      </c>
      <c r="D1624" s="28" t="s">
        <v>3762</v>
      </c>
      <c r="E1624" s="29" t="s">
        <v>671</v>
      </c>
      <c r="F1624" s="30">
        <v>1</v>
      </c>
      <c r="G1624" s="31">
        <v>145.44</v>
      </c>
      <c r="H1624" s="31">
        <f t="shared" si="140"/>
        <v>145.44</v>
      </c>
      <c r="I1624" s="170" t="s">
        <v>2842</v>
      </c>
      <c r="J1624" t="s">
        <v>2853</v>
      </c>
      <c r="K1624" s="188" t="s">
        <v>2853</v>
      </c>
    </row>
    <row r="1625" spans="1:11" x14ac:dyDescent="0.25">
      <c r="A1625" t="s">
        <v>6195</v>
      </c>
      <c r="B1625" s="27" t="s">
        <v>1650</v>
      </c>
      <c r="D1625" s="28" t="s">
        <v>3763</v>
      </c>
      <c r="E1625" s="29" t="s">
        <v>21</v>
      </c>
      <c r="F1625" s="30">
        <v>1</v>
      </c>
      <c r="G1625" s="31">
        <v>158.66999999999999</v>
      </c>
      <c r="H1625" s="31">
        <f t="shared" si="140"/>
        <v>158.66999999999999</v>
      </c>
      <c r="I1625" s="170" t="s">
        <v>2842</v>
      </c>
      <c r="J1625" t="s">
        <v>2853</v>
      </c>
      <c r="K1625" s="188" t="s">
        <v>2853</v>
      </c>
    </row>
    <row r="1626" spans="1:11" x14ac:dyDescent="0.25">
      <c r="A1626" t="s">
        <v>6196</v>
      </c>
      <c r="B1626" s="27" t="s">
        <v>1651</v>
      </c>
      <c r="D1626" s="28" t="s">
        <v>3764</v>
      </c>
      <c r="E1626" s="29" t="s">
        <v>563</v>
      </c>
      <c r="F1626" s="30">
        <v>1</v>
      </c>
      <c r="G1626" s="31">
        <v>158.66999999999999</v>
      </c>
      <c r="H1626" s="31">
        <f t="shared" si="140"/>
        <v>158.66999999999999</v>
      </c>
      <c r="I1626" s="170" t="s">
        <v>2842</v>
      </c>
      <c r="J1626" t="s">
        <v>2853</v>
      </c>
      <c r="K1626" s="188" t="s">
        <v>2853</v>
      </c>
    </row>
    <row r="1627" spans="1:11" x14ac:dyDescent="0.25">
      <c r="A1627" t="s">
        <v>6197</v>
      </c>
      <c r="B1627" s="27" t="s">
        <v>1652</v>
      </c>
      <c r="D1627" s="28" t="s">
        <v>3765</v>
      </c>
      <c r="E1627" s="29" t="s">
        <v>671</v>
      </c>
      <c r="F1627" s="30">
        <v>1</v>
      </c>
      <c r="G1627" s="31">
        <v>158.66999999999999</v>
      </c>
      <c r="H1627" s="31">
        <f t="shared" si="140"/>
        <v>158.66999999999999</v>
      </c>
      <c r="I1627" s="170" t="s">
        <v>2842</v>
      </c>
      <c r="J1627" t="s">
        <v>2853</v>
      </c>
      <c r="K1627" s="188" t="s">
        <v>2853</v>
      </c>
    </row>
    <row r="1628" spans="1:11" x14ac:dyDescent="0.25">
      <c r="A1628" t="s">
        <v>6198</v>
      </c>
      <c r="B1628" s="27" t="s">
        <v>1653</v>
      </c>
      <c r="D1628" s="28" t="s">
        <v>3766</v>
      </c>
      <c r="E1628" s="29" t="s">
        <v>21</v>
      </c>
      <c r="F1628" s="30">
        <v>1</v>
      </c>
      <c r="G1628" s="31">
        <v>178.49</v>
      </c>
      <c r="H1628" s="31">
        <f t="shared" si="140"/>
        <v>178.49</v>
      </c>
      <c r="I1628" s="170" t="s">
        <v>2842</v>
      </c>
      <c r="J1628" t="s">
        <v>2853</v>
      </c>
      <c r="K1628" s="188" t="s">
        <v>2853</v>
      </c>
    </row>
    <row r="1629" spans="1:11" x14ac:dyDescent="0.25">
      <c r="A1629" t="s">
        <v>6199</v>
      </c>
      <c r="B1629" s="27" t="s">
        <v>1654</v>
      </c>
      <c r="D1629" s="28" t="s">
        <v>3767</v>
      </c>
      <c r="E1629" s="29" t="s">
        <v>563</v>
      </c>
      <c r="F1629" s="30">
        <v>1</v>
      </c>
      <c r="G1629" s="31">
        <v>178.49</v>
      </c>
      <c r="H1629" s="31">
        <f t="shared" si="140"/>
        <v>178.49</v>
      </c>
      <c r="I1629" s="170" t="s">
        <v>2842</v>
      </c>
      <c r="J1629" t="s">
        <v>2853</v>
      </c>
      <c r="K1629" s="188" t="s">
        <v>2853</v>
      </c>
    </row>
    <row r="1630" spans="1:11" x14ac:dyDescent="0.25">
      <c r="A1630" t="s">
        <v>6200</v>
      </c>
      <c r="B1630" s="27" t="s">
        <v>1655</v>
      </c>
      <c r="D1630" s="28" t="s">
        <v>3768</v>
      </c>
      <c r="E1630" s="29" t="s">
        <v>671</v>
      </c>
      <c r="F1630" s="30">
        <v>1</v>
      </c>
      <c r="G1630" s="31">
        <v>178.49</v>
      </c>
      <c r="H1630" s="31">
        <f t="shared" si="140"/>
        <v>178.49</v>
      </c>
      <c r="I1630" s="170" t="s">
        <v>2842</v>
      </c>
      <c r="J1630" t="s">
        <v>2853</v>
      </c>
      <c r="K1630" s="188" t="s">
        <v>2853</v>
      </c>
    </row>
    <row r="1631" spans="1:11" x14ac:dyDescent="0.25">
      <c r="A1631" t="s">
        <v>6201</v>
      </c>
      <c r="B1631" s="27" t="s">
        <v>1656</v>
      </c>
      <c r="D1631" s="28" t="s">
        <v>3769</v>
      </c>
      <c r="E1631" s="29" t="s">
        <v>21</v>
      </c>
      <c r="F1631" s="30">
        <v>1</v>
      </c>
      <c r="G1631" s="31">
        <v>198.33</v>
      </c>
      <c r="H1631" s="31">
        <f t="shared" si="140"/>
        <v>198.33</v>
      </c>
      <c r="I1631" s="170" t="s">
        <v>2842</v>
      </c>
      <c r="J1631" t="s">
        <v>2853</v>
      </c>
      <c r="K1631" s="188" t="s">
        <v>2853</v>
      </c>
    </row>
    <row r="1632" spans="1:11" x14ac:dyDescent="0.25">
      <c r="A1632" t="s">
        <v>6202</v>
      </c>
      <c r="B1632" s="27" t="s">
        <v>1657</v>
      </c>
      <c r="D1632" s="28" t="s">
        <v>3770</v>
      </c>
      <c r="E1632" s="29" t="s">
        <v>563</v>
      </c>
      <c r="F1632" s="30">
        <v>1</v>
      </c>
      <c r="G1632" s="31">
        <v>198.33</v>
      </c>
      <c r="H1632" s="31">
        <f t="shared" ref="H1632:H1662" si="141">+F1632*G1632</f>
        <v>198.33</v>
      </c>
      <c r="I1632" s="170" t="s">
        <v>2842</v>
      </c>
      <c r="J1632" t="s">
        <v>2853</v>
      </c>
      <c r="K1632" s="188" t="s">
        <v>2853</v>
      </c>
    </row>
    <row r="1633" spans="1:11" x14ac:dyDescent="0.25">
      <c r="A1633" t="s">
        <v>6203</v>
      </c>
      <c r="B1633" s="27" t="s">
        <v>1658</v>
      </c>
      <c r="D1633" s="28" t="s">
        <v>3771</v>
      </c>
      <c r="E1633" s="29" t="s">
        <v>671</v>
      </c>
      <c r="F1633" s="30">
        <v>1</v>
      </c>
      <c r="G1633" s="31">
        <v>198.33</v>
      </c>
      <c r="H1633" s="31">
        <f t="shared" si="141"/>
        <v>198.33</v>
      </c>
      <c r="I1633" s="170" t="s">
        <v>2842</v>
      </c>
      <c r="J1633" t="s">
        <v>2853</v>
      </c>
      <c r="K1633" s="188" t="s">
        <v>2853</v>
      </c>
    </row>
    <row r="1634" spans="1:11" x14ac:dyDescent="0.25">
      <c r="A1634" t="s">
        <v>6204</v>
      </c>
      <c r="B1634" s="27" t="s">
        <v>1659</v>
      </c>
      <c r="D1634" s="28" t="s">
        <v>3772</v>
      </c>
      <c r="E1634" s="29" t="s">
        <v>21</v>
      </c>
      <c r="F1634" s="30">
        <v>1</v>
      </c>
      <c r="G1634" s="31">
        <v>145.44</v>
      </c>
      <c r="H1634" s="31">
        <f t="shared" si="141"/>
        <v>145.44</v>
      </c>
      <c r="I1634" s="170" t="s">
        <v>2842</v>
      </c>
      <c r="J1634" t="s">
        <v>2853</v>
      </c>
      <c r="K1634" s="188" t="s">
        <v>2853</v>
      </c>
    </row>
    <row r="1635" spans="1:11" x14ac:dyDescent="0.25">
      <c r="A1635" t="s">
        <v>6205</v>
      </c>
      <c r="B1635" s="27" t="s">
        <v>1660</v>
      </c>
      <c r="D1635" s="28" t="s">
        <v>3773</v>
      </c>
      <c r="E1635" s="29" t="s">
        <v>563</v>
      </c>
      <c r="F1635" s="30">
        <v>1</v>
      </c>
      <c r="G1635" s="31">
        <v>145.44</v>
      </c>
      <c r="H1635" s="31">
        <f t="shared" si="141"/>
        <v>145.44</v>
      </c>
      <c r="I1635" s="170" t="s">
        <v>2842</v>
      </c>
      <c r="J1635" t="s">
        <v>2853</v>
      </c>
      <c r="K1635" s="188" t="s">
        <v>2853</v>
      </c>
    </row>
    <row r="1636" spans="1:11" x14ac:dyDescent="0.25">
      <c r="A1636" t="s">
        <v>6206</v>
      </c>
      <c r="B1636" s="27" t="s">
        <v>1661</v>
      </c>
      <c r="D1636" s="28" t="s">
        <v>3774</v>
      </c>
      <c r="E1636" s="29" t="s">
        <v>671</v>
      </c>
      <c r="F1636" s="30">
        <v>1</v>
      </c>
      <c r="G1636" s="31">
        <v>145.44</v>
      </c>
      <c r="H1636" s="31">
        <f t="shared" si="141"/>
        <v>145.44</v>
      </c>
      <c r="I1636" s="170" t="s">
        <v>2842</v>
      </c>
      <c r="J1636" t="s">
        <v>2853</v>
      </c>
      <c r="K1636" s="188" t="s">
        <v>2853</v>
      </c>
    </row>
    <row r="1637" spans="1:11" x14ac:dyDescent="0.25">
      <c r="A1637" t="s">
        <v>6207</v>
      </c>
      <c r="B1637" s="27" t="s">
        <v>1662</v>
      </c>
      <c r="D1637" s="28" t="s">
        <v>3775</v>
      </c>
      <c r="E1637" s="29" t="s">
        <v>21</v>
      </c>
      <c r="F1637" s="30">
        <v>1</v>
      </c>
      <c r="G1637" s="31">
        <v>171.89</v>
      </c>
      <c r="H1637" s="31">
        <f t="shared" si="141"/>
        <v>171.89</v>
      </c>
      <c r="I1637" s="170" t="s">
        <v>2842</v>
      </c>
      <c r="J1637" t="s">
        <v>2853</v>
      </c>
      <c r="K1637" s="188" t="s">
        <v>2853</v>
      </c>
    </row>
    <row r="1638" spans="1:11" x14ac:dyDescent="0.25">
      <c r="A1638" t="s">
        <v>6208</v>
      </c>
      <c r="B1638" s="27" t="s">
        <v>1663</v>
      </c>
      <c r="D1638" s="28" t="s">
        <v>3776</v>
      </c>
      <c r="E1638" s="29" t="s">
        <v>563</v>
      </c>
      <c r="F1638" s="30">
        <v>1</v>
      </c>
      <c r="G1638" s="31">
        <v>171.89</v>
      </c>
      <c r="H1638" s="31">
        <f t="shared" si="141"/>
        <v>171.89</v>
      </c>
      <c r="I1638" s="170" t="s">
        <v>2842</v>
      </c>
      <c r="J1638" t="s">
        <v>2853</v>
      </c>
      <c r="K1638" s="188" t="s">
        <v>2853</v>
      </c>
    </row>
    <row r="1639" spans="1:11" x14ac:dyDescent="0.25">
      <c r="A1639" t="s">
        <v>6209</v>
      </c>
      <c r="B1639" s="27" t="s">
        <v>1664</v>
      </c>
      <c r="D1639" s="28" t="s">
        <v>3777</v>
      </c>
      <c r="E1639" s="29" t="s">
        <v>671</v>
      </c>
      <c r="F1639" s="30">
        <v>1</v>
      </c>
      <c r="G1639" s="31">
        <v>171.89</v>
      </c>
      <c r="H1639" s="31">
        <f t="shared" si="141"/>
        <v>171.89</v>
      </c>
      <c r="I1639" s="170" t="s">
        <v>2842</v>
      </c>
      <c r="J1639" t="s">
        <v>2853</v>
      </c>
      <c r="K1639" s="188" t="s">
        <v>2853</v>
      </c>
    </row>
    <row r="1640" spans="1:11" x14ac:dyDescent="0.25">
      <c r="A1640" t="s">
        <v>6210</v>
      </c>
      <c r="B1640" s="27" t="s">
        <v>1665</v>
      </c>
      <c r="D1640" s="28" t="s">
        <v>3778</v>
      </c>
      <c r="E1640" s="29" t="s">
        <v>21</v>
      </c>
      <c r="F1640" s="30">
        <v>1</v>
      </c>
      <c r="G1640" s="31">
        <v>198.33</v>
      </c>
      <c r="H1640" s="31">
        <f t="shared" si="141"/>
        <v>198.33</v>
      </c>
      <c r="I1640" s="170" t="s">
        <v>2842</v>
      </c>
      <c r="J1640" t="s">
        <v>2853</v>
      </c>
      <c r="K1640" s="188" t="s">
        <v>2853</v>
      </c>
    </row>
    <row r="1641" spans="1:11" x14ac:dyDescent="0.25">
      <c r="A1641" t="s">
        <v>6211</v>
      </c>
      <c r="B1641" s="27" t="s">
        <v>1666</v>
      </c>
      <c r="D1641" s="28" t="s">
        <v>3779</v>
      </c>
      <c r="E1641" s="29" t="s">
        <v>563</v>
      </c>
      <c r="F1641" s="30">
        <v>1</v>
      </c>
      <c r="G1641" s="31">
        <v>198.33</v>
      </c>
      <c r="H1641" s="31">
        <f t="shared" si="141"/>
        <v>198.33</v>
      </c>
      <c r="I1641" s="170" t="s">
        <v>2842</v>
      </c>
      <c r="J1641" t="s">
        <v>2853</v>
      </c>
      <c r="K1641" s="188" t="s">
        <v>2853</v>
      </c>
    </row>
    <row r="1642" spans="1:11" x14ac:dyDescent="0.25">
      <c r="A1642" t="s">
        <v>6212</v>
      </c>
      <c r="B1642" s="27" t="s">
        <v>1667</v>
      </c>
      <c r="D1642" s="28" t="s">
        <v>3780</v>
      </c>
      <c r="E1642" s="29" t="s">
        <v>671</v>
      </c>
      <c r="F1642" s="30">
        <v>1</v>
      </c>
      <c r="G1642" s="31">
        <v>198.33</v>
      </c>
      <c r="H1642" s="31">
        <f t="shared" si="141"/>
        <v>198.33</v>
      </c>
      <c r="I1642" s="170" t="s">
        <v>2842</v>
      </c>
      <c r="J1642" t="s">
        <v>2853</v>
      </c>
      <c r="K1642" s="188" t="s">
        <v>2853</v>
      </c>
    </row>
    <row r="1643" spans="1:11" x14ac:dyDescent="0.25">
      <c r="A1643" t="s">
        <v>6213</v>
      </c>
      <c r="B1643" s="27" t="s">
        <v>1668</v>
      </c>
      <c r="D1643" s="28" t="s">
        <v>3781</v>
      </c>
      <c r="E1643" s="29" t="s">
        <v>21</v>
      </c>
      <c r="F1643" s="30">
        <v>1</v>
      </c>
      <c r="G1643" s="31">
        <v>224.78</v>
      </c>
      <c r="H1643" s="31">
        <f t="shared" si="141"/>
        <v>224.78</v>
      </c>
      <c r="I1643" s="170" t="s">
        <v>2842</v>
      </c>
      <c r="J1643" t="s">
        <v>2853</v>
      </c>
      <c r="K1643" s="188" t="s">
        <v>2853</v>
      </c>
    </row>
    <row r="1644" spans="1:11" x14ac:dyDescent="0.25">
      <c r="A1644" t="s">
        <v>6214</v>
      </c>
      <c r="B1644" s="27" t="s">
        <v>1669</v>
      </c>
      <c r="D1644" s="28" t="s">
        <v>3782</v>
      </c>
      <c r="E1644" s="29" t="s">
        <v>563</v>
      </c>
      <c r="F1644" s="30">
        <v>1</v>
      </c>
      <c r="G1644" s="31">
        <v>224.78</v>
      </c>
      <c r="H1644" s="31">
        <f t="shared" si="141"/>
        <v>224.78</v>
      </c>
      <c r="I1644" s="170" t="s">
        <v>2842</v>
      </c>
      <c r="J1644" t="s">
        <v>2853</v>
      </c>
      <c r="K1644" s="188" t="s">
        <v>2853</v>
      </c>
    </row>
    <row r="1645" spans="1:11" x14ac:dyDescent="0.25">
      <c r="A1645" t="s">
        <v>6215</v>
      </c>
      <c r="B1645" s="27" t="s">
        <v>1670</v>
      </c>
      <c r="D1645" s="28" t="s">
        <v>3783</v>
      </c>
      <c r="E1645" s="29" t="s">
        <v>671</v>
      </c>
      <c r="F1645" s="30">
        <v>1</v>
      </c>
      <c r="G1645" s="31">
        <v>224.78</v>
      </c>
      <c r="H1645" s="31">
        <f t="shared" si="141"/>
        <v>224.78</v>
      </c>
      <c r="I1645" s="170" t="s">
        <v>2842</v>
      </c>
      <c r="J1645" t="s">
        <v>2853</v>
      </c>
      <c r="K1645" s="188" t="s">
        <v>2853</v>
      </c>
    </row>
    <row r="1646" spans="1:11" x14ac:dyDescent="0.25">
      <c r="A1646" t="s">
        <v>6216</v>
      </c>
      <c r="B1646" s="27" t="s">
        <v>1671</v>
      </c>
      <c r="D1646" s="28" t="s">
        <v>7506</v>
      </c>
      <c r="E1646" s="29"/>
      <c r="F1646" s="30">
        <v>1</v>
      </c>
      <c r="G1646" s="31">
        <v>44.94</v>
      </c>
      <c r="H1646" s="31">
        <f t="shared" si="141"/>
        <v>44.94</v>
      </c>
      <c r="I1646" s="170" t="s">
        <v>2842</v>
      </c>
      <c r="J1646" t="s">
        <v>2853</v>
      </c>
      <c r="K1646" s="188" t="s">
        <v>2853</v>
      </c>
    </row>
    <row r="1647" spans="1:11" x14ac:dyDescent="0.25">
      <c r="A1647" t="s">
        <v>6217</v>
      </c>
      <c r="B1647" s="27" t="s">
        <v>1672</v>
      </c>
      <c r="D1647" s="28" t="s">
        <v>7507</v>
      </c>
      <c r="E1647" s="29"/>
      <c r="F1647" s="30">
        <v>1</v>
      </c>
      <c r="G1647" s="31">
        <v>47.59</v>
      </c>
      <c r="H1647" s="31">
        <f t="shared" si="141"/>
        <v>47.59</v>
      </c>
      <c r="I1647" s="170" t="s">
        <v>2842</v>
      </c>
      <c r="J1647" t="s">
        <v>2853</v>
      </c>
      <c r="K1647" s="188" t="s">
        <v>2853</v>
      </c>
    </row>
    <row r="1648" spans="1:11" x14ac:dyDescent="0.25">
      <c r="A1648" t="s">
        <v>6218</v>
      </c>
      <c r="B1648" s="27" t="s">
        <v>1673</v>
      </c>
      <c r="D1648" s="28" t="s">
        <v>7508</v>
      </c>
      <c r="E1648" s="29"/>
      <c r="F1648" s="30">
        <v>1</v>
      </c>
      <c r="G1648" s="31">
        <v>50.24</v>
      </c>
      <c r="H1648" s="31">
        <f t="shared" si="141"/>
        <v>50.24</v>
      </c>
      <c r="I1648" s="170" t="s">
        <v>2842</v>
      </c>
      <c r="J1648" t="s">
        <v>2853</v>
      </c>
      <c r="K1648" s="188" t="s">
        <v>2853</v>
      </c>
    </row>
    <row r="1649" spans="1:11" x14ac:dyDescent="0.25">
      <c r="A1649" t="s">
        <v>6219</v>
      </c>
      <c r="B1649" s="27" t="s">
        <v>1674</v>
      </c>
      <c r="D1649" s="28" t="s">
        <v>7509</v>
      </c>
      <c r="E1649" s="29"/>
      <c r="F1649" s="30">
        <v>1</v>
      </c>
      <c r="G1649" s="31">
        <v>52.88</v>
      </c>
      <c r="H1649" s="31">
        <f t="shared" si="141"/>
        <v>52.88</v>
      </c>
      <c r="I1649" s="170" t="s">
        <v>2842</v>
      </c>
      <c r="J1649" t="s">
        <v>2853</v>
      </c>
      <c r="K1649" s="188" t="s">
        <v>2853</v>
      </c>
    </row>
    <row r="1650" spans="1:11" x14ac:dyDescent="0.25">
      <c r="A1650" t="s">
        <v>6220</v>
      </c>
      <c r="B1650" s="27" t="s">
        <v>1675</v>
      </c>
      <c r="D1650" s="28" t="s">
        <v>7510</v>
      </c>
      <c r="E1650" s="29"/>
      <c r="F1650" s="30">
        <v>1</v>
      </c>
      <c r="G1650" s="31">
        <v>50.24</v>
      </c>
      <c r="H1650" s="31">
        <f t="shared" si="141"/>
        <v>50.24</v>
      </c>
      <c r="I1650" s="170" t="s">
        <v>2842</v>
      </c>
      <c r="J1650" t="s">
        <v>2853</v>
      </c>
      <c r="K1650" s="188" t="s">
        <v>2853</v>
      </c>
    </row>
    <row r="1651" spans="1:11" x14ac:dyDescent="0.25">
      <c r="A1651" t="s">
        <v>6221</v>
      </c>
      <c r="B1651" s="27" t="s">
        <v>1676</v>
      </c>
      <c r="D1651" s="28" t="s">
        <v>7511</v>
      </c>
      <c r="E1651" s="29"/>
      <c r="F1651" s="30">
        <v>1</v>
      </c>
      <c r="G1651" s="31">
        <v>52.88</v>
      </c>
      <c r="H1651" s="31">
        <f t="shared" si="141"/>
        <v>52.88</v>
      </c>
      <c r="I1651" s="170" t="s">
        <v>2842</v>
      </c>
      <c r="J1651" t="s">
        <v>2853</v>
      </c>
      <c r="K1651" s="188" t="s">
        <v>2853</v>
      </c>
    </row>
    <row r="1652" spans="1:11" x14ac:dyDescent="0.25">
      <c r="A1652" t="s">
        <v>6222</v>
      </c>
      <c r="B1652" s="27" t="s">
        <v>1677</v>
      </c>
      <c r="D1652" s="28" t="s">
        <v>7512</v>
      </c>
      <c r="E1652" s="29"/>
      <c r="F1652" s="30">
        <v>1</v>
      </c>
      <c r="G1652" s="31">
        <v>55.53</v>
      </c>
      <c r="H1652" s="31">
        <f t="shared" si="141"/>
        <v>55.53</v>
      </c>
      <c r="I1652" s="170" t="s">
        <v>2842</v>
      </c>
      <c r="J1652" t="s">
        <v>2853</v>
      </c>
      <c r="K1652" s="188" t="s">
        <v>2853</v>
      </c>
    </row>
    <row r="1653" spans="1:11" x14ac:dyDescent="0.25">
      <c r="A1653" t="s">
        <v>6223</v>
      </c>
      <c r="B1653" s="27" t="s">
        <v>1678</v>
      </c>
      <c r="D1653" s="28" t="s">
        <v>7513</v>
      </c>
      <c r="E1653" s="29"/>
      <c r="F1653" s="30">
        <v>1</v>
      </c>
      <c r="G1653" s="31">
        <v>58.17</v>
      </c>
      <c r="H1653" s="31">
        <f t="shared" si="141"/>
        <v>58.17</v>
      </c>
      <c r="I1653" s="170" t="s">
        <v>2842</v>
      </c>
      <c r="J1653" t="s">
        <v>2853</v>
      </c>
      <c r="K1653" s="188" t="s">
        <v>2853</v>
      </c>
    </row>
    <row r="1654" spans="1:11" x14ac:dyDescent="0.25">
      <c r="A1654" t="s">
        <v>6224</v>
      </c>
      <c r="B1654" s="27" t="s">
        <v>1679</v>
      </c>
      <c r="D1654" s="28" t="s">
        <v>1680</v>
      </c>
      <c r="E1654" s="29" t="s">
        <v>21</v>
      </c>
      <c r="F1654" s="30">
        <v>6</v>
      </c>
      <c r="G1654" s="31">
        <v>9.0500000000000007</v>
      </c>
      <c r="H1654" s="31">
        <f t="shared" si="141"/>
        <v>54.300000000000004</v>
      </c>
      <c r="J1654" t="s">
        <v>2853</v>
      </c>
      <c r="K1654" s="188" t="s">
        <v>2853</v>
      </c>
    </row>
    <row r="1655" spans="1:11" x14ac:dyDescent="0.25">
      <c r="A1655" t="s">
        <v>6225</v>
      </c>
      <c r="B1655" s="27" t="s">
        <v>1681</v>
      </c>
      <c r="D1655" s="28" t="s">
        <v>1682</v>
      </c>
      <c r="E1655" s="29" t="s">
        <v>563</v>
      </c>
      <c r="F1655" s="30">
        <v>6</v>
      </c>
      <c r="G1655" s="31">
        <v>9.73</v>
      </c>
      <c r="H1655" s="31">
        <f t="shared" si="141"/>
        <v>58.38</v>
      </c>
      <c r="I1655" s="170" t="s">
        <v>7501</v>
      </c>
      <c r="J1655" t="s">
        <v>2853</v>
      </c>
      <c r="K1655" s="188" t="s">
        <v>2853</v>
      </c>
    </row>
    <row r="1656" spans="1:11" x14ac:dyDescent="0.25">
      <c r="A1656" t="s">
        <v>6226</v>
      </c>
      <c r="B1656" s="27" t="s">
        <v>1683</v>
      </c>
      <c r="D1656" s="28" t="s">
        <v>1684</v>
      </c>
      <c r="E1656" s="29" t="s">
        <v>671</v>
      </c>
      <c r="F1656" s="30">
        <v>6</v>
      </c>
      <c r="G1656" s="31">
        <v>9.73</v>
      </c>
      <c r="H1656" s="31">
        <f t="shared" si="141"/>
        <v>58.38</v>
      </c>
      <c r="I1656" s="170" t="s">
        <v>7501</v>
      </c>
      <c r="J1656" t="s">
        <v>2853</v>
      </c>
      <c r="K1656" s="188" t="s">
        <v>2853</v>
      </c>
    </row>
    <row r="1657" spans="1:11" x14ac:dyDescent="0.25">
      <c r="A1657" t="s">
        <v>6227</v>
      </c>
      <c r="B1657" s="27" t="s">
        <v>1685</v>
      </c>
      <c r="D1657" s="28" t="s">
        <v>1686</v>
      </c>
      <c r="E1657" s="29" t="s">
        <v>21</v>
      </c>
      <c r="F1657" s="30">
        <v>6</v>
      </c>
      <c r="G1657" s="31">
        <v>10.72</v>
      </c>
      <c r="H1657" s="31">
        <f t="shared" si="141"/>
        <v>64.320000000000007</v>
      </c>
      <c r="I1657" s="170" t="s">
        <v>7501</v>
      </c>
      <c r="J1657" t="s">
        <v>2853</v>
      </c>
      <c r="K1657" s="188" t="s">
        <v>2853</v>
      </c>
    </row>
    <row r="1658" spans="1:11" x14ac:dyDescent="0.25">
      <c r="A1658" t="s">
        <v>6228</v>
      </c>
      <c r="B1658" s="27" t="s">
        <v>1687</v>
      </c>
      <c r="D1658" s="28" t="s">
        <v>1688</v>
      </c>
      <c r="E1658" s="29" t="s">
        <v>563</v>
      </c>
      <c r="F1658" s="30">
        <v>6</v>
      </c>
      <c r="G1658" s="31">
        <v>11.4</v>
      </c>
      <c r="H1658" s="31">
        <f t="shared" si="141"/>
        <v>68.400000000000006</v>
      </c>
      <c r="J1658" t="s">
        <v>2853</v>
      </c>
      <c r="K1658" s="188" t="s">
        <v>2853</v>
      </c>
    </row>
    <row r="1659" spans="1:11" x14ac:dyDescent="0.25">
      <c r="A1659" t="s">
        <v>6229</v>
      </c>
      <c r="B1659" s="27" t="s">
        <v>1689</v>
      </c>
      <c r="D1659" s="28" t="s">
        <v>1690</v>
      </c>
      <c r="E1659" s="29" t="s">
        <v>671</v>
      </c>
      <c r="F1659" s="30">
        <v>6</v>
      </c>
      <c r="G1659" s="31">
        <v>11.4</v>
      </c>
      <c r="H1659" s="31">
        <f t="shared" si="141"/>
        <v>68.400000000000006</v>
      </c>
      <c r="J1659" t="s">
        <v>2853</v>
      </c>
      <c r="K1659" s="188" t="s">
        <v>2853</v>
      </c>
    </row>
    <row r="1660" spans="1:11" x14ac:dyDescent="0.25">
      <c r="A1660" t="s">
        <v>6230</v>
      </c>
      <c r="B1660" s="27" t="s">
        <v>1691</v>
      </c>
      <c r="D1660" s="28" t="s">
        <v>1692</v>
      </c>
      <c r="E1660" s="29" t="s">
        <v>21</v>
      </c>
      <c r="F1660" s="30">
        <v>6</v>
      </c>
      <c r="G1660" s="31">
        <v>12.4</v>
      </c>
      <c r="H1660" s="31">
        <f t="shared" si="141"/>
        <v>74.400000000000006</v>
      </c>
      <c r="J1660" t="s">
        <v>2853</v>
      </c>
      <c r="K1660" s="188" t="s">
        <v>2853</v>
      </c>
    </row>
    <row r="1661" spans="1:11" x14ac:dyDescent="0.25">
      <c r="A1661" t="s">
        <v>6231</v>
      </c>
      <c r="B1661" s="27" t="s">
        <v>1693</v>
      </c>
      <c r="D1661" s="28" t="s">
        <v>1694</v>
      </c>
      <c r="E1661" s="29" t="s">
        <v>563</v>
      </c>
      <c r="F1661" s="30">
        <v>6</v>
      </c>
      <c r="G1661" s="31">
        <v>13.08</v>
      </c>
      <c r="H1661" s="31">
        <f t="shared" si="141"/>
        <v>78.48</v>
      </c>
      <c r="I1661" s="170" t="s">
        <v>2842</v>
      </c>
      <c r="J1661" t="s">
        <v>2853</v>
      </c>
      <c r="K1661" s="188" t="s">
        <v>2853</v>
      </c>
    </row>
    <row r="1662" spans="1:11" x14ac:dyDescent="0.25">
      <c r="A1662" t="s">
        <v>6232</v>
      </c>
      <c r="B1662" s="27" t="s">
        <v>1695</v>
      </c>
      <c r="D1662" s="28" t="s">
        <v>1696</v>
      </c>
      <c r="E1662" s="29" t="s">
        <v>671</v>
      </c>
      <c r="F1662" s="30">
        <v>6</v>
      </c>
      <c r="G1662" s="31">
        <v>13.08</v>
      </c>
      <c r="H1662" s="31">
        <f t="shared" si="141"/>
        <v>78.48</v>
      </c>
      <c r="I1662" s="170" t="s">
        <v>2842</v>
      </c>
      <c r="J1662" t="s">
        <v>2853</v>
      </c>
      <c r="K1662" s="188" t="s">
        <v>2853</v>
      </c>
    </row>
    <row r="1663" spans="1:11" x14ac:dyDescent="0.25">
      <c r="I1663" s="170" t="s">
        <v>2842</v>
      </c>
      <c r="J1663" t="s">
        <v>2853</v>
      </c>
      <c r="K1663" s="188" t="s">
        <v>2853</v>
      </c>
    </row>
    <row r="1664" spans="1:11" x14ac:dyDescent="0.25">
      <c r="A1664" t="s">
        <v>6233</v>
      </c>
      <c r="B1664" s="27" t="s">
        <v>1697</v>
      </c>
      <c r="D1664" s="28" t="s">
        <v>1698</v>
      </c>
      <c r="E1664" s="29" t="s">
        <v>1699</v>
      </c>
      <c r="F1664" s="30">
        <v>12</v>
      </c>
      <c r="G1664" s="31">
        <v>0.65</v>
      </c>
      <c r="H1664" s="31">
        <f t="shared" ref="H1664:H1666" si="142">+F1664*G1664</f>
        <v>7.8000000000000007</v>
      </c>
      <c r="I1664" s="170" t="s">
        <v>2842</v>
      </c>
      <c r="J1664" t="s">
        <v>2853</v>
      </c>
      <c r="K1664" s="188" t="s">
        <v>2853</v>
      </c>
    </row>
    <row r="1665" spans="1:11" x14ac:dyDescent="0.25">
      <c r="A1665" t="s">
        <v>6234</v>
      </c>
      <c r="B1665" s="27" t="s">
        <v>1700</v>
      </c>
      <c r="D1665" s="28" t="s">
        <v>1698</v>
      </c>
      <c r="E1665" s="29" t="s">
        <v>1701</v>
      </c>
      <c r="F1665" s="30">
        <v>12</v>
      </c>
      <c r="G1665" s="31">
        <v>0.65</v>
      </c>
      <c r="H1665" s="31">
        <f t="shared" si="142"/>
        <v>7.8000000000000007</v>
      </c>
      <c r="I1665" s="170" t="s">
        <v>2842</v>
      </c>
      <c r="J1665" t="s">
        <v>2853</v>
      </c>
      <c r="K1665" s="188" t="s">
        <v>2853</v>
      </c>
    </row>
    <row r="1666" spans="1:11" x14ac:dyDescent="0.25">
      <c r="A1666" t="s">
        <v>6235</v>
      </c>
      <c r="B1666" s="27" t="s">
        <v>1702</v>
      </c>
      <c r="D1666" s="28" t="s">
        <v>1698</v>
      </c>
      <c r="E1666" s="29" t="s">
        <v>1703</v>
      </c>
      <c r="F1666" s="30">
        <v>12</v>
      </c>
      <c r="G1666" s="31">
        <v>0.65</v>
      </c>
      <c r="H1666" s="31">
        <f t="shared" si="142"/>
        <v>7.8000000000000007</v>
      </c>
      <c r="I1666" s="170" t="s">
        <v>2842</v>
      </c>
      <c r="J1666" t="s">
        <v>2853</v>
      </c>
      <c r="K1666" s="188" t="s">
        <v>2853</v>
      </c>
    </row>
    <row r="1667" spans="1:11" x14ac:dyDescent="0.25">
      <c r="I1667" s="170" t="s">
        <v>2842</v>
      </c>
      <c r="J1667" t="s">
        <v>2853</v>
      </c>
      <c r="K1667" s="188" t="s">
        <v>2853</v>
      </c>
    </row>
    <row r="1668" spans="1:11" ht="30" x14ac:dyDescent="0.4">
      <c r="B1668" s="171" t="s">
        <v>6236</v>
      </c>
      <c r="C1668" s="25"/>
      <c r="D1668" s="25"/>
      <c r="E1668" s="25"/>
      <c r="F1668" s="25"/>
      <c r="G1668" s="25"/>
      <c r="H1668" s="25"/>
      <c r="I1668" s="170" t="s">
        <v>2842</v>
      </c>
      <c r="J1668" t="s">
        <v>2853</v>
      </c>
      <c r="K1668" s="188" t="s">
        <v>2853</v>
      </c>
    </row>
    <row r="1669" spans="1:11" x14ac:dyDescent="0.25">
      <c r="B1669" s="50"/>
      <c r="C1669" s="50"/>
      <c r="D1669" s="46"/>
      <c r="E1669" s="53"/>
      <c r="F1669" s="52"/>
      <c r="G1669" s="24"/>
      <c r="H1669" s="24"/>
      <c r="I1669" s="170" t="s">
        <v>2842</v>
      </c>
      <c r="J1669" t="s">
        <v>2853</v>
      </c>
      <c r="K1669" s="188" t="s">
        <v>2853</v>
      </c>
    </row>
    <row r="1670" spans="1:11" x14ac:dyDescent="0.25">
      <c r="A1670" t="s">
        <v>6237</v>
      </c>
      <c r="B1670" s="27" t="s">
        <v>1704</v>
      </c>
      <c r="D1670" s="28" t="s">
        <v>1705</v>
      </c>
      <c r="E1670" s="29" t="s">
        <v>21</v>
      </c>
      <c r="F1670" s="30">
        <v>1</v>
      </c>
      <c r="G1670" s="31">
        <v>103.77</v>
      </c>
      <c r="H1670" s="31">
        <f t="shared" ref="H1670:H1729" si="143">+F1670*G1670</f>
        <v>103.77</v>
      </c>
      <c r="I1670" s="170" t="s">
        <v>2842</v>
      </c>
      <c r="J1670" t="s">
        <v>2853</v>
      </c>
      <c r="K1670" s="188" t="s">
        <v>2853</v>
      </c>
    </row>
    <row r="1671" spans="1:11" x14ac:dyDescent="0.25">
      <c r="A1671" t="s">
        <v>6238</v>
      </c>
      <c r="B1671" s="27" t="s">
        <v>1706</v>
      </c>
      <c r="D1671" s="28" t="s">
        <v>1707</v>
      </c>
      <c r="E1671" s="29" t="s">
        <v>21</v>
      </c>
      <c r="F1671" s="30">
        <v>1</v>
      </c>
      <c r="G1671" s="31">
        <v>125.3</v>
      </c>
      <c r="H1671" s="31">
        <f t="shared" si="143"/>
        <v>125.3</v>
      </c>
      <c r="I1671" s="170" t="s">
        <v>2842</v>
      </c>
      <c r="J1671" t="s">
        <v>2853</v>
      </c>
      <c r="K1671" s="188" t="s">
        <v>2853</v>
      </c>
    </row>
    <row r="1672" spans="1:11" x14ac:dyDescent="0.25">
      <c r="A1672" t="s">
        <v>6239</v>
      </c>
      <c r="B1672" s="27" t="s">
        <v>1708</v>
      </c>
      <c r="D1672" s="28" t="s">
        <v>1709</v>
      </c>
      <c r="E1672" s="29" t="s">
        <v>21</v>
      </c>
      <c r="F1672" s="30">
        <v>1</v>
      </c>
      <c r="G1672" s="31">
        <v>140.47</v>
      </c>
      <c r="H1672" s="31">
        <f t="shared" si="143"/>
        <v>140.47</v>
      </c>
      <c r="I1672" s="170" t="s">
        <v>2842</v>
      </c>
      <c r="J1672" t="s">
        <v>2853</v>
      </c>
      <c r="K1672" s="188" t="s">
        <v>2853</v>
      </c>
    </row>
    <row r="1673" spans="1:11" x14ac:dyDescent="0.25">
      <c r="A1673" t="s">
        <v>6240</v>
      </c>
      <c r="B1673" s="27" t="s">
        <v>1710</v>
      </c>
      <c r="D1673" s="28" t="s">
        <v>1711</v>
      </c>
      <c r="E1673" s="29" t="s">
        <v>21</v>
      </c>
      <c r="F1673" s="30">
        <v>1</v>
      </c>
      <c r="G1673" s="31">
        <v>158.19</v>
      </c>
      <c r="H1673" s="31">
        <f t="shared" si="143"/>
        <v>158.19</v>
      </c>
      <c r="I1673" s="170" t="s">
        <v>2842</v>
      </c>
      <c r="J1673" t="s">
        <v>2853</v>
      </c>
      <c r="K1673" s="188" t="s">
        <v>2853</v>
      </c>
    </row>
    <row r="1674" spans="1:11" x14ac:dyDescent="0.25">
      <c r="A1674" t="s">
        <v>6241</v>
      </c>
      <c r="B1674" s="27" t="s">
        <v>1712</v>
      </c>
      <c r="D1674" s="28" t="s">
        <v>1713</v>
      </c>
      <c r="E1674" s="29" t="s">
        <v>21</v>
      </c>
      <c r="F1674" s="30">
        <v>1</v>
      </c>
      <c r="G1674" s="31">
        <v>120.23</v>
      </c>
      <c r="H1674" s="31">
        <f t="shared" si="143"/>
        <v>120.23</v>
      </c>
      <c r="I1674" s="170" t="s">
        <v>2842</v>
      </c>
      <c r="J1674" t="s">
        <v>2853</v>
      </c>
      <c r="K1674" s="188" t="s">
        <v>2853</v>
      </c>
    </row>
    <row r="1675" spans="1:11" x14ac:dyDescent="0.25">
      <c r="A1675" t="s">
        <v>6242</v>
      </c>
      <c r="B1675" s="27" t="s">
        <v>1714</v>
      </c>
      <c r="D1675" s="28" t="s">
        <v>1715</v>
      </c>
      <c r="E1675" s="29" t="s">
        <v>21</v>
      </c>
      <c r="F1675" s="30">
        <v>1</v>
      </c>
      <c r="G1675" s="31">
        <v>145.53</v>
      </c>
      <c r="H1675" s="31">
        <f t="shared" si="143"/>
        <v>145.53</v>
      </c>
      <c r="I1675" s="170" t="s">
        <v>2842</v>
      </c>
      <c r="J1675" t="s">
        <v>2853</v>
      </c>
      <c r="K1675" s="188" t="s">
        <v>2853</v>
      </c>
    </row>
    <row r="1676" spans="1:11" x14ac:dyDescent="0.25">
      <c r="A1676" t="s">
        <v>6243</v>
      </c>
      <c r="B1676" s="27" t="s">
        <v>1716</v>
      </c>
      <c r="D1676" s="28" t="s">
        <v>1717</v>
      </c>
      <c r="E1676" s="29" t="s">
        <v>21</v>
      </c>
      <c r="F1676" s="30">
        <v>1</v>
      </c>
      <c r="G1676" s="31">
        <v>163.25</v>
      </c>
      <c r="H1676" s="31">
        <f t="shared" si="143"/>
        <v>163.25</v>
      </c>
      <c r="I1676" s="170" t="s">
        <v>2842</v>
      </c>
      <c r="J1676" t="s">
        <v>2853</v>
      </c>
      <c r="K1676" s="188" t="s">
        <v>2853</v>
      </c>
    </row>
    <row r="1677" spans="1:11" x14ac:dyDescent="0.25">
      <c r="A1677" t="s">
        <v>6244</v>
      </c>
      <c r="B1677" s="27" t="s">
        <v>1718</v>
      </c>
      <c r="D1677" s="28" t="s">
        <v>1719</v>
      </c>
      <c r="E1677" s="29" t="s">
        <v>21</v>
      </c>
      <c r="F1677" s="30">
        <v>1</v>
      </c>
      <c r="G1677" s="31">
        <v>180.97</v>
      </c>
      <c r="H1677" s="31">
        <f t="shared" si="143"/>
        <v>180.97</v>
      </c>
      <c r="I1677" s="170" t="s">
        <v>2842</v>
      </c>
      <c r="J1677" t="s">
        <v>2853</v>
      </c>
      <c r="K1677" s="188" t="s">
        <v>2853</v>
      </c>
    </row>
    <row r="1678" spans="1:11" x14ac:dyDescent="0.25">
      <c r="A1678" t="s">
        <v>6245</v>
      </c>
      <c r="B1678" s="27" t="s">
        <v>1720</v>
      </c>
      <c r="D1678" s="28" t="s">
        <v>1721</v>
      </c>
      <c r="E1678" s="29" t="s">
        <v>563</v>
      </c>
      <c r="F1678" s="30">
        <v>1</v>
      </c>
      <c r="G1678" s="31">
        <v>103.77</v>
      </c>
      <c r="H1678" s="31">
        <f t="shared" si="143"/>
        <v>103.77</v>
      </c>
      <c r="I1678" s="170" t="s">
        <v>2842</v>
      </c>
      <c r="J1678" t="s">
        <v>2853</v>
      </c>
      <c r="K1678" s="188" t="s">
        <v>2853</v>
      </c>
    </row>
    <row r="1679" spans="1:11" x14ac:dyDescent="0.25">
      <c r="A1679" t="s">
        <v>6246</v>
      </c>
      <c r="B1679" s="27" t="s">
        <v>1722</v>
      </c>
      <c r="D1679" s="28" t="s">
        <v>1723</v>
      </c>
      <c r="E1679" s="29" t="s">
        <v>563</v>
      </c>
      <c r="F1679" s="30">
        <v>1</v>
      </c>
      <c r="G1679" s="31">
        <v>125.3</v>
      </c>
      <c r="H1679" s="31">
        <f t="shared" si="143"/>
        <v>125.3</v>
      </c>
      <c r="I1679" s="170" t="s">
        <v>2842</v>
      </c>
      <c r="J1679" t="s">
        <v>2853</v>
      </c>
      <c r="K1679" s="188" t="s">
        <v>2853</v>
      </c>
    </row>
    <row r="1680" spans="1:11" x14ac:dyDescent="0.25">
      <c r="A1680" t="s">
        <v>6247</v>
      </c>
      <c r="B1680" s="27" t="s">
        <v>1724</v>
      </c>
      <c r="D1680" s="28" t="s">
        <v>1725</v>
      </c>
      <c r="E1680" s="29" t="s">
        <v>563</v>
      </c>
      <c r="F1680" s="30">
        <v>1</v>
      </c>
      <c r="G1680" s="31">
        <v>140.47</v>
      </c>
      <c r="H1680" s="31">
        <f t="shared" si="143"/>
        <v>140.47</v>
      </c>
      <c r="I1680" s="170" t="s">
        <v>2842</v>
      </c>
      <c r="J1680" t="s">
        <v>2853</v>
      </c>
      <c r="K1680" s="188" t="s">
        <v>2853</v>
      </c>
    </row>
    <row r="1681" spans="1:11" x14ac:dyDescent="0.25">
      <c r="A1681" t="s">
        <v>6248</v>
      </c>
      <c r="B1681" s="27" t="s">
        <v>1726</v>
      </c>
      <c r="D1681" s="28" t="s">
        <v>1727</v>
      </c>
      <c r="E1681" s="29" t="s">
        <v>563</v>
      </c>
      <c r="F1681" s="30">
        <v>1</v>
      </c>
      <c r="G1681" s="31">
        <v>158.19</v>
      </c>
      <c r="H1681" s="31">
        <f t="shared" si="143"/>
        <v>158.19</v>
      </c>
      <c r="I1681" s="170" t="s">
        <v>2842</v>
      </c>
      <c r="J1681" t="s">
        <v>2853</v>
      </c>
      <c r="K1681" s="188" t="s">
        <v>2853</v>
      </c>
    </row>
    <row r="1682" spans="1:11" x14ac:dyDescent="0.25">
      <c r="A1682" t="s">
        <v>6249</v>
      </c>
      <c r="B1682" s="27" t="s">
        <v>1728</v>
      </c>
      <c r="D1682" s="28" t="s">
        <v>1729</v>
      </c>
      <c r="E1682" s="29" t="s">
        <v>563</v>
      </c>
      <c r="F1682" s="30">
        <v>1</v>
      </c>
      <c r="G1682" s="31">
        <v>120.23</v>
      </c>
      <c r="H1682" s="31">
        <f t="shared" si="143"/>
        <v>120.23</v>
      </c>
      <c r="I1682" s="170" t="s">
        <v>2842</v>
      </c>
      <c r="J1682" t="s">
        <v>2853</v>
      </c>
      <c r="K1682" s="188" t="s">
        <v>2853</v>
      </c>
    </row>
    <row r="1683" spans="1:11" x14ac:dyDescent="0.25">
      <c r="A1683" t="s">
        <v>6250</v>
      </c>
      <c r="B1683" s="27" t="s">
        <v>1730</v>
      </c>
      <c r="D1683" s="28" t="s">
        <v>1731</v>
      </c>
      <c r="E1683" s="29" t="s">
        <v>563</v>
      </c>
      <c r="F1683" s="30">
        <v>1</v>
      </c>
      <c r="G1683" s="31">
        <v>145.53</v>
      </c>
      <c r="H1683" s="31">
        <f t="shared" si="143"/>
        <v>145.53</v>
      </c>
      <c r="I1683" s="170" t="s">
        <v>2842</v>
      </c>
      <c r="J1683" t="s">
        <v>2853</v>
      </c>
      <c r="K1683" s="188" t="s">
        <v>2853</v>
      </c>
    </row>
    <row r="1684" spans="1:11" x14ac:dyDescent="0.25">
      <c r="A1684" t="s">
        <v>6251</v>
      </c>
      <c r="B1684" s="27" t="s">
        <v>1732</v>
      </c>
      <c r="D1684" s="28" t="s">
        <v>1733</v>
      </c>
      <c r="E1684" s="29" t="s">
        <v>563</v>
      </c>
      <c r="F1684" s="30">
        <v>1</v>
      </c>
      <c r="G1684" s="31">
        <v>163.25</v>
      </c>
      <c r="H1684" s="31">
        <f t="shared" si="143"/>
        <v>163.25</v>
      </c>
      <c r="I1684" s="170" t="s">
        <v>2842</v>
      </c>
      <c r="J1684" t="s">
        <v>2853</v>
      </c>
      <c r="K1684" s="188" t="s">
        <v>2853</v>
      </c>
    </row>
    <row r="1685" spans="1:11" x14ac:dyDescent="0.25">
      <c r="A1685" t="s">
        <v>6252</v>
      </c>
      <c r="B1685" s="27" t="s">
        <v>1734</v>
      </c>
      <c r="D1685" s="28" t="s">
        <v>1735</v>
      </c>
      <c r="E1685" s="29" t="s">
        <v>563</v>
      </c>
      <c r="F1685" s="30">
        <v>1</v>
      </c>
      <c r="G1685" s="31">
        <v>180.97</v>
      </c>
      <c r="H1685" s="31">
        <f t="shared" si="143"/>
        <v>180.97</v>
      </c>
      <c r="I1685" s="170" t="s">
        <v>2842</v>
      </c>
      <c r="J1685" t="s">
        <v>2853</v>
      </c>
      <c r="K1685" s="188" t="s">
        <v>2853</v>
      </c>
    </row>
    <row r="1686" spans="1:11" x14ac:dyDescent="0.25">
      <c r="A1686" t="s">
        <v>6253</v>
      </c>
      <c r="B1686" s="27" t="s">
        <v>1736</v>
      </c>
      <c r="D1686" s="28" t="s">
        <v>1737</v>
      </c>
      <c r="E1686" s="29" t="s">
        <v>671</v>
      </c>
      <c r="F1686" s="30">
        <v>1</v>
      </c>
      <c r="G1686" s="31">
        <v>103.77</v>
      </c>
      <c r="H1686" s="31">
        <f t="shared" si="143"/>
        <v>103.77</v>
      </c>
      <c r="I1686" s="170" t="s">
        <v>2842</v>
      </c>
      <c r="J1686" t="s">
        <v>2853</v>
      </c>
      <c r="K1686" s="188" t="s">
        <v>2853</v>
      </c>
    </row>
    <row r="1687" spans="1:11" x14ac:dyDescent="0.25">
      <c r="A1687" t="s">
        <v>6254</v>
      </c>
      <c r="B1687" s="27" t="s">
        <v>1738</v>
      </c>
      <c r="D1687" s="28" t="s">
        <v>1739</v>
      </c>
      <c r="E1687" s="29" t="s">
        <v>671</v>
      </c>
      <c r="F1687" s="30">
        <v>1</v>
      </c>
      <c r="G1687" s="31">
        <v>125.3</v>
      </c>
      <c r="H1687" s="31">
        <f t="shared" si="143"/>
        <v>125.3</v>
      </c>
      <c r="I1687" s="170" t="s">
        <v>2842</v>
      </c>
      <c r="J1687" t="s">
        <v>2853</v>
      </c>
      <c r="K1687" s="188" t="s">
        <v>2853</v>
      </c>
    </row>
    <row r="1688" spans="1:11" x14ac:dyDescent="0.25">
      <c r="A1688" t="s">
        <v>6255</v>
      </c>
      <c r="B1688" s="27" t="s">
        <v>1740</v>
      </c>
      <c r="D1688" s="28" t="s">
        <v>1741</v>
      </c>
      <c r="E1688" s="29" t="s">
        <v>671</v>
      </c>
      <c r="F1688" s="30">
        <v>1</v>
      </c>
      <c r="G1688" s="31">
        <v>140.47</v>
      </c>
      <c r="H1688" s="31">
        <f t="shared" si="143"/>
        <v>140.47</v>
      </c>
      <c r="I1688" s="170" t="s">
        <v>2842</v>
      </c>
      <c r="J1688" t="s">
        <v>2853</v>
      </c>
      <c r="K1688" s="188" t="s">
        <v>2853</v>
      </c>
    </row>
    <row r="1689" spans="1:11" x14ac:dyDescent="0.25">
      <c r="A1689" t="s">
        <v>6256</v>
      </c>
      <c r="B1689" s="27" t="s">
        <v>1742</v>
      </c>
      <c r="D1689" s="28" t="s">
        <v>1743</v>
      </c>
      <c r="E1689" s="29" t="s">
        <v>671</v>
      </c>
      <c r="F1689" s="30">
        <v>1</v>
      </c>
      <c r="G1689" s="31">
        <v>158.19</v>
      </c>
      <c r="H1689" s="31">
        <f t="shared" si="143"/>
        <v>158.19</v>
      </c>
      <c r="I1689" s="170" t="s">
        <v>2842</v>
      </c>
      <c r="J1689" t="s">
        <v>2853</v>
      </c>
      <c r="K1689" s="188" t="s">
        <v>2853</v>
      </c>
    </row>
    <row r="1690" spans="1:11" x14ac:dyDescent="0.25">
      <c r="A1690" t="s">
        <v>6257</v>
      </c>
      <c r="B1690" s="27" t="s">
        <v>1744</v>
      </c>
      <c r="D1690" s="28" t="s">
        <v>1745</v>
      </c>
      <c r="E1690" s="29" t="s">
        <v>671</v>
      </c>
      <c r="F1690" s="30">
        <v>1</v>
      </c>
      <c r="G1690" s="31">
        <v>120.23</v>
      </c>
      <c r="H1690" s="31">
        <f t="shared" si="143"/>
        <v>120.23</v>
      </c>
      <c r="I1690" s="170" t="s">
        <v>2842</v>
      </c>
      <c r="J1690" t="s">
        <v>2853</v>
      </c>
      <c r="K1690" s="188" t="s">
        <v>2853</v>
      </c>
    </row>
    <row r="1691" spans="1:11" x14ac:dyDescent="0.25">
      <c r="A1691" t="s">
        <v>6258</v>
      </c>
      <c r="B1691" s="27" t="s">
        <v>1746</v>
      </c>
      <c r="D1691" s="28" t="s">
        <v>1747</v>
      </c>
      <c r="E1691" s="29" t="s">
        <v>671</v>
      </c>
      <c r="F1691" s="30">
        <v>1</v>
      </c>
      <c r="G1691" s="31">
        <v>145.53</v>
      </c>
      <c r="H1691" s="31">
        <f t="shared" si="143"/>
        <v>145.53</v>
      </c>
      <c r="I1691" s="170" t="s">
        <v>2842</v>
      </c>
      <c r="J1691" t="s">
        <v>2853</v>
      </c>
      <c r="K1691" s="188" t="s">
        <v>2853</v>
      </c>
    </row>
    <row r="1692" spans="1:11" x14ac:dyDescent="0.25">
      <c r="A1692" t="s">
        <v>6259</v>
      </c>
      <c r="B1692" s="27" t="s">
        <v>1748</v>
      </c>
      <c r="D1692" s="28" t="s">
        <v>1749</v>
      </c>
      <c r="E1692" s="29" t="s">
        <v>671</v>
      </c>
      <c r="F1692" s="30">
        <v>1</v>
      </c>
      <c r="G1692" s="31">
        <v>163.25</v>
      </c>
      <c r="H1692" s="31">
        <f t="shared" si="143"/>
        <v>163.25</v>
      </c>
      <c r="I1692" s="170" t="s">
        <v>2842</v>
      </c>
      <c r="J1692" t="s">
        <v>2853</v>
      </c>
      <c r="K1692" s="188" t="s">
        <v>2853</v>
      </c>
    </row>
    <row r="1693" spans="1:11" x14ac:dyDescent="0.25">
      <c r="A1693" t="s">
        <v>6260</v>
      </c>
      <c r="B1693" s="27" t="s">
        <v>1750</v>
      </c>
      <c r="D1693" s="28" t="s">
        <v>1751</v>
      </c>
      <c r="E1693" s="29" t="s">
        <v>671</v>
      </c>
      <c r="F1693" s="30">
        <v>1</v>
      </c>
      <c r="G1693" s="31">
        <v>180.97</v>
      </c>
      <c r="H1693" s="31">
        <f t="shared" si="143"/>
        <v>180.97</v>
      </c>
      <c r="I1693" s="170" t="s">
        <v>2842</v>
      </c>
      <c r="J1693" t="s">
        <v>2853</v>
      </c>
      <c r="K1693" s="188" t="s">
        <v>2853</v>
      </c>
    </row>
    <row r="1694" spans="1:11" x14ac:dyDescent="0.25">
      <c r="A1694" t="s">
        <v>6261</v>
      </c>
      <c r="B1694" s="27" t="s">
        <v>1752</v>
      </c>
      <c r="D1694" s="28" t="s">
        <v>1753</v>
      </c>
      <c r="E1694" s="29" t="s">
        <v>21</v>
      </c>
      <c r="F1694" s="30">
        <v>1</v>
      </c>
      <c r="G1694" s="31">
        <v>103.77</v>
      </c>
      <c r="H1694" s="31">
        <f t="shared" si="143"/>
        <v>103.77</v>
      </c>
      <c r="I1694" s="170" t="s">
        <v>2842</v>
      </c>
      <c r="J1694" t="s">
        <v>2853</v>
      </c>
      <c r="K1694" s="188" t="s">
        <v>2853</v>
      </c>
    </row>
    <row r="1695" spans="1:11" x14ac:dyDescent="0.25">
      <c r="A1695" t="s">
        <v>6262</v>
      </c>
      <c r="B1695" s="27" t="s">
        <v>1754</v>
      </c>
      <c r="D1695" s="28" t="s">
        <v>1755</v>
      </c>
      <c r="E1695" s="29" t="s">
        <v>21</v>
      </c>
      <c r="F1695" s="30">
        <v>1</v>
      </c>
      <c r="G1695" s="31">
        <v>125.3</v>
      </c>
      <c r="H1695" s="31">
        <f t="shared" si="143"/>
        <v>125.3</v>
      </c>
      <c r="I1695" s="170" t="s">
        <v>2842</v>
      </c>
      <c r="J1695" t="s">
        <v>2853</v>
      </c>
      <c r="K1695" s="188" t="s">
        <v>2853</v>
      </c>
    </row>
    <row r="1696" spans="1:11" x14ac:dyDescent="0.25">
      <c r="A1696" t="s">
        <v>6263</v>
      </c>
      <c r="B1696" s="27" t="s">
        <v>1756</v>
      </c>
      <c r="D1696" s="28" t="s">
        <v>1757</v>
      </c>
      <c r="E1696" s="29" t="s">
        <v>21</v>
      </c>
      <c r="F1696" s="30">
        <v>1</v>
      </c>
      <c r="G1696" s="31">
        <v>140.47</v>
      </c>
      <c r="H1696" s="31">
        <f t="shared" si="143"/>
        <v>140.47</v>
      </c>
      <c r="I1696" s="170" t="s">
        <v>2842</v>
      </c>
      <c r="J1696" t="s">
        <v>2853</v>
      </c>
      <c r="K1696" s="188" t="s">
        <v>2853</v>
      </c>
    </row>
    <row r="1697" spans="1:11" x14ac:dyDescent="0.25">
      <c r="A1697" t="s">
        <v>6264</v>
      </c>
      <c r="B1697" s="27" t="s">
        <v>1758</v>
      </c>
      <c r="D1697" s="28" t="s">
        <v>1759</v>
      </c>
      <c r="E1697" s="29" t="s">
        <v>21</v>
      </c>
      <c r="F1697" s="30">
        <v>1</v>
      </c>
      <c r="G1697" s="31">
        <v>158.19</v>
      </c>
      <c r="H1697" s="31">
        <f t="shared" si="143"/>
        <v>158.19</v>
      </c>
      <c r="I1697" s="170" t="s">
        <v>2842</v>
      </c>
      <c r="J1697" t="s">
        <v>2853</v>
      </c>
      <c r="K1697" s="188" t="s">
        <v>2853</v>
      </c>
    </row>
    <row r="1698" spans="1:11" x14ac:dyDescent="0.25">
      <c r="A1698" t="s">
        <v>6265</v>
      </c>
      <c r="B1698" s="27" t="s">
        <v>1760</v>
      </c>
      <c r="D1698" s="28" t="s">
        <v>1761</v>
      </c>
      <c r="E1698" s="29" t="s">
        <v>21</v>
      </c>
      <c r="F1698" s="30">
        <v>1</v>
      </c>
      <c r="G1698" s="31">
        <v>120.23</v>
      </c>
      <c r="H1698" s="31">
        <f t="shared" si="143"/>
        <v>120.23</v>
      </c>
      <c r="I1698" s="170" t="s">
        <v>2842</v>
      </c>
      <c r="J1698" t="s">
        <v>2853</v>
      </c>
      <c r="K1698" s="188" t="s">
        <v>2853</v>
      </c>
    </row>
    <row r="1699" spans="1:11" x14ac:dyDescent="0.25">
      <c r="A1699" t="s">
        <v>6266</v>
      </c>
      <c r="B1699" s="27" t="s">
        <v>1762</v>
      </c>
      <c r="D1699" s="28" t="s">
        <v>1763</v>
      </c>
      <c r="E1699" s="29" t="s">
        <v>21</v>
      </c>
      <c r="F1699" s="30">
        <v>1</v>
      </c>
      <c r="G1699" s="31">
        <v>145.53</v>
      </c>
      <c r="H1699" s="31">
        <f t="shared" si="143"/>
        <v>145.53</v>
      </c>
      <c r="I1699" s="170" t="s">
        <v>2842</v>
      </c>
      <c r="J1699" t="s">
        <v>2853</v>
      </c>
      <c r="K1699" s="188" t="s">
        <v>2853</v>
      </c>
    </row>
    <row r="1700" spans="1:11" x14ac:dyDescent="0.25">
      <c r="A1700" t="s">
        <v>6267</v>
      </c>
      <c r="B1700" s="27" t="s">
        <v>1764</v>
      </c>
      <c r="D1700" s="28" t="s">
        <v>1765</v>
      </c>
      <c r="E1700" s="29" t="s">
        <v>21</v>
      </c>
      <c r="F1700" s="30">
        <v>1</v>
      </c>
      <c r="G1700" s="31">
        <v>163.25</v>
      </c>
      <c r="H1700" s="31">
        <f t="shared" si="143"/>
        <v>163.25</v>
      </c>
      <c r="I1700" s="170" t="s">
        <v>2842</v>
      </c>
      <c r="J1700" t="s">
        <v>2853</v>
      </c>
      <c r="K1700" s="188" t="s">
        <v>2853</v>
      </c>
    </row>
    <row r="1701" spans="1:11" x14ac:dyDescent="0.25">
      <c r="A1701" t="s">
        <v>6268</v>
      </c>
      <c r="B1701" s="27" t="s">
        <v>1766</v>
      </c>
      <c r="D1701" s="28" t="s">
        <v>1767</v>
      </c>
      <c r="E1701" s="29" t="s">
        <v>21</v>
      </c>
      <c r="F1701" s="30">
        <v>1</v>
      </c>
      <c r="G1701" s="31">
        <v>180.97</v>
      </c>
      <c r="H1701" s="31">
        <f t="shared" si="143"/>
        <v>180.97</v>
      </c>
      <c r="I1701" s="170" t="s">
        <v>2842</v>
      </c>
      <c r="J1701" t="s">
        <v>2853</v>
      </c>
      <c r="K1701" s="188" t="s">
        <v>2853</v>
      </c>
    </row>
    <row r="1702" spans="1:11" x14ac:dyDescent="0.25">
      <c r="A1702" t="s">
        <v>6269</v>
      </c>
      <c r="B1702" s="27" t="s">
        <v>1768</v>
      </c>
      <c r="D1702" s="28" t="s">
        <v>1769</v>
      </c>
      <c r="E1702" s="29" t="s">
        <v>563</v>
      </c>
      <c r="F1702" s="30">
        <v>1</v>
      </c>
      <c r="G1702" s="31">
        <v>103.77</v>
      </c>
      <c r="H1702" s="31">
        <f t="shared" si="143"/>
        <v>103.77</v>
      </c>
      <c r="I1702" s="170" t="s">
        <v>2842</v>
      </c>
      <c r="J1702" t="s">
        <v>2853</v>
      </c>
      <c r="K1702" s="188" t="s">
        <v>2853</v>
      </c>
    </row>
    <row r="1703" spans="1:11" x14ac:dyDescent="0.25">
      <c r="A1703" t="s">
        <v>6270</v>
      </c>
      <c r="B1703" s="27" t="s">
        <v>1770</v>
      </c>
      <c r="D1703" s="28" t="s">
        <v>1771</v>
      </c>
      <c r="E1703" s="29" t="s">
        <v>563</v>
      </c>
      <c r="F1703" s="30">
        <v>1</v>
      </c>
      <c r="G1703" s="31">
        <v>125.3</v>
      </c>
      <c r="H1703" s="31">
        <f t="shared" si="143"/>
        <v>125.3</v>
      </c>
      <c r="I1703" s="170" t="s">
        <v>2842</v>
      </c>
      <c r="J1703" t="s">
        <v>2853</v>
      </c>
      <c r="K1703" s="188" t="s">
        <v>2853</v>
      </c>
    </row>
    <row r="1704" spans="1:11" x14ac:dyDescent="0.25">
      <c r="A1704" t="s">
        <v>6271</v>
      </c>
      <c r="B1704" s="27" t="s">
        <v>1772</v>
      </c>
      <c r="D1704" s="28" t="s">
        <v>1773</v>
      </c>
      <c r="E1704" s="29" t="s">
        <v>563</v>
      </c>
      <c r="F1704" s="30">
        <v>1</v>
      </c>
      <c r="G1704" s="31">
        <v>140.47</v>
      </c>
      <c r="H1704" s="31">
        <f t="shared" si="143"/>
        <v>140.47</v>
      </c>
      <c r="I1704" s="170" t="s">
        <v>2842</v>
      </c>
      <c r="J1704" t="s">
        <v>2853</v>
      </c>
      <c r="K1704" s="188" t="s">
        <v>2853</v>
      </c>
    </row>
    <row r="1705" spans="1:11" x14ac:dyDescent="0.25">
      <c r="A1705" t="s">
        <v>6272</v>
      </c>
      <c r="B1705" s="27" t="s">
        <v>1774</v>
      </c>
      <c r="D1705" s="28" t="s">
        <v>1775</v>
      </c>
      <c r="E1705" s="29" t="s">
        <v>563</v>
      </c>
      <c r="F1705" s="30">
        <v>1</v>
      </c>
      <c r="G1705" s="31">
        <v>158.19</v>
      </c>
      <c r="H1705" s="31">
        <f t="shared" si="143"/>
        <v>158.19</v>
      </c>
      <c r="I1705" s="170" t="s">
        <v>2842</v>
      </c>
      <c r="J1705" t="s">
        <v>2853</v>
      </c>
      <c r="K1705" s="188" t="s">
        <v>2853</v>
      </c>
    </row>
    <row r="1706" spans="1:11" x14ac:dyDescent="0.25">
      <c r="A1706" t="s">
        <v>6273</v>
      </c>
      <c r="B1706" s="27" t="s">
        <v>1776</v>
      </c>
      <c r="D1706" s="28" t="s">
        <v>1777</v>
      </c>
      <c r="E1706" s="29" t="s">
        <v>563</v>
      </c>
      <c r="F1706" s="30">
        <v>1</v>
      </c>
      <c r="G1706" s="31">
        <v>120.23</v>
      </c>
      <c r="H1706" s="31">
        <f t="shared" si="143"/>
        <v>120.23</v>
      </c>
      <c r="I1706" s="170" t="s">
        <v>2842</v>
      </c>
      <c r="J1706" t="s">
        <v>2853</v>
      </c>
      <c r="K1706" s="188" t="s">
        <v>2853</v>
      </c>
    </row>
    <row r="1707" spans="1:11" x14ac:dyDescent="0.25">
      <c r="A1707" t="s">
        <v>6274</v>
      </c>
      <c r="B1707" s="27" t="s">
        <v>1778</v>
      </c>
      <c r="D1707" s="28" t="s">
        <v>1779</v>
      </c>
      <c r="E1707" s="29" t="s">
        <v>563</v>
      </c>
      <c r="F1707" s="30">
        <v>1</v>
      </c>
      <c r="G1707" s="31">
        <v>145.53</v>
      </c>
      <c r="H1707" s="31">
        <f t="shared" si="143"/>
        <v>145.53</v>
      </c>
      <c r="I1707" s="170" t="s">
        <v>2842</v>
      </c>
      <c r="J1707" t="s">
        <v>2853</v>
      </c>
      <c r="K1707" s="188" t="s">
        <v>2853</v>
      </c>
    </row>
    <row r="1708" spans="1:11" x14ac:dyDescent="0.25">
      <c r="A1708" t="s">
        <v>6275</v>
      </c>
      <c r="B1708" s="27" t="s">
        <v>1780</v>
      </c>
      <c r="D1708" s="28" t="s">
        <v>1781</v>
      </c>
      <c r="E1708" s="29" t="s">
        <v>563</v>
      </c>
      <c r="F1708" s="30">
        <v>1</v>
      </c>
      <c r="G1708" s="31">
        <v>163.25</v>
      </c>
      <c r="H1708" s="31">
        <f t="shared" si="143"/>
        <v>163.25</v>
      </c>
      <c r="I1708" s="170" t="s">
        <v>2842</v>
      </c>
      <c r="J1708" t="s">
        <v>2853</v>
      </c>
      <c r="K1708" s="188" t="s">
        <v>2853</v>
      </c>
    </row>
    <row r="1709" spans="1:11" x14ac:dyDescent="0.25">
      <c r="A1709" t="s">
        <v>6276</v>
      </c>
      <c r="B1709" s="27" t="s">
        <v>1782</v>
      </c>
      <c r="D1709" s="28" t="s">
        <v>1783</v>
      </c>
      <c r="E1709" s="29" t="s">
        <v>563</v>
      </c>
      <c r="F1709" s="30">
        <v>1</v>
      </c>
      <c r="G1709" s="31">
        <v>180.97</v>
      </c>
      <c r="H1709" s="31">
        <f t="shared" si="143"/>
        <v>180.97</v>
      </c>
      <c r="I1709" s="170" t="s">
        <v>2842</v>
      </c>
      <c r="J1709" t="s">
        <v>2853</v>
      </c>
      <c r="K1709" s="188" t="s">
        <v>2853</v>
      </c>
    </row>
    <row r="1710" spans="1:11" x14ac:dyDescent="0.25">
      <c r="A1710" t="s">
        <v>6277</v>
      </c>
      <c r="B1710" s="27" t="s">
        <v>1784</v>
      </c>
      <c r="D1710" s="28" t="s">
        <v>1785</v>
      </c>
      <c r="E1710" s="29" t="s">
        <v>671</v>
      </c>
      <c r="F1710" s="30">
        <v>1</v>
      </c>
      <c r="G1710" s="31">
        <v>103.77</v>
      </c>
      <c r="H1710" s="31">
        <f t="shared" si="143"/>
        <v>103.77</v>
      </c>
      <c r="I1710" s="170" t="s">
        <v>2842</v>
      </c>
      <c r="J1710" t="s">
        <v>2853</v>
      </c>
      <c r="K1710" s="188" t="s">
        <v>2853</v>
      </c>
    </row>
    <row r="1711" spans="1:11" x14ac:dyDescent="0.25">
      <c r="A1711" t="s">
        <v>6278</v>
      </c>
      <c r="B1711" s="27" t="s">
        <v>1786</v>
      </c>
      <c r="D1711" s="28" t="s">
        <v>1787</v>
      </c>
      <c r="E1711" s="29" t="s">
        <v>671</v>
      </c>
      <c r="F1711" s="30">
        <v>1</v>
      </c>
      <c r="G1711" s="31">
        <v>125.3</v>
      </c>
      <c r="H1711" s="31">
        <f t="shared" si="143"/>
        <v>125.3</v>
      </c>
      <c r="I1711" s="170" t="s">
        <v>2842</v>
      </c>
      <c r="J1711" t="s">
        <v>2853</v>
      </c>
      <c r="K1711" s="188" t="s">
        <v>2853</v>
      </c>
    </row>
    <row r="1712" spans="1:11" x14ac:dyDescent="0.25">
      <c r="A1712" t="s">
        <v>6279</v>
      </c>
      <c r="B1712" s="27" t="s">
        <v>1788</v>
      </c>
      <c r="D1712" s="28" t="s">
        <v>1789</v>
      </c>
      <c r="E1712" s="29" t="s">
        <v>671</v>
      </c>
      <c r="F1712" s="30">
        <v>1</v>
      </c>
      <c r="G1712" s="31">
        <v>140.47</v>
      </c>
      <c r="H1712" s="31">
        <f t="shared" si="143"/>
        <v>140.47</v>
      </c>
      <c r="I1712" s="170" t="s">
        <v>2842</v>
      </c>
      <c r="J1712" t="s">
        <v>2853</v>
      </c>
      <c r="K1712" s="188" t="s">
        <v>2853</v>
      </c>
    </row>
    <row r="1713" spans="1:11" x14ac:dyDescent="0.25">
      <c r="A1713" t="s">
        <v>6280</v>
      </c>
      <c r="B1713" s="27" t="s">
        <v>1790</v>
      </c>
      <c r="D1713" s="28" t="s">
        <v>1791</v>
      </c>
      <c r="E1713" s="29" t="s">
        <v>671</v>
      </c>
      <c r="F1713" s="30">
        <v>1</v>
      </c>
      <c r="G1713" s="31">
        <v>158.19</v>
      </c>
      <c r="H1713" s="31">
        <f t="shared" si="143"/>
        <v>158.19</v>
      </c>
      <c r="I1713" s="170" t="s">
        <v>2842</v>
      </c>
      <c r="J1713" t="s">
        <v>2853</v>
      </c>
      <c r="K1713" s="188" t="s">
        <v>2853</v>
      </c>
    </row>
    <row r="1714" spans="1:11" x14ac:dyDescent="0.25">
      <c r="A1714" t="s">
        <v>6281</v>
      </c>
      <c r="B1714" s="27" t="s">
        <v>1792</v>
      </c>
      <c r="D1714" s="28" t="s">
        <v>1793</v>
      </c>
      <c r="E1714" s="29" t="s">
        <v>671</v>
      </c>
      <c r="F1714" s="30">
        <v>1</v>
      </c>
      <c r="G1714" s="31">
        <v>120.23</v>
      </c>
      <c r="H1714" s="31">
        <f t="shared" si="143"/>
        <v>120.23</v>
      </c>
      <c r="I1714" s="170" t="s">
        <v>2842</v>
      </c>
      <c r="J1714" t="s">
        <v>2853</v>
      </c>
      <c r="K1714" s="188" t="s">
        <v>2853</v>
      </c>
    </row>
    <row r="1715" spans="1:11" x14ac:dyDescent="0.25">
      <c r="A1715" t="s">
        <v>6282</v>
      </c>
      <c r="B1715" s="27" t="s">
        <v>1794</v>
      </c>
      <c r="D1715" s="28" t="s">
        <v>1795</v>
      </c>
      <c r="E1715" s="29" t="s">
        <v>671</v>
      </c>
      <c r="F1715" s="30">
        <v>1</v>
      </c>
      <c r="G1715" s="31">
        <v>145.53</v>
      </c>
      <c r="H1715" s="31">
        <f t="shared" si="143"/>
        <v>145.53</v>
      </c>
      <c r="I1715" s="170" t="s">
        <v>2842</v>
      </c>
      <c r="J1715" t="s">
        <v>2853</v>
      </c>
      <c r="K1715" s="188" t="s">
        <v>2853</v>
      </c>
    </row>
    <row r="1716" spans="1:11" x14ac:dyDescent="0.25">
      <c r="A1716" t="s">
        <v>6283</v>
      </c>
      <c r="B1716" s="27" t="s">
        <v>1796</v>
      </c>
      <c r="D1716" s="28" t="s">
        <v>1797</v>
      </c>
      <c r="E1716" s="29" t="s">
        <v>671</v>
      </c>
      <c r="F1716" s="30">
        <v>1</v>
      </c>
      <c r="G1716" s="31">
        <v>163.25</v>
      </c>
      <c r="H1716" s="31">
        <f t="shared" si="143"/>
        <v>163.25</v>
      </c>
      <c r="I1716" s="170" t="s">
        <v>2842</v>
      </c>
      <c r="J1716" t="s">
        <v>2853</v>
      </c>
      <c r="K1716" s="188" t="s">
        <v>2853</v>
      </c>
    </row>
    <row r="1717" spans="1:11" x14ac:dyDescent="0.25">
      <c r="A1717" t="s">
        <v>6284</v>
      </c>
      <c r="B1717" s="27" t="s">
        <v>1798</v>
      </c>
      <c r="D1717" s="28" t="s">
        <v>1799</v>
      </c>
      <c r="E1717" s="29" t="s">
        <v>671</v>
      </c>
      <c r="F1717" s="30">
        <v>1</v>
      </c>
      <c r="G1717" s="31">
        <v>180.97</v>
      </c>
      <c r="H1717" s="31">
        <f t="shared" si="143"/>
        <v>180.97</v>
      </c>
      <c r="I1717" s="170" t="s">
        <v>2842</v>
      </c>
      <c r="J1717" t="s">
        <v>2853</v>
      </c>
      <c r="K1717" s="188" t="s">
        <v>2853</v>
      </c>
    </row>
    <row r="1718" spans="1:11" x14ac:dyDescent="0.25">
      <c r="A1718" t="s">
        <v>6285</v>
      </c>
      <c r="B1718" s="27" t="s">
        <v>1800</v>
      </c>
      <c r="D1718" s="28" t="s">
        <v>1801</v>
      </c>
      <c r="E1718" s="29" t="s">
        <v>21</v>
      </c>
      <c r="F1718" s="30">
        <v>1</v>
      </c>
      <c r="G1718" s="31">
        <v>11.69</v>
      </c>
      <c r="H1718" s="31">
        <f t="shared" si="143"/>
        <v>11.69</v>
      </c>
      <c r="I1718" s="170" t="s">
        <v>2842</v>
      </c>
      <c r="J1718" t="s">
        <v>2853</v>
      </c>
      <c r="K1718" s="188" t="s">
        <v>2853</v>
      </c>
    </row>
    <row r="1719" spans="1:11" x14ac:dyDescent="0.25">
      <c r="A1719" t="s">
        <v>6286</v>
      </c>
      <c r="B1719" s="27" t="s">
        <v>1802</v>
      </c>
      <c r="D1719" s="28" t="s">
        <v>1803</v>
      </c>
      <c r="E1719" s="29" t="s">
        <v>563</v>
      </c>
      <c r="F1719" s="30">
        <v>1</v>
      </c>
      <c r="G1719" s="31">
        <v>11.69</v>
      </c>
      <c r="H1719" s="31">
        <f t="shared" si="143"/>
        <v>11.69</v>
      </c>
      <c r="I1719" s="170" t="s">
        <v>2842</v>
      </c>
      <c r="J1719" t="s">
        <v>2853</v>
      </c>
      <c r="K1719" s="188" t="s">
        <v>2853</v>
      </c>
    </row>
    <row r="1720" spans="1:11" x14ac:dyDescent="0.25">
      <c r="A1720" t="s">
        <v>6287</v>
      </c>
      <c r="B1720" s="27" t="s">
        <v>1804</v>
      </c>
      <c r="D1720" s="28" t="s">
        <v>1805</v>
      </c>
      <c r="E1720" s="29" t="s">
        <v>671</v>
      </c>
      <c r="F1720" s="30">
        <v>1</v>
      </c>
      <c r="G1720" s="31">
        <v>11.69</v>
      </c>
      <c r="H1720" s="31">
        <f t="shared" si="143"/>
        <v>11.69</v>
      </c>
      <c r="I1720" s="170" t="s">
        <v>2842</v>
      </c>
      <c r="J1720" t="s">
        <v>2853</v>
      </c>
      <c r="K1720" s="188" t="s">
        <v>2853</v>
      </c>
    </row>
    <row r="1721" spans="1:11" x14ac:dyDescent="0.25">
      <c r="A1721" t="s">
        <v>6288</v>
      </c>
      <c r="B1721" s="27" t="s">
        <v>1806</v>
      </c>
      <c r="D1721" s="28" t="s">
        <v>1807</v>
      </c>
      <c r="E1721" s="29" t="s">
        <v>21</v>
      </c>
      <c r="F1721" s="30">
        <v>1</v>
      </c>
      <c r="G1721" s="31">
        <v>13.42</v>
      </c>
      <c r="H1721" s="31">
        <f t="shared" si="143"/>
        <v>13.42</v>
      </c>
      <c r="J1721" t="s">
        <v>2853</v>
      </c>
      <c r="K1721" s="188" t="s">
        <v>2853</v>
      </c>
    </row>
    <row r="1722" spans="1:11" x14ac:dyDescent="0.25">
      <c r="A1722" t="s">
        <v>6289</v>
      </c>
      <c r="B1722" s="27" t="s">
        <v>1808</v>
      </c>
      <c r="D1722" s="28" t="s">
        <v>1809</v>
      </c>
      <c r="E1722" s="29" t="s">
        <v>563</v>
      </c>
      <c r="F1722" s="30">
        <v>1</v>
      </c>
      <c r="G1722" s="31">
        <v>13.42</v>
      </c>
      <c r="H1722" s="31">
        <f t="shared" si="143"/>
        <v>13.42</v>
      </c>
      <c r="J1722" t="s">
        <v>2853</v>
      </c>
      <c r="K1722" s="188" t="s">
        <v>2853</v>
      </c>
    </row>
    <row r="1723" spans="1:11" x14ac:dyDescent="0.25">
      <c r="A1723" t="s">
        <v>6290</v>
      </c>
      <c r="B1723" s="27" t="s">
        <v>1810</v>
      </c>
      <c r="D1723" s="28" t="s">
        <v>1811</v>
      </c>
      <c r="E1723" s="29" t="s">
        <v>671</v>
      </c>
      <c r="F1723" s="30">
        <v>1</v>
      </c>
      <c r="G1723" s="31">
        <v>13.42</v>
      </c>
      <c r="H1723" s="31">
        <f t="shared" si="143"/>
        <v>13.42</v>
      </c>
      <c r="J1723" t="s">
        <v>2853</v>
      </c>
      <c r="K1723" s="188" t="s">
        <v>2853</v>
      </c>
    </row>
    <row r="1724" spans="1:11" x14ac:dyDescent="0.25">
      <c r="A1724" t="s">
        <v>6291</v>
      </c>
      <c r="B1724" s="27" t="s">
        <v>1812</v>
      </c>
      <c r="D1724" s="28" t="s">
        <v>1813</v>
      </c>
      <c r="E1724" s="29" t="s">
        <v>21</v>
      </c>
      <c r="F1724" s="30">
        <v>1</v>
      </c>
      <c r="G1724" s="31">
        <v>15.79</v>
      </c>
      <c r="H1724" s="31">
        <f t="shared" si="143"/>
        <v>15.79</v>
      </c>
      <c r="I1724" s="170" t="s">
        <v>2842</v>
      </c>
      <c r="J1724" t="s">
        <v>2853</v>
      </c>
      <c r="K1724" s="188" t="s">
        <v>2853</v>
      </c>
    </row>
    <row r="1725" spans="1:11" x14ac:dyDescent="0.25">
      <c r="A1725" t="s">
        <v>6292</v>
      </c>
      <c r="B1725" s="27" t="s">
        <v>1814</v>
      </c>
      <c r="D1725" s="28" t="s">
        <v>1815</v>
      </c>
      <c r="E1725" s="29" t="s">
        <v>563</v>
      </c>
      <c r="F1725" s="30">
        <v>1</v>
      </c>
      <c r="G1725" s="31">
        <v>15.79</v>
      </c>
      <c r="H1725" s="31">
        <f t="shared" si="143"/>
        <v>15.79</v>
      </c>
      <c r="I1725" s="170" t="s">
        <v>2842</v>
      </c>
      <c r="J1725" t="s">
        <v>2853</v>
      </c>
      <c r="K1725" s="188" t="s">
        <v>2853</v>
      </c>
    </row>
    <row r="1726" spans="1:11" x14ac:dyDescent="0.25">
      <c r="A1726" t="s">
        <v>6293</v>
      </c>
      <c r="B1726" s="27" t="s">
        <v>1816</v>
      </c>
      <c r="D1726" s="28" t="s">
        <v>1817</v>
      </c>
      <c r="E1726" s="29" t="s">
        <v>671</v>
      </c>
      <c r="F1726" s="30">
        <v>1</v>
      </c>
      <c r="G1726" s="31">
        <v>15.79</v>
      </c>
      <c r="H1726" s="31">
        <f t="shared" si="143"/>
        <v>15.79</v>
      </c>
      <c r="I1726" s="170" t="s">
        <v>2842</v>
      </c>
      <c r="J1726" t="s">
        <v>2853</v>
      </c>
      <c r="K1726" s="188" t="s">
        <v>2853</v>
      </c>
    </row>
    <row r="1727" spans="1:11" x14ac:dyDescent="0.25">
      <c r="A1727" t="s">
        <v>6294</v>
      </c>
      <c r="B1727" s="27" t="s">
        <v>1818</v>
      </c>
      <c r="D1727" s="28" t="s">
        <v>1819</v>
      </c>
      <c r="E1727" s="29" t="s">
        <v>21</v>
      </c>
      <c r="F1727" s="30">
        <v>1</v>
      </c>
      <c r="G1727" s="31">
        <v>18.66</v>
      </c>
      <c r="H1727" s="31">
        <f t="shared" si="143"/>
        <v>18.66</v>
      </c>
      <c r="I1727" s="170" t="s">
        <v>2842</v>
      </c>
      <c r="J1727" t="s">
        <v>2853</v>
      </c>
      <c r="K1727" s="188" t="s">
        <v>2853</v>
      </c>
    </row>
    <row r="1728" spans="1:11" x14ac:dyDescent="0.25">
      <c r="A1728" t="s">
        <v>6295</v>
      </c>
      <c r="B1728" s="27" t="s">
        <v>1820</v>
      </c>
      <c r="D1728" s="28" t="s">
        <v>1821</v>
      </c>
      <c r="E1728" s="29" t="s">
        <v>563</v>
      </c>
      <c r="F1728" s="30">
        <v>1</v>
      </c>
      <c r="G1728" s="31">
        <v>18.66</v>
      </c>
      <c r="H1728" s="31">
        <f t="shared" si="143"/>
        <v>18.66</v>
      </c>
      <c r="I1728" s="170" t="s">
        <v>2842</v>
      </c>
      <c r="J1728" t="s">
        <v>2853</v>
      </c>
      <c r="K1728" s="188" t="s">
        <v>2853</v>
      </c>
    </row>
    <row r="1729" spans="1:11" x14ac:dyDescent="0.25">
      <c r="A1729" t="s">
        <v>6296</v>
      </c>
      <c r="B1729" s="27" t="s">
        <v>1822</v>
      </c>
      <c r="D1729" s="28" t="s">
        <v>1823</v>
      </c>
      <c r="E1729" s="29" t="s">
        <v>671</v>
      </c>
      <c r="F1729" s="30">
        <v>1</v>
      </c>
      <c r="G1729" s="31">
        <v>18.66</v>
      </c>
      <c r="H1729" s="31">
        <f t="shared" si="143"/>
        <v>18.66</v>
      </c>
      <c r="I1729" s="170" t="s">
        <v>2842</v>
      </c>
      <c r="J1729" t="s">
        <v>2853</v>
      </c>
      <c r="K1729" s="188" t="s">
        <v>2853</v>
      </c>
    </row>
    <row r="1730" spans="1:11" x14ac:dyDescent="0.25">
      <c r="I1730" s="170" t="s">
        <v>2842</v>
      </c>
      <c r="J1730" t="s">
        <v>2853</v>
      </c>
      <c r="K1730" s="188" t="s">
        <v>2853</v>
      </c>
    </row>
    <row r="1731" spans="1:11" ht="30" x14ac:dyDescent="0.4">
      <c r="B1731" s="171" t="s">
        <v>6297</v>
      </c>
      <c r="C1731" s="25"/>
      <c r="D1731" s="25"/>
      <c r="E1731" s="25"/>
      <c r="F1731" s="25"/>
      <c r="G1731" s="25"/>
      <c r="H1731" s="25"/>
      <c r="I1731" s="170" t="s">
        <v>2842</v>
      </c>
      <c r="J1731" t="s">
        <v>2853</v>
      </c>
      <c r="K1731" s="188" t="s">
        <v>2853</v>
      </c>
    </row>
    <row r="1732" spans="1:11" x14ac:dyDescent="0.25">
      <c r="B1732" s="50"/>
      <c r="C1732" s="50"/>
      <c r="D1732" s="46"/>
      <c r="E1732" s="53"/>
      <c r="F1732" s="52"/>
      <c r="G1732" s="24"/>
      <c r="H1732" s="24"/>
      <c r="I1732" s="170" t="s">
        <v>2842</v>
      </c>
      <c r="J1732" t="s">
        <v>2853</v>
      </c>
      <c r="K1732" s="188" t="s">
        <v>2853</v>
      </c>
    </row>
    <row r="1733" spans="1:11" x14ac:dyDescent="0.25">
      <c r="A1733" t="s">
        <v>6298</v>
      </c>
      <c r="B1733" s="27" t="s">
        <v>1824</v>
      </c>
      <c r="D1733" s="28" t="s">
        <v>1825</v>
      </c>
      <c r="E1733" s="29" t="s">
        <v>21</v>
      </c>
      <c r="F1733" s="30">
        <v>1</v>
      </c>
      <c r="G1733" s="31">
        <v>105.23</v>
      </c>
      <c r="H1733" s="31">
        <f t="shared" ref="H1733:H1871" si="144">+F1733*G1733</f>
        <v>105.23</v>
      </c>
      <c r="I1733" s="170" t="s">
        <v>2842</v>
      </c>
      <c r="J1733" t="s">
        <v>2853</v>
      </c>
      <c r="K1733" s="188" t="s">
        <v>2853</v>
      </c>
    </row>
    <row r="1734" spans="1:11" x14ac:dyDescent="0.25">
      <c r="A1734" t="s">
        <v>6299</v>
      </c>
      <c r="B1734" s="27" t="s">
        <v>1826</v>
      </c>
      <c r="D1734" s="28" t="s">
        <v>1827</v>
      </c>
      <c r="E1734" s="29" t="s">
        <v>563</v>
      </c>
      <c r="F1734" s="30">
        <v>1</v>
      </c>
      <c r="G1734" s="31">
        <v>105.23</v>
      </c>
      <c r="H1734" s="31">
        <f t="shared" si="144"/>
        <v>105.23</v>
      </c>
      <c r="I1734" s="170" t="s">
        <v>2842</v>
      </c>
      <c r="J1734" t="s">
        <v>2853</v>
      </c>
      <c r="K1734" s="188" t="s">
        <v>2853</v>
      </c>
    </row>
    <row r="1735" spans="1:11" x14ac:dyDescent="0.25">
      <c r="A1735" t="s">
        <v>6300</v>
      </c>
      <c r="B1735" s="27" t="s">
        <v>1828</v>
      </c>
      <c r="D1735" s="28" t="s">
        <v>1829</v>
      </c>
      <c r="E1735" s="29" t="s">
        <v>671</v>
      </c>
      <c r="F1735" s="30">
        <v>1</v>
      </c>
      <c r="G1735" s="31">
        <v>105.23</v>
      </c>
      <c r="H1735" s="31">
        <f t="shared" si="144"/>
        <v>105.23</v>
      </c>
      <c r="I1735" s="170" t="s">
        <v>2842</v>
      </c>
      <c r="J1735" t="s">
        <v>2853</v>
      </c>
      <c r="K1735" s="188" t="s">
        <v>2853</v>
      </c>
    </row>
    <row r="1736" spans="1:11" x14ac:dyDescent="0.25">
      <c r="A1736" t="s">
        <v>6301</v>
      </c>
      <c r="B1736" s="27" t="s">
        <v>1830</v>
      </c>
      <c r="D1736" s="28" t="s">
        <v>1831</v>
      </c>
      <c r="E1736" s="29" t="s">
        <v>21</v>
      </c>
      <c r="F1736" s="30">
        <v>1</v>
      </c>
      <c r="G1736" s="31">
        <v>182.39</v>
      </c>
      <c r="H1736" s="31">
        <f t="shared" si="144"/>
        <v>182.39</v>
      </c>
      <c r="I1736" s="170" t="s">
        <v>2842</v>
      </c>
      <c r="J1736" t="s">
        <v>2853</v>
      </c>
      <c r="K1736" s="188" t="s">
        <v>2853</v>
      </c>
    </row>
    <row r="1737" spans="1:11" x14ac:dyDescent="0.25">
      <c r="A1737" t="s">
        <v>6302</v>
      </c>
      <c r="B1737" s="27" t="s">
        <v>1832</v>
      </c>
      <c r="D1737" s="28" t="s">
        <v>1833</v>
      </c>
      <c r="E1737" s="29" t="s">
        <v>563</v>
      </c>
      <c r="F1737" s="30">
        <v>1</v>
      </c>
      <c r="G1737" s="31">
        <v>182.39</v>
      </c>
      <c r="H1737" s="31">
        <f t="shared" si="144"/>
        <v>182.39</v>
      </c>
      <c r="I1737" s="170" t="s">
        <v>2842</v>
      </c>
      <c r="J1737" t="s">
        <v>2853</v>
      </c>
      <c r="K1737" s="188" t="s">
        <v>2853</v>
      </c>
    </row>
    <row r="1738" spans="1:11" x14ac:dyDescent="0.25">
      <c r="A1738" t="s">
        <v>6303</v>
      </c>
      <c r="B1738" s="27" t="s">
        <v>1834</v>
      </c>
      <c r="D1738" s="28" t="s">
        <v>1835</v>
      </c>
      <c r="E1738" s="29" t="s">
        <v>671</v>
      </c>
      <c r="F1738" s="30">
        <v>1</v>
      </c>
      <c r="G1738" s="31">
        <v>182.39</v>
      </c>
      <c r="H1738" s="31">
        <f t="shared" si="144"/>
        <v>182.39</v>
      </c>
      <c r="I1738" s="170" t="s">
        <v>2842</v>
      </c>
      <c r="J1738" t="s">
        <v>2853</v>
      </c>
      <c r="K1738" s="188" t="s">
        <v>2853</v>
      </c>
    </row>
    <row r="1739" spans="1:11" x14ac:dyDescent="0.25">
      <c r="A1739" t="s">
        <v>6304</v>
      </c>
      <c r="B1739" s="27" t="s">
        <v>1836</v>
      </c>
      <c r="D1739" s="28" t="s">
        <v>1837</v>
      </c>
      <c r="E1739" s="29" t="s">
        <v>21</v>
      </c>
      <c r="F1739" s="30">
        <v>1</v>
      </c>
      <c r="G1739" s="31">
        <v>245.52</v>
      </c>
      <c r="H1739" s="31">
        <f t="shared" si="144"/>
        <v>245.52</v>
      </c>
      <c r="I1739" s="170" t="s">
        <v>2842</v>
      </c>
      <c r="J1739" t="s">
        <v>2853</v>
      </c>
      <c r="K1739" s="188" t="s">
        <v>2853</v>
      </c>
    </row>
    <row r="1740" spans="1:11" x14ac:dyDescent="0.25">
      <c r="A1740" t="s">
        <v>6305</v>
      </c>
      <c r="B1740" s="27" t="s">
        <v>1838</v>
      </c>
      <c r="D1740" s="28" t="s">
        <v>1839</v>
      </c>
      <c r="E1740" s="29" t="s">
        <v>563</v>
      </c>
      <c r="F1740" s="30">
        <v>1</v>
      </c>
      <c r="G1740" s="31">
        <v>245.52</v>
      </c>
      <c r="H1740" s="31">
        <f t="shared" si="144"/>
        <v>245.52</v>
      </c>
      <c r="I1740" s="170" t="s">
        <v>2842</v>
      </c>
      <c r="J1740" t="s">
        <v>2853</v>
      </c>
      <c r="K1740" s="188" t="s">
        <v>2853</v>
      </c>
    </row>
    <row r="1741" spans="1:11" x14ac:dyDescent="0.25">
      <c r="A1741" t="s">
        <v>6306</v>
      </c>
      <c r="B1741" s="27" t="s">
        <v>1840</v>
      </c>
      <c r="D1741" s="28" t="s">
        <v>1841</v>
      </c>
      <c r="E1741" s="29" t="s">
        <v>671</v>
      </c>
      <c r="F1741" s="30">
        <v>1</v>
      </c>
      <c r="G1741" s="31">
        <v>245.52</v>
      </c>
      <c r="H1741" s="31">
        <f t="shared" si="144"/>
        <v>245.52</v>
      </c>
      <c r="I1741" s="170" t="s">
        <v>2842</v>
      </c>
      <c r="J1741" t="s">
        <v>2853</v>
      </c>
      <c r="K1741" s="188" t="s">
        <v>2853</v>
      </c>
    </row>
    <row r="1742" spans="1:11" x14ac:dyDescent="0.25">
      <c r="A1742" t="s">
        <v>6307</v>
      </c>
      <c r="B1742" s="27" t="s">
        <v>1842</v>
      </c>
      <c r="D1742" s="28" t="s">
        <v>1843</v>
      </c>
      <c r="E1742" s="29" t="s">
        <v>1703</v>
      </c>
      <c r="F1742" s="30">
        <v>1</v>
      </c>
      <c r="G1742" s="31">
        <v>40.590000000000003</v>
      </c>
      <c r="H1742" s="31">
        <f t="shared" si="144"/>
        <v>40.590000000000003</v>
      </c>
      <c r="I1742" s="170" t="s">
        <v>2842</v>
      </c>
      <c r="J1742" t="s">
        <v>2853</v>
      </c>
      <c r="K1742" s="188" t="s">
        <v>2853</v>
      </c>
    </row>
    <row r="1743" spans="1:11" x14ac:dyDescent="0.25">
      <c r="A1743" t="s">
        <v>6308</v>
      </c>
      <c r="B1743" s="27" t="s">
        <v>1844</v>
      </c>
      <c r="D1743" s="28" t="s">
        <v>1845</v>
      </c>
      <c r="E1743" s="29" t="s">
        <v>1699</v>
      </c>
      <c r="F1743" s="30">
        <v>1</v>
      </c>
      <c r="G1743" s="31">
        <v>40.590000000000003</v>
      </c>
      <c r="H1743" s="31">
        <f t="shared" si="144"/>
        <v>40.590000000000003</v>
      </c>
      <c r="I1743" s="170" t="s">
        <v>2842</v>
      </c>
      <c r="J1743" t="s">
        <v>2853</v>
      </c>
      <c r="K1743" s="188" t="s">
        <v>2853</v>
      </c>
    </row>
    <row r="1744" spans="1:11" x14ac:dyDescent="0.25">
      <c r="A1744" t="s">
        <v>6309</v>
      </c>
      <c r="B1744" s="27" t="s">
        <v>1846</v>
      </c>
      <c r="D1744" s="28" t="s">
        <v>1847</v>
      </c>
      <c r="E1744" s="29" t="s">
        <v>1701</v>
      </c>
      <c r="F1744" s="30">
        <v>1</v>
      </c>
      <c r="G1744" s="31">
        <v>40.590000000000003</v>
      </c>
      <c r="H1744" s="31">
        <f t="shared" si="144"/>
        <v>40.590000000000003</v>
      </c>
      <c r="I1744" s="170" t="s">
        <v>2842</v>
      </c>
      <c r="J1744" t="s">
        <v>2853</v>
      </c>
      <c r="K1744" s="188" t="s">
        <v>2853</v>
      </c>
    </row>
    <row r="1745" spans="1:11" x14ac:dyDescent="0.25">
      <c r="A1745" t="s">
        <v>6310</v>
      </c>
      <c r="B1745" s="27" t="s">
        <v>1848</v>
      </c>
      <c r="D1745" s="28" t="s">
        <v>1849</v>
      </c>
      <c r="E1745" s="29" t="s">
        <v>1703</v>
      </c>
      <c r="F1745" s="30">
        <v>1</v>
      </c>
      <c r="G1745" s="31">
        <v>67.66</v>
      </c>
      <c r="H1745" s="31">
        <f t="shared" si="144"/>
        <v>67.66</v>
      </c>
      <c r="I1745" s="170" t="s">
        <v>2842</v>
      </c>
      <c r="J1745" t="s">
        <v>2853</v>
      </c>
      <c r="K1745" s="188" t="s">
        <v>2853</v>
      </c>
    </row>
    <row r="1746" spans="1:11" x14ac:dyDescent="0.25">
      <c r="A1746" t="s">
        <v>6311</v>
      </c>
      <c r="B1746" s="27" t="s">
        <v>1850</v>
      </c>
      <c r="D1746" s="28" t="s">
        <v>1851</v>
      </c>
      <c r="E1746" s="29" t="s">
        <v>1699</v>
      </c>
      <c r="F1746" s="30">
        <v>1</v>
      </c>
      <c r="G1746" s="31">
        <v>67.66</v>
      </c>
      <c r="H1746" s="31">
        <f t="shared" si="144"/>
        <v>67.66</v>
      </c>
      <c r="I1746" s="170" t="s">
        <v>2842</v>
      </c>
      <c r="J1746" t="s">
        <v>2853</v>
      </c>
      <c r="K1746" s="188" t="s">
        <v>2853</v>
      </c>
    </row>
    <row r="1747" spans="1:11" x14ac:dyDescent="0.25">
      <c r="A1747" t="s">
        <v>6312</v>
      </c>
      <c r="B1747" s="27" t="s">
        <v>1852</v>
      </c>
      <c r="D1747" s="28" t="s">
        <v>1853</v>
      </c>
      <c r="E1747" s="29" t="s">
        <v>1701</v>
      </c>
      <c r="F1747" s="30">
        <v>1</v>
      </c>
      <c r="G1747" s="31">
        <v>67.66</v>
      </c>
      <c r="H1747" s="31">
        <f t="shared" si="144"/>
        <v>67.66</v>
      </c>
      <c r="I1747" s="170" t="s">
        <v>2842</v>
      </c>
      <c r="J1747" t="s">
        <v>2853</v>
      </c>
      <c r="K1747" s="188" t="s">
        <v>2853</v>
      </c>
    </row>
    <row r="1748" spans="1:11" x14ac:dyDescent="0.25">
      <c r="A1748" t="s">
        <v>6313</v>
      </c>
      <c r="B1748" s="27" t="s">
        <v>1854</v>
      </c>
      <c r="D1748" s="28" t="s">
        <v>1855</v>
      </c>
      <c r="E1748" s="29" t="s">
        <v>1703</v>
      </c>
      <c r="F1748" s="30">
        <v>1</v>
      </c>
      <c r="G1748" s="31">
        <v>94.73</v>
      </c>
      <c r="H1748" s="31">
        <f t="shared" si="144"/>
        <v>94.73</v>
      </c>
      <c r="I1748" s="170" t="s">
        <v>2842</v>
      </c>
      <c r="J1748" t="s">
        <v>2853</v>
      </c>
      <c r="K1748" s="188" t="s">
        <v>2853</v>
      </c>
    </row>
    <row r="1749" spans="1:11" x14ac:dyDescent="0.25">
      <c r="A1749" t="s">
        <v>6314</v>
      </c>
      <c r="B1749" s="27" t="s">
        <v>1856</v>
      </c>
      <c r="D1749" s="28" t="s">
        <v>1857</v>
      </c>
      <c r="E1749" s="29" t="s">
        <v>1699</v>
      </c>
      <c r="F1749" s="30">
        <v>1</v>
      </c>
      <c r="G1749" s="31">
        <v>94.73</v>
      </c>
      <c r="H1749" s="31">
        <f t="shared" si="144"/>
        <v>94.73</v>
      </c>
      <c r="I1749" s="170" t="s">
        <v>2842</v>
      </c>
      <c r="J1749" t="s">
        <v>2853</v>
      </c>
      <c r="K1749" s="188" t="s">
        <v>2853</v>
      </c>
    </row>
    <row r="1750" spans="1:11" x14ac:dyDescent="0.25">
      <c r="A1750" t="s">
        <v>6315</v>
      </c>
      <c r="B1750" s="27" t="s">
        <v>1858</v>
      </c>
      <c r="D1750" s="28" t="s">
        <v>1859</v>
      </c>
      <c r="E1750" s="29" t="s">
        <v>1701</v>
      </c>
      <c r="F1750" s="30">
        <v>1</v>
      </c>
      <c r="G1750" s="31">
        <v>94.73</v>
      </c>
      <c r="H1750" s="31">
        <f t="shared" si="144"/>
        <v>94.73</v>
      </c>
      <c r="I1750" s="170" t="s">
        <v>2842</v>
      </c>
      <c r="J1750" t="s">
        <v>2853</v>
      </c>
      <c r="K1750" s="188" t="s">
        <v>2853</v>
      </c>
    </row>
    <row r="1751" spans="1:11" x14ac:dyDescent="0.25">
      <c r="A1751" t="s">
        <v>6316</v>
      </c>
      <c r="B1751" s="27" t="s">
        <v>1860</v>
      </c>
      <c r="D1751" s="28" t="s">
        <v>1861</v>
      </c>
      <c r="E1751" s="29" t="s">
        <v>1703</v>
      </c>
      <c r="F1751" s="30">
        <v>1</v>
      </c>
      <c r="G1751" s="31">
        <v>121.78</v>
      </c>
      <c r="H1751" s="31">
        <f t="shared" si="144"/>
        <v>121.78</v>
      </c>
      <c r="I1751" s="170" t="s">
        <v>2842</v>
      </c>
      <c r="J1751" t="s">
        <v>2853</v>
      </c>
      <c r="K1751" s="188" t="s">
        <v>2853</v>
      </c>
    </row>
    <row r="1752" spans="1:11" x14ac:dyDescent="0.25">
      <c r="A1752" t="s">
        <v>6317</v>
      </c>
      <c r="B1752" s="27" t="s">
        <v>1862</v>
      </c>
      <c r="D1752" s="28" t="s">
        <v>1863</v>
      </c>
      <c r="E1752" s="29" t="s">
        <v>1699</v>
      </c>
      <c r="F1752" s="30">
        <v>1</v>
      </c>
      <c r="G1752" s="31">
        <v>121.78</v>
      </c>
      <c r="H1752" s="31">
        <f t="shared" si="144"/>
        <v>121.78</v>
      </c>
      <c r="I1752" s="170" t="s">
        <v>2842</v>
      </c>
      <c r="J1752" t="s">
        <v>2853</v>
      </c>
      <c r="K1752" s="188" t="s">
        <v>2853</v>
      </c>
    </row>
    <row r="1753" spans="1:11" x14ac:dyDescent="0.25">
      <c r="A1753" t="s">
        <v>6318</v>
      </c>
      <c r="B1753" s="27" t="s">
        <v>1864</v>
      </c>
      <c r="D1753" s="28" t="s">
        <v>1865</v>
      </c>
      <c r="E1753" s="29" t="s">
        <v>1701</v>
      </c>
      <c r="F1753" s="30">
        <v>1</v>
      </c>
      <c r="G1753" s="31">
        <v>121.78</v>
      </c>
      <c r="H1753" s="31">
        <f t="shared" si="144"/>
        <v>121.78</v>
      </c>
      <c r="I1753" s="170" t="s">
        <v>2842</v>
      </c>
      <c r="J1753" t="s">
        <v>2853</v>
      </c>
      <c r="K1753" s="188" t="s">
        <v>2853</v>
      </c>
    </row>
    <row r="1754" spans="1:11" x14ac:dyDescent="0.25">
      <c r="A1754" t="s">
        <v>6319</v>
      </c>
      <c r="B1754" s="27" t="s">
        <v>1866</v>
      </c>
      <c r="D1754" s="28" t="s">
        <v>1867</v>
      </c>
      <c r="E1754" s="29" t="s">
        <v>1703</v>
      </c>
      <c r="F1754" s="30">
        <v>1</v>
      </c>
      <c r="G1754" s="31">
        <v>81.19</v>
      </c>
      <c r="H1754" s="31">
        <f t="shared" si="144"/>
        <v>81.19</v>
      </c>
      <c r="I1754" s="170" t="s">
        <v>2842</v>
      </c>
      <c r="J1754" t="s">
        <v>2853</v>
      </c>
      <c r="K1754" s="188" t="s">
        <v>2853</v>
      </c>
    </row>
    <row r="1755" spans="1:11" x14ac:dyDescent="0.25">
      <c r="A1755" t="s">
        <v>6320</v>
      </c>
      <c r="B1755" s="27" t="s">
        <v>1868</v>
      </c>
      <c r="D1755" s="28" t="s">
        <v>1869</v>
      </c>
      <c r="E1755" s="29" t="s">
        <v>1699</v>
      </c>
      <c r="F1755" s="30">
        <v>1</v>
      </c>
      <c r="G1755" s="31">
        <v>81.19</v>
      </c>
      <c r="H1755" s="31">
        <f t="shared" si="144"/>
        <v>81.19</v>
      </c>
      <c r="I1755" s="170" t="s">
        <v>2842</v>
      </c>
      <c r="J1755" t="s">
        <v>2853</v>
      </c>
      <c r="K1755" s="188" t="s">
        <v>2853</v>
      </c>
    </row>
    <row r="1756" spans="1:11" x14ac:dyDescent="0.25">
      <c r="A1756" t="s">
        <v>6321</v>
      </c>
      <c r="B1756" s="27" t="s">
        <v>1870</v>
      </c>
      <c r="D1756" s="28" t="s">
        <v>1871</v>
      </c>
      <c r="E1756" s="29" t="s">
        <v>1701</v>
      </c>
      <c r="F1756" s="30">
        <v>1</v>
      </c>
      <c r="G1756" s="31">
        <v>81.19</v>
      </c>
      <c r="H1756" s="31">
        <f t="shared" si="144"/>
        <v>81.19</v>
      </c>
      <c r="I1756" s="170" t="s">
        <v>2842</v>
      </c>
      <c r="J1756" t="s">
        <v>2853</v>
      </c>
      <c r="K1756" s="188" t="s">
        <v>2853</v>
      </c>
    </row>
    <row r="1757" spans="1:11" x14ac:dyDescent="0.25">
      <c r="A1757" t="s">
        <v>6322</v>
      </c>
      <c r="B1757" s="27" t="s">
        <v>1872</v>
      </c>
      <c r="D1757" s="28" t="s">
        <v>1873</v>
      </c>
      <c r="E1757" s="29" t="s">
        <v>1703</v>
      </c>
      <c r="F1757" s="30">
        <v>1</v>
      </c>
      <c r="G1757" s="31">
        <v>135.31</v>
      </c>
      <c r="H1757" s="31">
        <f t="shared" si="144"/>
        <v>135.31</v>
      </c>
      <c r="I1757" s="170" t="s">
        <v>2842</v>
      </c>
      <c r="J1757" t="s">
        <v>2853</v>
      </c>
      <c r="K1757" s="188" t="s">
        <v>2853</v>
      </c>
    </row>
    <row r="1758" spans="1:11" x14ac:dyDescent="0.25">
      <c r="A1758" t="s">
        <v>6323</v>
      </c>
      <c r="B1758" s="27" t="s">
        <v>1874</v>
      </c>
      <c r="D1758" s="28" t="s">
        <v>1875</v>
      </c>
      <c r="E1758" s="29" t="s">
        <v>1699</v>
      </c>
      <c r="F1758" s="30">
        <v>1</v>
      </c>
      <c r="G1758" s="31">
        <v>135.31</v>
      </c>
      <c r="H1758" s="31">
        <f t="shared" si="144"/>
        <v>135.31</v>
      </c>
      <c r="I1758" s="170" t="s">
        <v>2842</v>
      </c>
      <c r="J1758" t="s">
        <v>2853</v>
      </c>
      <c r="K1758" s="188" t="s">
        <v>2853</v>
      </c>
    </row>
    <row r="1759" spans="1:11" x14ac:dyDescent="0.25">
      <c r="A1759" t="s">
        <v>6324</v>
      </c>
      <c r="B1759" s="27" t="s">
        <v>1876</v>
      </c>
      <c r="D1759" s="28" t="s">
        <v>1877</v>
      </c>
      <c r="E1759" s="29" t="s">
        <v>1701</v>
      </c>
      <c r="F1759" s="30">
        <v>1</v>
      </c>
      <c r="G1759" s="31">
        <v>135.31</v>
      </c>
      <c r="H1759" s="31">
        <f t="shared" si="144"/>
        <v>135.31</v>
      </c>
      <c r="I1759" s="170" t="s">
        <v>2842</v>
      </c>
      <c r="J1759" t="s">
        <v>2853</v>
      </c>
      <c r="K1759" s="188" t="s">
        <v>2853</v>
      </c>
    </row>
    <row r="1760" spans="1:11" x14ac:dyDescent="0.25">
      <c r="A1760" t="s">
        <v>6325</v>
      </c>
      <c r="B1760" s="27" t="s">
        <v>1878</v>
      </c>
      <c r="D1760" s="28" t="s">
        <v>1879</v>
      </c>
      <c r="E1760" s="29" t="s">
        <v>1703</v>
      </c>
      <c r="F1760" s="30">
        <v>1</v>
      </c>
      <c r="G1760" s="31">
        <v>189.42</v>
      </c>
      <c r="H1760" s="31">
        <f t="shared" si="144"/>
        <v>189.42</v>
      </c>
      <c r="I1760" s="170" t="s">
        <v>2842</v>
      </c>
      <c r="J1760" t="s">
        <v>2853</v>
      </c>
      <c r="K1760" s="188" t="s">
        <v>2853</v>
      </c>
    </row>
    <row r="1761" spans="1:11" x14ac:dyDescent="0.25">
      <c r="A1761" t="s">
        <v>6326</v>
      </c>
      <c r="B1761" s="27" t="s">
        <v>1880</v>
      </c>
      <c r="D1761" s="28" t="s">
        <v>1881</v>
      </c>
      <c r="E1761" s="29" t="s">
        <v>1699</v>
      </c>
      <c r="F1761" s="30">
        <v>1</v>
      </c>
      <c r="G1761" s="31">
        <v>189.42</v>
      </c>
      <c r="H1761" s="31">
        <f t="shared" si="144"/>
        <v>189.42</v>
      </c>
      <c r="I1761" s="170" t="s">
        <v>2842</v>
      </c>
      <c r="J1761" t="s">
        <v>2853</v>
      </c>
      <c r="K1761" s="188" t="s">
        <v>2853</v>
      </c>
    </row>
    <row r="1762" spans="1:11" x14ac:dyDescent="0.25">
      <c r="A1762" t="s">
        <v>6327</v>
      </c>
      <c r="B1762" s="27" t="s">
        <v>1882</v>
      </c>
      <c r="D1762" s="28" t="s">
        <v>1883</v>
      </c>
      <c r="E1762" s="29" t="s">
        <v>1701</v>
      </c>
      <c r="F1762" s="30">
        <v>1</v>
      </c>
      <c r="G1762" s="31">
        <v>189.42</v>
      </c>
      <c r="H1762" s="31">
        <f t="shared" si="144"/>
        <v>189.42</v>
      </c>
      <c r="I1762" s="170" t="s">
        <v>2842</v>
      </c>
      <c r="J1762" t="s">
        <v>2853</v>
      </c>
      <c r="K1762" s="188" t="s">
        <v>2853</v>
      </c>
    </row>
    <row r="1763" spans="1:11" x14ac:dyDescent="0.25">
      <c r="A1763" t="s">
        <v>6328</v>
      </c>
      <c r="B1763" s="27" t="s">
        <v>1884</v>
      </c>
      <c r="D1763" s="28" t="s">
        <v>1885</v>
      </c>
      <c r="E1763" s="29" t="s">
        <v>1703</v>
      </c>
      <c r="F1763" s="30">
        <v>1</v>
      </c>
      <c r="G1763" s="31">
        <v>243.55</v>
      </c>
      <c r="H1763" s="31">
        <f t="shared" si="144"/>
        <v>243.55</v>
      </c>
      <c r="I1763" s="170" t="s">
        <v>2842</v>
      </c>
      <c r="J1763" t="s">
        <v>2853</v>
      </c>
      <c r="K1763" s="188" t="s">
        <v>2853</v>
      </c>
    </row>
    <row r="1764" spans="1:11" x14ac:dyDescent="0.25">
      <c r="A1764" t="s">
        <v>6329</v>
      </c>
      <c r="B1764" s="27" t="s">
        <v>1886</v>
      </c>
      <c r="D1764" s="28" t="s">
        <v>1887</v>
      </c>
      <c r="E1764" s="29" t="s">
        <v>1699</v>
      </c>
      <c r="F1764" s="30">
        <v>1</v>
      </c>
      <c r="G1764" s="31">
        <v>243.55</v>
      </c>
      <c r="H1764" s="31">
        <f t="shared" si="144"/>
        <v>243.55</v>
      </c>
      <c r="I1764" s="170" t="s">
        <v>2842</v>
      </c>
      <c r="J1764" t="s">
        <v>2853</v>
      </c>
      <c r="K1764" s="188" t="s">
        <v>2853</v>
      </c>
    </row>
    <row r="1765" spans="1:11" x14ac:dyDescent="0.25">
      <c r="A1765" t="s">
        <v>6330</v>
      </c>
      <c r="B1765" s="27" t="s">
        <v>1888</v>
      </c>
      <c r="D1765" s="28" t="s">
        <v>1889</v>
      </c>
      <c r="E1765" s="29" t="s">
        <v>1701</v>
      </c>
      <c r="F1765" s="30">
        <v>1</v>
      </c>
      <c r="G1765" s="31">
        <v>243.55</v>
      </c>
      <c r="H1765" s="31">
        <f t="shared" si="144"/>
        <v>243.55</v>
      </c>
      <c r="I1765" s="170" t="s">
        <v>2842</v>
      </c>
      <c r="J1765" t="s">
        <v>2853</v>
      </c>
      <c r="K1765" s="188" t="s">
        <v>2853</v>
      </c>
    </row>
    <row r="1766" spans="1:11" x14ac:dyDescent="0.25">
      <c r="A1766" t="s">
        <v>6331</v>
      </c>
      <c r="B1766" s="27" t="s">
        <v>1890</v>
      </c>
      <c r="D1766" s="28" t="s">
        <v>1891</v>
      </c>
      <c r="E1766" s="29" t="s">
        <v>1703</v>
      </c>
      <c r="F1766" s="30">
        <v>1</v>
      </c>
      <c r="G1766" s="31">
        <v>121.78</v>
      </c>
      <c r="H1766" s="31">
        <f t="shared" si="144"/>
        <v>121.78</v>
      </c>
      <c r="I1766" s="170" t="s">
        <v>2842</v>
      </c>
      <c r="J1766" t="s">
        <v>2853</v>
      </c>
      <c r="K1766" s="188" t="s">
        <v>2853</v>
      </c>
    </row>
    <row r="1767" spans="1:11" x14ac:dyDescent="0.25">
      <c r="A1767" t="s">
        <v>6332</v>
      </c>
      <c r="B1767" s="27" t="s">
        <v>1892</v>
      </c>
      <c r="D1767" s="28" t="s">
        <v>1893</v>
      </c>
      <c r="E1767" s="29" t="s">
        <v>1699</v>
      </c>
      <c r="F1767" s="30">
        <v>1</v>
      </c>
      <c r="G1767" s="31">
        <v>121.78</v>
      </c>
      <c r="H1767" s="31">
        <f t="shared" si="144"/>
        <v>121.78</v>
      </c>
      <c r="I1767" s="170" t="s">
        <v>2842</v>
      </c>
      <c r="J1767" t="s">
        <v>2853</v>
      </c>
      <c r="K1767" s="188" t="s">
        <v>2853</v>
      </c>
    </row>
    <row r="1768" spans="1:11" x14ac:dyDescent="0.25">
      <c r="A1768" t="s">
        <v>6333</v>
      </c>
      <c r="B1768" s="27" t="s">
        <v>1894</v>
      </c>
      <c r="D1768" s="28" t="s">
        <v>1895</v>
      </c>
      <c r="E1768" s="29" t="s">
        <v>1701</v>
      </c>
      <c r="F1768" s="30">
        <v>1</v>
      </c>
      <c r="G1768" s="31">
        <v>121.78</v>
      </c>
      <c r="H1768" s="31">
        <f t="shared" si="144"/>
        <v>121.78</v>
      </c>
      <c r="I1768" s="170" t="s">
        <v>2842</v>
      </c>
      <c r="J1768" t="s">
        <v>2853</v>
      </c>
      <c r="K1768" s="188" t="s">
        <v>2853</v>
      </c>
    </row>
    <row r="1769" spans="1:11" x14ac:dyDescent="0.25">
      <c r="A1769" t="s">
        <v>6334</v>
      </c>
      <c r="B1769" s="27" t="s">
        <v>1896</v>
      </c>
      <c r="D1769" s="28" t="s">
        <v>1897</v>
      </c>
      <c r="E1769" s="29" t="s">
        <v>1703</v>
      </c>
      <c r="F1769" s="30">
        <v>1</v>
      </c>
      <c r="G1769" s="31">
        <v>202.96</v>
      </c>
      <c r="H1769" s="31">
        <f t="shared" si="144"/>
        <v>202.96</v>
      </c>
      <c r="I1769" s="170" t="s">
        <v>2842</v>
      </c>
      <c r="J1769" t="s">
        <v>2853</v>
      </c>
      <c r="K1769" s="188" t="s">
        <v>2853</v>
      </c>
    </row>
    <row r="1770" spans="1:11" x14ac:dyDescent="0.25">
      <c r="A1770" t="s">
        <v>6335</v>
      </c>
      <c r="B1770" s="27" t="s">
        <v>1898</v>
      </c>
      <c r="D1770" s="28" t="s">
        <v>1899</v>
      </c>
      <c r="E1770" s="29" t="s">
        <v>1699</v>
      </c>
      <c r="F1770" s="30">
        <v>1</v>
      </c>
      <c r="G1770" s="31">
        <v>202.96</v>
      </c>
      <c r="H1770" s="31">
        <f t="shared" si="144"/>
        <v>202.96</v>
      </c>
      <c r="I1770" s="170" t="s">
        <v>2842</v>
      </c>
      <c r="J1770" t="s">
        <v>2853</v>
      </c>
      <c r="K1770" s="188" t="s">
        <v>2853</v>
      </c>
    </row>
    <row r="1771" spans="1:11" x14ac:dyDescent="0.25">
      <c r="A1771" t="s">
        <v>6336</v>
      </c>
      <c r="B1771" s="27" t="s">
        <v>1900</v>
      </c>
      <c r="D1771" s="28" t="s">
        <v>1901</v>
      </c>
      <c r="E1771" s="29" t="s">
        <v>1701</v>
      </c>
      <c r="F1771" s="30">
        <v>1</v>
      </c>
      <c r="G1771" s="31">
        <v>202.96</v>
      </c>
      <c r="H1771" s="31">
        <f t="shared" si="144"/>
        <v>202.96</v>
      </c>
      <c r="I1771" s="170" t="s">
        <v>2842</v>
      </c>
      <c r="J1771" t="s">
        <v>2853</v>
      </c>
      <c r="K1771" s="188" t="s">
        <v>2853</v>
      </c>
    </row>
    <row r="1772" spans="1:11" x14ac:dyDescent="0.25">
      <c r="A1772" t="s">
        <v>6337</v>
      </c>
      <c r="B1772" s="27" t="s">
        <v>1902</v>
      </c>
      <c r="D1772" s="28" t="s">
        <v>1903</v>
      </c>
      <c r="E1772" s="29" t="s">
        <v>1703</v>
      </c>
      <c r="F1772" s="30">
        <v>1</v>
      </c>
      <c r="G1772" s="31">
        <v>284.14999999999998</v>
      </c>
      <c r="H1772" s="31">
        <f t="shared" si="144"/>
        <v>284.14999999999998</v>
      </c>
      <c r="I1772" s="170" t="s">
        <v>2842</v>
      </c>
      <c r="J1772" t="s">
        <v>2853</v>
      </c>
      <c r="K1772" s="188" t="s">
        <v>2853</v>
      </c>
    </row>
    <row r="1773" spans="1:11" x14ac:dyDescent="0.25">
      <c r="A1773" t="s">
        <v>6338</v>
      </c>
      <c r="B1773" s="27" t="s">
        <v>1904</v>
      </c>
      <c r="D1773" s="28" t="s">
        <v>1905</v>
      </c>
      <c r="E1773" s="29" t="s">
        <v>1699</v>
      </c>
      <c r="F1773" s="30">
        <v>1</v>
      </c>
      <c r="G1773" s="31">
        <v>284.14999999999998</v>
      </c>
      <c r="H1773" s="31">
        <f t="shared" si="144"/>
        <v>284.14999999999998</v>
      </c>
      <c r="I1773" s="170" t="s">
        <v>2842</v>
      </c>
      <c r="J1773" t="s">
        <v>2853</v>
      </c>
      <c r="K1773" s="188" t="s">
        <v>2853</v>
      </c>
    </row>
    <row r="1774" spans="1:11" x14ac:dyDescent="0.25">
      <c r="A1774" t="s">
        <v>6339</v>
      </c>
      <c r="B1774" s="27" t="s">
        <v>1906</v>
      </c>
      <c r="D1774" s="28" t="s">
        <v>1907</v>
      </c>
      <c r="E1774" s="29" t="s">
        <v>1701</v>
      </c>
      <c r="F1774" s="30">
        <v>1</v>
      </c>
      <c r="G1774" s="31">
        <v>284.14999999999998</v>
      </c>
      <c r="H1774" s="31">
        <f t="shared" si="144"/>
        <v>284.14999999999998</v>
      </c>
      <c r="I1774" s="170" t="s">
        <v>2842</v>
      </c>
      <c r="J1774" t="s">
        <v>2853</v>
      </c>
      <c r="K1774" s="188" t="s">
        <v>2853</v>
      </c>
    </row>
    <row r="1775" spans="1:11" x14ac:dyDescent="0.25">
      <c r="A1775" t="s">
        <v>6340</v>
      </c>
      <c r="B1775" s="27" t="s">
        <v>1908</v>
      </c>
      <c r="D1775" s="28" t="s">
        <v>1909</v>
      </c>
      <c r="E1775" s="29" t="s">
        <v>1703</v>
      </c>
      <c r="F1775" s="30">
        <v>1</v>
      </c>
      <c r="G1775" s="31">
        <v>365.34</v>
      </c>
      <c r="H1775" s="31">
        <f t="shared" si="144"/>
        <v>365.34</v>
      </c>
      <c r="I1775" s="170" t="s">
        <v>2842</v>
      </c>
      <c r="J1775" t="s">
        <v>2853</v>
      </c>
      <c r="K1775" s="188" t="s">
        <v>2853</v>
      </c>
    </row>
    <row r="1776" spans="1:11" x14ac:dyDescent="0.25">
      <c r="A1776" t="s">
        <v>6341</v>
      </c>
      <c r="B1776" s="27" t="s">
        <v>1910</v>
      </c>
      <c r="D1776" s="28" t="s">
        <v>1911</v>
      </c>
      <c r="E1776" s="29" t="s">
        <v>1699</v>
      </c>
      <c r="F1776" s="30">
        <v>1</v>
      </c>
      <c r="G1776" s="31">
        <v>365.34</v>
      </c>
      <c r="H1776" s="31">
        <f t="shared" si="144"/>
        <v>365.34</v>
      </c>
      <c r="I1776" s="170" t="s">
        <v>2842</v>
      </c>
      <c r="J1776" t="s">
        <v>2853</v>
      </c>
      <c r="K1776" s="188" t="s">
        <v>2853</v>
      </c>
    </row>
    <row r="1777" spans="1:11" x14ac:dyDescent="0.25">
      <c r="A1777" t="s">
        <v>6342</v>
      </c>
      <c r="B1777" s="27" t="s">
        <v>1912</v>
      </c>
      <c r="D1777" s="28" t="s">
        <v>1913</v>
      </c>
      <c r="E1777" s="29" t="s">
        <v>1701</v>
      </c>
      <c r="F1777" s="30">
        <v>1</v>
      </c>
      <c r="G1777" s="31">
        <v>365.34</v>
      </c>
      <c r="H1777" s="31">
        <f t="shared" si="144"/>
        <v>365.34</v>
      </c>
      <c r="I1777" s="170" t="s">
        <v>2842</v>
      </c>
      <c r="J1777" t="s">
        <v>2853</v>
      </c>
      <c r="K1777" s="188" t="s">
        <v>2853</v>
      </c>
    </row>
    <row r="1778" spans="1:11" x14ac:dyDescent="0.25">
      <c r="B1778" s="27"/>
      <c r="D1778" s="28"/>
      <c r="E1778" s="29"/>
      <c r="F1778" s="30"/>
      <c r="G1778" s="31"/>
      <c r="H1778" s="31"/>
      <c r="I1778" s="170"/>
      <c r="J1778" t="s">
        <v>2853</v>
      </c>
      <c r="K1778" s="188" t="s">
        <v>2853</v>
      </c>
    </row>
    <row r="1779" spans="1:11" ht="26.25" x14ac:dyDescent="0.4">
      <c r="B1779" s="178" t="s">
        <v>7745</v>
      </c>
      <c r="C1779" s="179"/>
      <c r="D1779" s="180"/>
      <c r="E1779" s="179"/>
      <c r="F1779" s="179"/>
      <c r="G1779" s="179"/>
      <c r="H1779" s="181"/>
      <c r="J1779" t="s">
        <v>2853</v>
      </c>
      <c r="K1779" s="188" t="s">
        <v>2853</v>
      </c>
    </row>
    <row r="1780" spans="1:11" x14ac:dyDescent="0.35">
      <c r="B1780" s="182"/>
      <c r="J1780" t="s">
        <v>2853</v>
      </c>
      <c r="K1780" s="188" t="s">
        <v>2853</v>
      </c>
    </row>
    <row r="1781" spans="1:11" x14ac:dyDescent="0.35">
      <c r="B1781" s="182" t="s">
        <v>7746</v>
      </c>
      <c r="C1781" s="183"/>
      <c r="D1781" s="184" t="s">
        <v>7747</v>
      </c>
      <c r="E1781" s="183" t="s">
        <v>7748</v>
      </c>
      <c r="F1781" s="183">
        <v>1</v>
      </c>
      <c r="G1781" s="185">
        <v>41.18</v>
      </c>
      <c r="H1781" s="186">
        <f>F1781*G1781</f>
        <v>41.18</v>
      </c>
      <c r="J1781" t="s">
        <v>2853</v>
      </c>
      <c r="K1781" s="188" t="s">
        <v>2853</v>
      </c>
    </row>
    <row r="1782" spans="1:11" x14ac:dyDescent="0.35">
      <c r="B1782" s="182" t="s">
        <v>7749</v>
      </c>
      <c r="C1782" s="183"/>
      <c r="D1782" s="184" t="s">
        <v>7750</v>
      </c>
      <c r="E1782" s="183" t="s">
        <v>7751</v>
      </c>
      <c r="F1782" s="183">
        <v>1</v>
      </c>
      <c r="G1782" s="185">
        <v>41.18</v>
      </c>
      <c r="H1782" s="186">
        <f t="shared" ref="H1782:H1845" si="145">F1782*G1782</f>
        <v>41.18</v>
      </c>
      <c r="J1782" t="s">
        <v>2853</v>
      </c>
      <c r="K1782" s="188" t="s">
        <v>2853</v>
      </c>
    </row>
    <row r="1783" spans="1:11" x14ac:dyDescent="0.35">
      <c r="B1783" s="182" t="s">
        <v>7752</v>
      </c>
      <c r="C1783" s="183"/>
      <c r="D1783" s="184" t="s">
        <v>7753</v>
      </c>
      <c r="E1783" s="183" t="s">
        <v>7754</v>
      </c>
      <c r="F1783" s="183">
        <v>1</v>
      </c>
      <c r="G1783" s="185">
        <v>41.18</v>
      </c>
      <c r="H1783" s="186">
        <f t="shared" si="145"/>
        <v>41.18</v>
      </c>
      <c r="J1783" t="s">
        <v>2853</v>
      </c>
      <c r="K1783" s="188" t="s">
        <v>2853</v>
      </c>
    </row>
    <row r="1784" spans="1:11" x14ac:dyDescent="0.35">
      <c r="B1784" s="182" t="s">
        <v>7755</v>
      </c>
      <c r="C1784" s="183"/>
      <c r="D1784" s="184" t="s">
        <v>7756</v>
      </c>
      <c r="E1784" s="183" t="s">
        <v>7757</v>
      </c>
      <c r="F1784" s="183">
        <v>1</v>
      </c>
      <c r="G1784" s="185">
        <v>41.18</v>
      </c>
      <c r="H1784" s="186">
        <f t="shared" si="145"/>
        <v>41.18</v>
      </c>
      <c r="J1784" t="s">
        <v>2853</v>
      </c>
      <c r="K1784" s="188" t="s">
        <v>2853</v>
      </c>
    </row>
    <row r="1785" spans="1:11" x14ac:dyDescent="0.35">
      <c r="B1785" s="182" t="s">
        <v>7758</v>
      </c>
      <c r="C1785" s="183"/>
      <c r="D1785" s="184" t="s">
        <v>7759</v>
      </c>
      <c r="E1785" s="183" t="s">
        <v>7760</v>
      </c>
      <c r="F1785" s="183">
        <v>1</v>
      </c>
      <c r="G1785" s="185">
        <v>41.18</v>
      </c>
      <c r="H1785" s="186">
        <f t="shared" si="145"/>
        <v>41.18</v>
      </c>
      <c r="J1785" t="s">
        <v>2853</v>
      </c>
      <c r="K1785" s="188" t="s">
        <v>2853</v>
      </c>
    </row>
    <row r="1786" spans="1:11" x14ac:dyDescent="0.35">
      <c r="B1786" s="182" t="s">
        <v>7761</v>
      </c>
      <c r="C1786" s="183"/>
      <c r="D1786" s="184" t="s">
        <v>7762</v>
      </c>
      <c r="E1786" s="183" t="s">
        <v>7763</v>
      </c>
      <c r="F1786" s="183">
        <v>1</v>
      </c>
      <c r="G1786" s="185">
        <v>41.18</v>
      </c>
      <c r="H1786" s="186">
        <f t="shared" si="145"/>
        <v>41.18</v>
      </c>
      <c r="J1786" t="s">
        <v>2853</v>
      </c>
      <c r="K1786" s="188" t="s">
        <v>2853</v>
      </c>
    </row>
    <row r="1787" spans="1:11" x14ac:dyDescent="0.35">
      <c r="B1787" s="182" t="s">
        <v>7764</v>
      </c>
      <c r="C1787" s="183"/>
      <c r="D1787" s="184" t="s">
        <v>7765</v>
      </c>
      <c r="E1787" s="183" t="s">
        <v>7766</v>
      </c>
      <c r="F1787" s="183">
        <v>1</v>
      </c>
      <c r="G1787" s="185">
        <v>41.18</v>
      </c>
      <c r="H1787" s="186">
        <f t="shared" si="145"/>
        <v>41.18</v>
      </c>
      <c r="J1787" t="s">
        <v>2853</v>
      </c>
      <c r="K1787" s="188" t="s">
        <v>2853</v>
      </c>
    </row>
    <row r="1788" spans="1:11" x14ac:dyDescent="0.35">
      <c r="B1788" s="182" t="s">
        <v>7767</v>
      </c>
      <c r="C1788" s="183"/>
      <c r="D1788" s="184" t="s">
        <v>7768</v>
      </c>
      <c r="E1788" s="183" t="s">
        <v>7769</v>
      </c>
      <c r="F1788" s="183">
        <v>1</v>
      </c>
      <c r="G1788" s="185">
        <v>41.18</v>
      </c>
      <c r="H1788" s="186">
        <f t="shared" si="145"/>
        <v>41.18</v>
      </c>
      <c r="J1788" t="s">
        <v>2853</v>
      </c>
      <c r="K1788" s="188" t="s">
        <v>2853</v>
      </c>
    </row>
    <row r="1789" spans="1:11" x14ac:dyDescent="0.35">
      <c r="B1789" s="182" t="s">
        <v>7770</v>
      </c>
      <c r="C1789" s="183"/>
      <c r="D1789" s="184" t="s">
        <v>7771</v>
      </c>
      <c r="E1789" s="183" t="s">
        <v>7772</v>
      </c>
      <c r="F1789" s="183">
        <v>1</v>
      </c>
      <c r="G1789" s="185">
        <v>41.18</v>
      </c>
      <c r="H1789" s="186">
        <f t="shared" si="145"/>
        <v>41.18</v>
      </c>
      <c r="J1789" t="s">
        <v>2853</v>
      </c>
      <c r="K1789" s="188" t="s">
        <v>2853</v>
      </c>
    </row>
    <row r="1790" spans="1:11" x14ac:dyDescent="0.35">
      <c r="B1790" s="182" t="s">
        <v>7773</v>
      </c>
      <c r="C1790" s="183"/>
      <c r="D1790" s="184" t="s">
        <v>7774</v>
      </c>
      <c r="E1790" s="183" t="s">
        <v>7775</v>
      </c>
      <c r="F1790" s="183">
        <v>1</v>
      </c>
      <c r="G1790" s="185">
        <v>41.18</v>
      </c>
      <c r="H1790" s="186">
        <f t="shared" si="145"/>
        <v>41.18</v>
      </c>
      <c r="J1790" t="s">
        <v>2853</v>
      </c>
      <c r="K1790" s="188" t="s">
        <v>2853</v>
      </c>
    </row>
    <row r="1791" spans="1:11" x14ac:dyDescent="0.35">
      <c r="B1791" s="182" t="s">
        <v>7776</v>
      </c>
      <c r="C1791" s="183"/>
      <c r="D1791" s="184" t="s">
        <v>7777</v>
      </c>
      <c r="E1791" s="183" t="s">
        <v>7778</v>
      </c>
      <c r="F1791" s="183">
        <v>1</v>
      </c>
      <c r="G1791" s="185">
        <v>41.18</v>
      </c>
      <c r="H1791" s="186">
        <f t="shared" si="145"/>
        <v>41.18</v>
      </c>
      <c r="J1791" t="s">
        <v>2853</v>
      </c>
      <c r="K1791" s="188" t="s">
        <v>2853</v>
      </c>
    </row>
    <row r="1792" spans="1:11" x14ac:dyDescent="0.35">
      <c r="B1792" s="182" t="s">
        <v>7779</v>
      </c>
      <c r="C1792" s="183"/>
      <c r="D1792" s="184" t="s">
        <v>7780</v>
      </c>
      <c r="E1792" s="183" t="s">
        <v>7781</v>
      </c>
      <c r="F1792" s="183">
        <v>1</v>
      </c>
      <c r="G1792" s="185">
        <v>41.18</v>
      </c>
      <c r="H1792" s="186">
        <f t="shared" si="145"/>
        <v>41.18</v>
      </c>
      <c r="J1792" t="s">
        <v>2853</v>
      </c>
      <c r="K1792" s="188" t="s">
        <v>2853</v>
      </c>
    </row>
    <row r="1793" spans="2:11" x14ac:dyDescent="0.35">
      <c r="B1793" s="182" t="s">
        <v>7782</v>
      </c>
      <c r="C1793" s="183"/>
      <c r="D1793" s="184" t="s">
        <v>7783</v>
      </c>
      <c r="E1793" s="183" t="s">
        <v>7784</v>
      </c>
      <c r="F1793" s="183">
        <v>1</v>
      </c>
      <c r="G1793" s="185">
        <v>41.18</v>
      </c>
      <c r="H1793" s="186">
        <f t="shared" si="145"/>
        <v>41.18</v>
      </c>
      <c r="J1793" t="s">
        <v>2853</v>
      </c>
      <c r="K1793" s="188" t="s">
        <v>2853</v>
      </c>
    </row>
    <row r="1794" spans="2:11" x14ac:dyDescent="0.35">
      <c r="B1794" s="182" t="s">
        <v>7785</v>
      </c>
      <c r="C1794" s="183"/>
      <c r="D1794" s="184" t="s">
        <v>7786</v>
      </c>
      <c r="E1794" s="183" t="s">
        <v>7787</v>
      </c>
      <c r="F1794" s="183">
        <v>1</v>
      </c>
      <c r="G1794" s="185">
        <v>41.18</v>
      </c>
      <c r="H1794" s="186">
        <f t="shared" si="145"/>
        <v>41.18</v>
      </c>
      <c r="J1794" t="s">
        <v>2853</v>
      </c>
      <c r="K1794" s="188" t="s">
        <v>2853</v>
      </c>
    </row>
    <row r="1795" spans="2:11" x14ac:dyDescent="0.35">
      <c r="B1795" s="182" t="s">
        <v>7788</v>
      </c>
      <c r="C1795" s="183"/>
      <c r="D1795" s="184" t="s">
        <v>7789</v>
      </c>
      <c r="E1795" s="183" t="s">
        <v>7790</v>
      </c>
      <c r="F1795" s="183">
        <v>1</v>
      </c>
      <c r="G1795" s="185">
        <v>41.18</v>
      </c>
      <c r="H1795" s="186">
        <f t="shared" si="145"/>
        <v>41.18</v>
      </c>
      <c r="J1795" t="s">
        <v>2853</v>
      </c>
      <c r="K1795" s="188" t="s">
        <v>2853</v>
      </c>
    </row>
    <row r="1796" spans="2:11" x14ac:dyDescent="0.35">
      <c r="B1796" s="182" t="s">
        <v>7791</v>
      </c>
      <c r="C1796" s="183"/>
      <c r="D1796" s="184" t="s">
        <v>7792</v>
      </c>
      <c r="E1796" s="183" t="s">
        <v>7748</v>
      </c>
      <c r="F1796" s="183">
        <v>1</v>
      </c>
      <c r="G1796" s="185">
        <v>48.21</v>
      </c>
      <c r="H1796" s="186">
        <f t="shared" si="145"/>
        <v>48.21</v>
      </c>
      <c r="J1796" t="s">
        <v>2853</v>
      </c>
      <c r="K1796" s="188" t="s">
        <v>2853</v>
      </c>
    </row>
    <row r="1797" spans="2:11" x14ac:dyDescent="0.35">
      <c r="B1797" s="182" t="s">
        <v>7793</v>
      </c>
      <c r="C1797" s="183"/>
      <c r="D1797" s="184" t="s">
        <v>7794</v>
      </c>
      <c r="E1797" s="183" t="s">
        <v>7751</v>
      </c>
      <c r="F1797" s="183">
        <v>1</v>
      </c>
      <c r="G1797" s="185">
        <v>48.21</v>
      </c>
      <c r="H1797" s="186">
        <f t="shared" si="145"/>
        <v>48.21</v>
      </c>
      <c r="J1797" t="s">
        <v>2853</v>
      </c>
      <c r="K1797" s="188" t="s">
        <v>2853</v>
      </c>
    </row>
    <row r="1798" spans="2:11" x14ac:dyDescent="0.35">
      <c r="B1798" s="182" t="s">
        <v>7795</v>
      </c>
      <c r="C1798" s="183"/>
      <c r="D1798" s="184" t="s">
        <v>7796</v>
      </c>
      <c r="E1798" s="183" t="s">
        <v>7754</v>
      </c>
      <c r="F1798" s="183">
        <v>1</v>
      </c>
      <c r="G1798" s="185">
        <v>48.21</v>
      </c>
      <c r="H1798" s="186">
        <f t="shared" si="145"/>
        <v>48.21</v>
      </c>
      <c r="J1798" t="s">
        <v>2853</v>
      </c>
      <c r="K1798" s="188" t="s">
        <v>2853</v>
      </c>
    </row>
    <row r="1799" spans="2:11" x14ac:dyDescent="0.35">
      <c r="B1799" s="182" t="s">
        <v>7797</v>
      </c>
      <c r="C1799" s="183"/>
      <c r="D1799" s="184" t="s">
        <v>7798</v>
      </c>
      <c r="E1799" s="183" t="s">
        <v>7757</v>
      </c>
      <c r="F1799" s="183">
        <v>1</v>
      </c>
      <c r="G1799" s="185">
        <v>48.21</v>
      </c>
      <c r="H1799" s="186">
        <f t="shared" si="145"/>
        <v>48.21</v>
      </c>
      <c r="J1799" t="s">
        <v>2853</v>
      </c>
      <c r="K1799" s="188" t="s">
        <v>2853</v>
      </c>
    </row>
    <row r="1800" spans="2:11" x14ac:dyDescent="0.35">
      <c r="B1800" s="182" t="s">
        <v>7799</v>
      </c>
      <c r="C1800" s="183"/>
      <c r="D1800" s="184" t="s">
        <v>7800</v>
      </c>
      <c r="E1800" s="183" t="s">
        <v>7760</v>
      </c>
      <c r="F1800" s="183">
        <v>1</v>
      </c>
      <c r="G1800" s="185">
        <v>48.21</v>
      </c>
      <c r="H1800" s="186">
        <f t="shared" si="145"/>
        <v>48.21</v>
      </c>
      <c r="J1800" t="s">
        <v>2853</v>
      </c>
      <c r="K1800" s="188" t="s">
        <v>2853</v>
      </c>
    </row>
    <row r="1801" spans="2:11" x14ac:dyDescent="0.35">
      <c r="B1801" s="182" t="s">
        <v>7801</v>
      </c>
      <c r="C1801" s="183"/>
      <c r="D1801" s="184" t="s">
        <v>7802</v>
      </c>
      <c r="E1801" s="183" t="s">
        <v>7763</v>
      </c>
      <c r="F1801" s="183">
        <v>1</v>
      </c>
      <c r="G1801" s="185">
        <v>48.21</v>
      </c>
      <c r="H1801" s="186">
        <f t="shared" si="145"/>
        <v>48.21</v>
      </c>
      <c r="J1801" t="s">
        <v>2853</v>
      </c>
      <c r="K1801" s="188" t="s">
        <v>2853</v>
      </c>
    </row>
    <row r="1802" spans="2:11" x14ac:dyDescent="0.35">
      <c r="B1802" s="182" t="s">
        <v>7803</v>
      </c>
      <c r="C1802" s="183"/>
      <c r="D1802" s="184" t="s">
        <v>7804</v>
      </c>
      <c r="E1802" s="183" t="s">
        <v>7805</v>
      </c>
      <c r="F1802" s="183">
        <v>1</v>
      </c>
      <c r="G1802" s="185">
        <v>48.21</v>
      </c>
      <c r="H1802" s="186">
        <f t="shared" si="145"/>
        <v>48.21</v>
      </c>
      <c r="J1802" t="s">
        <v>2853</v>
      </c>
      <c r="K1802" s="188" t="s">
        <v>2853</v>
      </c>
    </row>
    <row r="1803" spans="2:11" x14ac:dyDescent="0.35">
      <c r="B1803" s="182" t="s">
        <v>7806</v>
      </c>
      <c r="C1803" s="183"/>
      <c r="D1803" s="184" t="s">
        <v>7807</v>
      </c>
      <c r="E1803" s="183" t="s">
        <v>7769</v>
      </c>
      <c r="F1803" s="183">
        <v>1</v>
      </c>
      <c r="G1803" s="185">
        <v>48.21</v>
      </c>
      <c r="H1803" s="186">
        <f t="shared" si="145"/>
        <v>48.21</v>
      </c>
      <c r="J1803" t="s">
        <v>2853</v>
      </c>
      <c r="K1803" s="188" t="s">
        <v>2853</v>
      </c>
    </row>
    <row r="1804" spans="2:11" x14ac:dyDescent="0.35">
      <c r="B1804" s="182" t="s">
        <v>7808</v>
      </c>
      <c r="C1804" s="183"/>
      <c r="D1804" s="184" t="s">
        <v>7809</v>
      </c>
      <c r="E1804" s="183" t="s">
        <v>7772</v>
      </c>
      <c r="F1804" s="183">
        <v>1</v>
      </c>
      <c r="G1804" s="185">
        <v>48.21</v>
      </c>
      <c r="H1804" s="186">
        <f t="shared" si="145"/>
        <v>48.21</v>
      </c>
      <c r="J1804" t="s">
        <v>2853</v>
      </c>
      <c r="K1804" s="188" t="s">
        <v>2853</v>
      </c>
    </row>
    <row r="1805" spans="2:11" x14ac:dyDescent="0.35">
      <c r="B1805" s="182" t="s">
        <v>7810</v>
      </c>
      <c r="C1805" s="183"/>
      <c r="D1805" s="184" t="s">
        <v>7811</v>
      </c>
      <c r="E1805" s="183" t="s">
        <v>7775</v>
      </c>
      <c r="F1805" s="183">
        <v>1</v>
      </c>
      <c r="G1805" s="185">
        <v>48.21</v>
      </c>
      <c r="H1805" s="186">
        <f t="shared" si="145"/>
        <v>48.21</v>
      </c>
      <c r="J1805" t="s">
        <v>2853</v>
      </c>
      <c r="K1805" s="188" t="s">
        <v>2853</v>
      </c>
    </row>
    <row r="1806" spans="2:11" x14ac:dyDescent="0.35">
      <c r="B1806" s="182" t="s">
        <v>7812</v>
      </c>
      <c r="C1806" s="183"/>
      <c r="D1806" s="184" t="s">
        <v>7813</v>
      </c>
      <c r="E1806" s="183" t="s">
        <v>7778</v>
      </c>
      <c r="F1806" s="183">
        <v>1</v>
      </c>
      <c r="G1806" s="185">
        <v>48.21</v>
      </c>
      <c r="H1806" s="186">
        <f t="shared" si="145"/>
        <v>48.21</v>
      </c>
      <c r="J1806" t="s">
        <v>2853</v>
      </c>
      <c r="K1806" s="188" t="s">
        <v>2853</v>
      </c>
    </row>
    <row r="1807" spans="2:11" x14ac:dyDescent="0.35">
      <c r="B1807" s="182" t="s">
        <v>7814</v>
      </c>
      <c r="C1807" s="183"/>
      <c r="D1807" s="184" t="s">
        <v>7815</v>
      </c>
      <c r="E1807" s="183" t="s">
        <v>7781</v>
      </c>
      <c r="F1807" s="183">
        <v>1</v>
      </c>
      <c r="G1807" s="185">
        <v>48.21</v>
      </c>
      <c r="H1807" s="186">
        <f t="shared" si="145"/>
        <v>48.21</v>
      </c>
      <c r="J1807" t="s">
        <v>2853</v>
      </c>
      <c r="K1807" s="188" t="s">
        <v>2853</v>
      </c>
    </row>
    <row r="1808" spans="2:11" x14ac:dyDescent="0.35">
      <c r="B1808" s="182" t="s">
        <v>7816</v>
      </c>
      <c r="C1808" s="183"/>
      <c r="D1808" s="184" t="s">
        <v>7817</v>
      </c>
      <c r="E1808" s="183" t="s">
        <v>7784</v>
      </c>
      <c r="F1808" s="183">
        <v>1</v>
      </c>
      <c r="G1808" s="185">
        <v>48.21</v>
      </c>
      <c r="H1808" s="186">
        <f t="shared" si="145"/>
        <v>48.21</v>
      </c>
      <c r="J1808" t="s">
        <v>2853</v>
      </c>
      <c r="K1808" s="188" t="s">
        <v>2853</v>
      </c>
    </row>
    <row r="1809" spans="2:11" x14ac:dyDescent="0.35">
      <c r="B1809" s="182" t="s">
        <v>7818</v>
      </c>
      <c r="C1809" s="183"/>
      <c r="D1809" s="184" t="s">
        <v>7819</v>
      </c>
      <c r="E1809" s="183" t="s">
        <v>7787</v>
      </c>
      <c r="F1809" s="183">
        <v>1</v>
      </c>
      <c r="G1809" s="185">
        <v>48.21</v>
      </c>
      <c r="H1809" s="186">
        <f t="shared" si="145"/>
        <v>48.21</v>
      </c>
      <c r="J1809" t="s">
        <v>2853</v>
      </c>
      <c r="K1809" s="188" t="s">
        <v>2853</v>
      </c>
    </row>
    <row r="1810" spans="2:11" x14ac:dyDescent="0.35">
      <c r="B1810" s="182" t="s">
        <v>7820</v>
      </c>
      <c r="C1810" s="183"/>
      <c r="D1810" s="184" t="s">
        <v>7821</v>
      </c>
      <c r="E1810" s="183" t="s">
        <v>7790</v>
      </c>
      <c r="F1810" s="183">
        <v>1</v>
      </c>
      <c r="G1810" s="185">
        <v>48.21</v>
      </c>
      <c r="H1810" s="186">
        <f t="shared" si="145"/>
        <v>48.21</v>
      </c>
      <c r="J1810" t="s">
        <v>2853</v>
      </c>
      <c r="K1810" s="188" t="s">
        <v>2853</v>
      </c>
    </row>
    <row r="1811" spans="2:11" x14ac:dyDescent="0.35">
      <c r="B1811" s="182" t="s">
        <v>7822</v>
      </c>
      <c r="C1811" s="183"/>
      <c r="D1811" s="184" t="s">
        <v>7823</v>
      </c>
      <c r="E1811" s="183" t="s">
        <v>7748</v>
      </c>
      <c r="F1811" s="183">
        <v>1</v>
      </c>
      <c r="G1811" s="185">
        <v>56.47</v>
      </c>
      <c r="H1811" s="186">
        <f t="shared" si="145"/>
        <v>56.47</v>
      </c>
      <c r="J1811" t="s">
        <v>2853</v>
      </c>
      <c r="K1811" s="188" t="s">
        <v>2853</v>
      </c>
    </row>
    <row r="1812" spans="2:11" x14ac:dyDescent="0.35">
      <c r="B1812" s="182" t="s">
        <v>7824</v>
      </c>
      <c r="C1812" s="183"/>
      <c r="D1812" s="184" t="s">
        <v>7825</v>
      </c>
      <c r="E1812" s="183" t="s">
        <v>7751</v>
      </c>
      <c r="F1812" s="183">
        <v>1</v>
      </c>
      <c r="G1812" s="185">
        <v>56.47</v>
      </c>
      <c r="H1812" s="186">
        <f t="shared" si="145"/>
        <v>56.47</v>
      </c>
      <c r="J1812" t="s">
        <v>2853</v>
      </c>
      <c r="K1812" s="188" t="s">
        <v>2853</v>
      </c>
    </row>
    <row r="1813" spans="2:11" x14ac:dyDescent="0.35">
      <c r="B1813" s="182" t="s">
        <v>7826</v>
      </c>
      <c r="C1813" s="183"/>
      <c r="D1813" s="184" t="s">
        <v>7827</v>
      </c>
      <c r="E1813" s="183" t="s">
        <v>7754</v>
      </c>
      <c r="F1813" s="183">
        <v>1</v>
      </c>
      <c r="G1813" s="185">
        <v>56.47</v>
      </c>
      <c r="H1813" s="186">
        <f t="shared" si="145"/>
        <v>56.47</v>
      </c>
      <c r="J1813" t="s">
        <v>2853</v>
      </c>
      <c r="K1813" s="188" t="s">
        <v>2853</v>
      </c>
    </row>
    <row r="1814" spans="2:11" x14ac:dyDescent="0.35">
      <c r="B1814" s="182" t="s">
        <v>7828</v>
      </c>
      <c r="C1814" s="183"/>
      <c r="D1814" s="184" t="s">
        <v>7829</v>
      </c>
      <c r="E1814" s="183" t="s">
        <v>7757</v>
      </c>
      <c r="F1814" s="183">
        <v>1</v>
      </c>
      <c r="G1814" s="185">
        <v>56.47</v>
      </c>
      <c r="H1814" s="186">
        <f t="shared" si="145"/>
        <v>56.47</v>
      </c>
      <c r="J1814" t="s">
        <v>2853</v>
      </c>
      <c r="K1814" s="188" t="s">
        <v>2853</v>
      </c>
    </row>
    <row r="1815" spans="2:11" x14ac:dyDescent="0.35">
      <c r="B1815" s="182" t="s">
        <v>7830</v>
      </c>
      <c r="C1815" s="183"/>
      <c r="D1815" s="184" t="s">
        <v>7831</v>
      </c>
      <c r="E1815" s="183" t="s">
        <v>7760</v>
      </c>
      <c r="F1815" s="183">
        <v>1</v>
      </c>
      <c r="G1815" s="185">
        <v>56.47</v>
      </c>
      <c r="H1815" s="186">
        <f t="shared" si="145"/>
        <v>56.47</v>
      </c>
      <c r="J1815" t="s">
        <v>2853</v>
      </c>
      <c r="K1815" s="188" t="s">
        <v>2853</v>
      </c>
    </row>
    <row r="1816" spans="2:11" x14ac:dyDescent="0.35">
      <c r="B1816" s="182" t="s">
        <v>7832</v>
      </c>
      <c r="C1816" s="183"/>
      <c r="D1816" s="184" t="s">
        <v>7833</v>
      </c>
      <c r="E1816" s="183" t="s">
        <v>7763</v>
      </c>
      <c r="F1816" s="183">
        <v>1</v>
      </c>
      <c r="G1816" s="185">
        <v>56.47</v>
      </c>
      <c r="H1816" s="186">
        <f t="shared" si="145"/>
        <v>56.47</v>
      </c>
      <c r="J1816" t="s">
        <v>2853</v>
      </c>
      <c r="K1816" s="188" t="s">
        <v>2853</v>
      </c>
    </row>
    <row r="1817" spans="2:11" x14ac:dyDescent="0.35">
      <c r="B1817" s="182" t="s">
        <v>7834</v>
      </c>
      <c r="C1817" s="183"/>
      <c r="D1817" s="184" t="s">
        <v>7835</v>
      </c>
      <c r="E1817" s="183" t="s">
        <v>7805</v>
      </c>
      <c r="F1817" s="183">
        <v>1</v>
      </c>
      <c r="G1817" s="185">
        <v>56.47</v>
      </c>
      <c r="H1817" s="186">
        <f t="shared" si="145"/>
        <v>56.47</v>
      </c>
      <c r="J1817" t="s">
        <v>2853</v>
      </c>
      <c r="K1817" s="188" t="s">
        <v>2853</v>
      </c>
    </row>
    <row r="1818" spans="2:11" x14ac:dyDescent="0.35">
      <c r="B1818" s="182" t="s">
        <v>7836</v>
      </c>
      <c r="C1818" s="183"/>
      <c r="D1818" s="184" t="s">
        <v>7837</v>
      </c>
      <c r="E1818" s="183" t="s">
        <v>7769</v>
      </c>
      <c r="F1818" s="183">
        <v>1</v>
      </c>
      <c r="G1818" s="185">
        <v>56.47</v>
      </c>
      <c r="H1818" s="186">
        <f t="shared" si="145"/>
        <v>56.47</v>
      </c>
      <c r="J1818" t="s">
        <v>2853</v>
      </c>
      <c r="K1818" s="188" t="s">
        <v>2853</v>
      </c>
    </row>
    <row r="1819" spans="2:11" x14ac:dyDescent="0.35">
      <c r="B1819" s="182" t="s">
        <v>7838</v>
      </c>
      <c r="C1819" s="183"/>
      <c r="D1819" s="184" t="s">
        <v>7839</v>
      </c>
      <c r="E1819" s="183" t="s">
        <v>7772</v>
      </c>
      <c r="F1819" s="183">
        <v>1</v>
      </c>
      <c r="G1819" s="185">
        <v>56.47</v>
      </c>
      <c r="H1819" s="186">
        <f t="shared" si="145"/>
        <v>56.47</v>
      </c>
      <c r="J1819" t="s">
        <v>2853</v>
      </c>
      <c r="K1819" s="188" t="s">
        <v>2853</v>
      </c>
    </row>
    <row r="1820" spans="2:11" x14ac:dyDescent="0.35">
      <c r="B1820" s="182" t="s">
        <v>7840</v>
      </c>
      <c r="C1820" s="183"/>
      <c r="D1820" s="184" t="s">
        <v>7841</v>
      </c>
      <c r="E1820" s="183" t="s">
        <v>7775</v>
      </c>
      <c r="F1820" s="183">
        <v>1</v>
      </c>
      <c r="G1820" s="185">
        <v>56.47</v>
      </c>
      <c r="H1820" s="186">
        <f t="shared" si="145"/>
        <v>56.47</v>
      </c>
      <c r="J1820" t="s">
        <v>2853</v>
      </c>
      <c r="K1820" s="188" t="s">
        <v>2853</v>
      </c>
    </row>
    <row r="1821" spans="2:11" x14ac:dyDescent="0.35">
      <c r="B1821" s="182" t="s">
        <v>7842</v>
      </c>
      <c r="C1821" s="183"/>
      <c r="D1821" s="184" t="s">
        <v>7843</v>
      </c>
      <c r="E1821" s="183" t="s">
        <v>7778</v>
      </c>
      <c r="F1821" s="183">
        <v>1</v>
      </c>
      <c r="G1821" s="185">
        <v>56.47</v>
      </c>
      <c r="H1821" s="186">
        <f t="shared" si="145"/>
        <v>56.47</v>
      </c>
      <c r="J1821" t="s">
        <v>2853</v>
      </c>
      <c r="K1821" s="188" t="s">
        <v>2853</v>
      </c>
    </row>
    <row r="1822" spans="2:11" x14ac:dyDescent="0.35">
      <c r="B1822" s="182" t="s">
        <v>7844</v>
      </c>
      <c r="C1822" s="183"/>
      <c r="D1822" s="184" t="s">
        <v>7845</v>
      </c>
      <c r="E1822" s="183" t="s">
        <v>7781</v>
      </c>
      <c r="F1822" s="183">
        <v>1</v>
      </c>
      <c r="G1822" s="185">
        <v>56.47</v>
      </c>
      <c r="H1822" s="186">
        <f t="shared" si="145"/>
        <v>56.47</v>
      </c>
      <c r="J1822" t="s">
        <v>2853</v>
      </c>
      <c r="K1822" s="188" t="s">
        <v>2853</v>
      </c>
    </row>
    <row r="1823" spans="2:11" x14ac:dyDescent="0.35">
      <c r="B1823" s="182" t="s">
        <v>7846</v>
      </c>
      <c r="C1823" s="183"/>
      <c r="D1823" s="184" t="s">
        <v>7847</v>
      </c>
      <c r="E1823" s="183" t="s">
        <v>7784</v>
      </c>
      <c r="F1823" s="183">
        <v>1</v>
      </c>
      <c r="G1823" s="185">
        <v>56.47</v>
      </c>
      <c r="H1823" s="186">
        <f t="shared" si="145"/>
        <v>56.47</v>
      </c>
      <c r="J1823" t="s">
        <v>2853</v>
      </c>
      <c r="K1823" s="188" t="s">
        <v>2853</v>
      </c>
    </row>
    <row r="1824" spans="2:11" x14ac:dyDescent="0.35">
      <c r="B1824" s="182" t="s">
        <v>7848</v>
      </c>
      <c r="C1824" s="183"/>
      <c r="D1824" s="184" t="s">
        <v>7849</v>
      </c>
      <c r="E1824" s="183" t="s">
        <v>7787</v>
      </c>
      <c r="F1824" s="183">
        <v>1</v>
      </c>
      <c r="G1824" s="185">
        <v>56.47</v>
      </c>
      <c r="H1824" s="186">
        <f t="shared" si="145"/>
        <v>56.47</v>
      </c>
      <c r="J1824" t="s">
        <v>2853</v>
      </c>
      <c r="K1824" s="188" t="s">
        <v>2853</v>
      </c>
    </row>
    <row r="1825" spans="2:11" x14ac:dyDescent="0.35">
      <c r="B1825" s="182" t="s">
        <v>7850</v>
      </c>
      <c r="C1825" s="183"/>
      <c r="D1825" s="184" t="s">
        <v>7851</v>
      </c>
      <c r="E1825" s="183" t="s">
        <v>7790</v>
      </c>
      <c r="F1825" s="183">
        <v>1</v>
      </c>
      <c r="G1825" s="185">
        <v>56.47</v>
      </c>
      <c r="H1825" s="186">
        <f t="shared" si="145"/>
        <v>56.47</v>
      </c>
      <c r="J1825" t="s">
        <v>2853</v>
      </c>
      <c r="K1825" s="188" t="s">
        <v>2853</v>
      </c>
    </row>
    <row r="1826" spans="2:11" x14ac:dyDescent="0.35">
      <c r="B1826" s="182" t="s">
        <v>7852</v>
      </c>
      <c r="C1826" s="183"/>
      <c r="D1826" s="184" t="s">
        <v>7853</v>
      </c>
      <c r="E1826" s="183" t="s">
        <v>7748</v>
      </c>
      <c r="F1826" s="183">
        <v>1</v>
      </c>
      <c r="G1826" s="185">
        <v>64.63</v>
      </c>
      <c r="H1826" s="186">
        <f t="shared" si="145"/>
        <v>64.63</v>
      </c>
      <c r="J1826" t="s">
        <v>2853</v>
      </c>
      <c r="K1826" s="188" t="s">
        <v>2853</v>
      </c>
    </row>
    <row r="1827" spans="2:11" x14ac:dyDescent="0.35">
      <c r="B1827" s="182" t="s">
        <v>7854</v>
      </c>
      <c r="C1827" s="183"/>
      <c r="D1827" s="184" t="s">
        <v>7855</v>
      </c>
      <c r="E1827" s="183" t="s">
        <v>7751</v>
      </c>
      <c r="F1827" s="183">
        <v>1</v>
      </c>
      <c r="G1827" s="185">
        <v>64.63</v>
      </c>
      <c r="H1827" s="186">
        <f t="shared" si="145"/>
        <v>64.63</v>
      </c>
      <c r="J1827" t="s">
        <v>2853</v>
      </c>
      <c r="K1827" s="188" t="s">
        <v>2853</v>
      </c>
    </row>
    <row r="1828" spans="2:11" x14ac:dyDescent="0.35">
      <c r="B1828" s="182" t="s">
        <v>7856</v>
      </c>
      <c r="C1828" s="183"/>
      <c r="D1828" s="184" t="s">
        <v>7857</v>
      </c>
      <c r="E1828" s="183" t="s">
        <v>7754</v>
      </c>
      <c r="F1828" s="183">
        <v>1</v>
      </c>
      <c r="G1828" s="185">
        <v>64.63</v>
      </c>
      <c r="H1828" s="186">
        <f t="shared" si="145"/>
        <v>64.63</v>
      </c>
      <c r="J1828" t="s">
        <v>2853</v>
      </c>
      <c r="K1828" s="188" t="s">
        <v>2853</v>
      </c>
    </row>
    <row r="1829" spans="2:11" x14ac:dyDescent="0.35">
      <c r="B1829" s="182" t="s">
        <v>7858</v>
      </c>
      <c r="C1829" s="183"/>
      <c r="D1829" s="184" t="s">
        <v>7859</v>
      </c>
      <c r="E1829" s="183" t="s">
        <v>7757</v>
      </c>
      <c r="F1829" s="183">
        <v>1</v>
      </c>
      <c r="G1829" s="185">
        <v>64.63</v>
      </c>
      <c r="H1829" s="186">
        <f t="shared" si="145"/>
        <v>64.63</v>
      </c>
      <c r="J1829" t="s">
        <v>2853</v>
      </c>
      <c r="K1829" s="188" t="s">
        <v>2853</v>
      </c>
    </row>
    <row r="1830" spans="2:11" x14ac:dyDescent="0.35">
      <c r="B1830" s="182" t="s">
        <v>7860</v>
      </c>
      <c r="C1830" s="183"/>
      <c r="D1830" s="184" t="s">
        <v>7861</v>
      </c>
      <c r="E1830" s="183" t="s">
        <v>7760</v>
      </c>
      <c r="F1830" s="183">
        <v>1</v>
      </c>
      <c r="G1830" s="185">
        <v>64.63</v>
      </c>
      <c r="H1830" s="186">
        <f t="shared" si="145"/>
        <v>64.63</v>
      </c>
      <c r="J1830" t="s">
        <v>2853</v>
      </c>
      <c r="K1830" s="188" t="s">
        <v>2853</v>
      </c>
    </row>
    <row r="1831" spans="2:11" x14ac:dyDescent="0.35">
      <c r="B1831" s="182" t="s">
        <v>7862</v>
      </c>
      <c r="C1831" s="183"/>
      <c r="D1831" s="184" t="s">
        <v>7863</v>
      </c>
      <c r="E1831" s="183" t="s">
        <v>7763</v>
      </c>
      <c r="F1831" s="183">
        <v>1</v>
      </c>
      <c r="G1831" s="185">
        <v>64.63</v>
      </c>
      <c r="H1831" s="186">
        <f t="shared" si="145"/>
        <v>64.63</v>
      </c>
      <c r="J1831" t="s">
        <v>2853</v>
      </c>
      <c r="K1831" s="188" t="s">
        <v>2853</v>
      </c>
    </row>
    <row r="1832" spans="2:11" x14ac:dyDescent="0.35">
      <c r="B1832" s="182" t="s">
        <v>7864</v>
      </c>
      <c r="C1832" s="183"/>
      <c r="D1832" s="184" t="s">
        <v>7865</v>
      </c>
      <c r="E1832" s="183" t="s">
        <v>7805</v>
      </c>
      <c r="F1832" s="183">
        <v>1</v>
      </c>
      <c r="G1832" s="185">
        <v>64.63</v>
      </c>
      <c r="H1832" s="186">
        <f t="shared" si="145"/>
        <v>64.63</v>
      </c>
      <c r="J1832" t="s">
        <v>2853</v>
      </c>
      <c r="K1832" s="188" t="s">
        <v>2853</v>
      </c>
    </row>
    <row r="1833" spans="2:11" x14ac:dyDescent="0.35">
      <c r="B1833" s="182" t="s">
        <v>7866</v>
      </c>
      <c r="C1833" s="183"/>
      <c r="D1833" s="184" t="s">
        <v>7867</v>
      </c>
      <c r="E1833" s="183" t="s">
        <v>7769</v>
      </c>
      <c r="F1833" s="183">
        <v>1</v>
      </c>
      <c r="G1833" s="185">
        <v>64.63</v>
      </c>
      <c r="H1833" s="186">
        <f t="shared" si="145"/>
        <v>64.63</v>
      </c>
      <c r="J1833" t="s">
        <v>2853</v>
      </c>
      <c r="K1833" s="188" t="s">
        <v>2853</v>
      </c>
    </row>
    <row r="1834" spans="2:11" x14ac:dyDescent="0.35">
      <c r="B1834" s="182" t="s">
        <v>7868</v>
      </c>
      <c r="C1834" s="183"/>
      <c r="D1834" s="184" t="s">
        <v>7869</v>
      </c>
      <c r="E1834" s="183" t="s">
        <v>7772</v>
      </c>
      <c r="F1834" s="183">
        <v>1</v>
      </c>
      <c r="G1834" s="185">
        <v>64.63</v>
      </c>
      <c r="H1834" s="186">
        <f t="shared" si="145"/>
        <v>64.63</v>
      </c>
      <c r="J1834" t="s">
        <v>2853</v>
      </c>
      <c r="K1834" s="188" t="s">
        <v>2853</v>
      </c>
    </row>
    <row r="1835" spans="2:11" x14ac:dyDescent="0.35">
      <c r="B1835" s="182" t="s">
        <v>7870</v>
      </c>
      <c r="C1835" s="183"/>
      <c r="D1835" s="184" t="s">
        <v>7871</v>
      </c>
      <c r="E1835" s="183" t="s">
        <v>7775</v>
      </c>
      <c r="F1835" s="183">
        <v>1</v>
      </c>
      <c r="G1835" s="185">
        <v>64.63</v>
      </c>
      <c r="H1835" s="186">
        <f t="shared" si="145"/>
        <v>64.63</v>
      </c>
      <c r="J1835" t="s">
        <v>2853</v>
      </c>
      <c r="K1835" s="188" t="s">
        <v>2853</v>
      </c>
    </row>
    <row r="1836" spans="2:11" x14ac:dyDescent="0.35">
      <c r="B1836" s="182" t="s">
        <v>7872</v>
      </c>
      <c r="C1836" s="183"/>
      <c r="D1836" s="184" t="s">
        <v>7873</v>
      </c>
      <c r="E1836" s="183" t="s">
        <v>7778</v>
      </c>
      <c r="F1836" s="183">
        <v>1</v>
      </c>
      <c r="G1836" s="185">
        <v>64.63</v>
      </c>
      <c r="H1836" s="186">
        <f t="shared" si="145"/>
        <v>64.63</v>
      </c>
      <c r="J1836" t="s">
        <v>2853</v>
      </c>
      <c r="K1836" s="188" t="s">
        <v>2853</v>
      </c>
    </row>
    <row r="1837" spans="2:11" x14ac:dyDescent="0.35">
      <c r="B1837" s="182" t="s">
        <v>7874</v>
      </c>
      <c r="C1837" s="183"/>
      <c r="D1837" s="184" t="s">
        <v>7875</v>
      </c>
      <c r="E1837" s="183" t="s">
        <v>7781</v>
      </c>
      <c r="F1837" s="183">
        <v>1</v>
      </c>
      <c r="G1837" s="185">
        <v>64.63</v>
      </c>
      <c r="H1837" s="186">
        <f t="shared" si="145"/>
        <v>64.63</v>
      </c>
      <c r="J1837" t="s">
        <v>2853</v>
      </c>
      <c r="K1837" s="188" t="s">
        <v>2853</v>
      </c>
    </row>
    <row r="1838" spans="2:11" x14ac:dyDescent="0.35">
      <c r="B1838" s="182" t="s">
        <v>7876</v>
      </c>
      <c r="C1838" s="183"/>
      <c r="D1838" s="184" t="s">
        <v>7877</v>
      </c>
      <c r="E1838" s="183" t="s">
        <v>7784</v>
      </c>
      <c r="F1838" s="183">
        <v>1</v>
      </c>
      <c r="G1838" s="185">
        <v>64.63</v>
      </c>
      <c r="H1838" s="186">
        <f t="shared" si="145"/>
        <v>64.63</v>
      </c>
      <c r="J1838" t="s">
        <v>2853</v>
      </c>
      <c r="K1838" s="188" t="s">
        <v>2853</v>
      </c>
    </row>
    <row r="1839" spans="2:11" x14ac:dyDescent="0.35">
      <c r="B1839" s="182" t="s">
        <v>7878</v>
      </c>
      <c r="C1839" s="183"/>
      <c r="D1839" s="184" t="s">
        <v>7879</v>
      </c>
      <c r="E1839" s="183" t="s">
        <v>7787</v>
      </c>
      <c r="F1839" s="183">
        <v>1</v>
      </c>
      <c r="G1839" s="185">
        <v>64.63</v>
      </c>
      <c r="H1839" s="186">
        <f t="shared" si="145"/>
        <v>64.63</v>
      </c>
      <c r="J1839" t="s">
        <v>2853</v>
      </c>
      <c r="K1839" s="188" t="s">
        <v>2853</v>
      </c>
    </row>
    <row r="1840" spans="2:11" x14ac:dyDescent="0.35">
      <c r="B1840" s="182" t="s">
        <v>7880</v>
      </c>
      <c r="C1840" s="183"/>
      <c r="D1840" s="184" t="s">
        <v>7881</v>
      </c>
      <c r="E1840" s="183" t="s">
        <v>7790</v>
      </c>
      <c r="F1840" s="183">
        <v>1</v>
      </c>
      <c r="G1840" s="185">
        <v>64.63</v>
      </c>
      <c r="H1840" s="186">
        <f t="shared" si="145"/>
        <v>64.63</v>
      </c>
      <c r="J1840" t="s">
        <v>2853</v>
      </c>
      <c r="K1840" s="188" t="s">
        <v>2853</v>
      </c>
    </row>
    <row r="1841" spans="2:11" x14ac:dyDescent="0.35">
      <c r="B1841" s="182"/>
      <c r="C1841" s="183"/>
      <c r="D1841" s="184"/>
      <c r="E1841" s="183"/>
      <c r="F1841" s="183"/>
      <c r="G1841" s="185"/>
      <c r="H1841" s="186"/>
      <c r="J1841" t="s">
        <v>2853</v>
      </c>
      <c r="K1841" s="188" t="s">
        <v>2853</v>
      </c>
    </row>
    <row r="1842" spans="2:11" x14ac:dyDescent="0.35">
      <c r="B1842" s="182" t="s">
        <v>7882</v>
      </c>
      <c r="C1842" s="183"/>
      <c r="D1842" s="184"/>
      <c r="E1842" s="183" t="s">
        <v>2842</v>
      </c>
      <c r="F1842" s="183"/>
      <c r="G1842" s="185"/>
      <c r="H1842" s="186"/>
      <c r="J1842" t="s">
        <v>2853</v>
      </c>
      <c r="K1842" s="188" t="s">
        <v>2853</v>
      </c>
    </row>
    <row r="1843" spans="2:11" x14ac:dyDescent="0.35">
      <c r="B1843" s="182"/>
      <c r="C1843" s="183"/>
      <c r="D1843" s="184"/>
      <c r="E1843" s="183"/>
      <c r="F1843" s="183"/>
      <c r="G1843" s="185"/>
      <c r="H1843" s="186"/>
      <c r="J1843" t="s">
        <v>2853</v>
      </c>
      <c r="K1843" s="188" t="s">
        <v>2853</v>
      </c>
    </row>
    <row r="1844" spans="2:11" x14ac:dyDescent="0.35">
      <c r="B1844" s="182" t="s">
        <v>7883</v>
      </c>
      <c r="C1844" s="183"/>
      <c r="D1844" s="184" t="s">
        <v>7884</v>
      </c>
      <c r="E1844" s="183" t="s">
        <v>1701</v>
      </c>
      <c r="F1844" s="183">
        <v>1</v>
      </c>
      <c r="G1844" s="185">
        <v>25.09</v>
      </c>
      <c r="H1844" s="186">
        <f t="shared" si="145"/>
        <v>25.09</v>
      </c>
      <c r="J1844" t="s">
        <v>2853</v>
      </c>
      <c r="K1844" s="188" t="s">
        <v>2853</v>
      </c>
    </row>
    <row r="1845" spans="2:11" x14ac:dyDescent="0.35">
      <c r="B1845" s="182" t="s">
        <v>7885</v>
      </c>
      <c r="C1845" s="183"/>
      <c r="D1845" s="184" t="s">
        <v>7886</v>
      </c>
      <c r="E1845" s="183" t="s">
        <v>1699</v>
      </c>
      <c r="F1845" s="183">
        <v>1</v>
      </c>
      <c r="G1845" s="185">
        <v>25.09</v>
      </c>
      <c r="H1845" s="186">
        <f t="shared" si="145"/>
        <v>25.09</v>
      </c>
      <c r="J1845" t="s">
        <v>2853</v>
      </c>
      <c r="K1845" s="188" t="s">
        <v>2853</v>
      </c>
    </row>
    <row r="1846" spans="2:11" x14ac:dyDescent="0.35">
      <c r="B1846" s="182" t="s">
        <v>7887</v>
      </c>
      <c r="C1846" s="183"/>
      <c r="D1846" s="184" t="s">
        <v>7888</v>
      </c>
      <c r="E1846" s="183" t="s">
        <v>1703</v>
      </c>
      <c r="F1846" s="183">
        <v>1</v>
      </c>
      <c r="G1846" s="185">
        <v>25.09</v>
      </c>
      <c r="H1846" s="186">
        <f t="shared" ref="H1846:H1861" si="146">F1846*G1846</f>
        <v>25.09</v>
      </c>
      <c r="J1846" t="s">
        <v>2853</v>
      </c>
      <c r="K1846" s="188" t="s">
        <v>2853</v>
      </c>
    </row>
    <row r="1847" spans="2:11" x14ac:dyDescent="0.35">
      <c r="B1847" s="182" t="s">
        <v>7889</v>
      </c>
      <c r="C1847" s="183"/>
      <c r="D1847" s="184" t="s">
        <v>7890</v>
      </c>
      <c r="E1847" s="183" t="s">
        <v>1701</v>
      </c>
      <c r="F1847" s="183">
        <v>1</v>
      </c>
      <c r="G1847" s="185">
        <v>37.549999999999997</v>
      </c>
      <c r="H1847" s="186">
        <f t="shared" si="146"/>
        <v>37.549999999999997</v>
      </c>
      <c r="J1847" t="s">
        <v>2853</v>
      </c>
      <c r="K1847" s="188" t="s">
        <v>2853</v>
      </c>
    </row>
    <row r="1848" spans="2:11" x14ac:dyDescent="0.35">
      <c r="B1848" s="182" t="s">
        <v>7891</v>
      </c>
      <c r="C1848" s="183"/>
      <c r="D1848" s="184" t="s">
        <v>7892</v>
      </c>
      <c r="E1848" s="183" t="s">
        <v>1699</v>
      </c>
      <c r="F1848" s="183">
        <v>1</v>
      </c>
      <c r="G1848" s="185">
        <v>37.549999999999997</v>
      </c>
      <c r="H1848" s="186">
        <f t="shared" si="146"/>
        <v>37.549999999999997</v>
      </c>
      <c r="J1848" t="s">
        <v>2853</v>
      </c>
      <c r="K1848" s="188" t="s">
        <v>2853</v>
      </c>
    </row>
    <row r="1849" spans="2:11" x14ac:dyDescent="0.35">
      <c r="B1849" s="182" t="s">
        <v>7893</v>
      </c>
      <c r="C1849" s="183"/>
      <c r="D1849" s="184" t="s">
        <v>7894</v>
      </c>
      <c r="E1849" s="183" t="s">
        <v>1703</v>
      </c>
      <c r="F1849" s="183">
        <v>1</v>
      </c>
      <c r="G1849" s="185">
        <v>37.549999999999997</v>
      </c>
      <c r="H1849" s="186">
        <f t="shared" si="146"/>
        <v>37.549999999999997</v>
      </c>
      <c r="J1849" t="s">
        <v>2853</v>
      </c>
      <c r="K1849" s="188" t="s">
        <v>2853</v>
      </c>
    </row>
    <row r="1850" spans="2:11" x14ac:dyDescent="0.35">
      <c r="B1850" s="182" t="s">
        <v>7895</v>
      </c>
      <c r="C1850" s="183"/>
      <c r="D1850" s="184" t="s">
        <v>7896</v>
      </c>
      <c r="E1850" s="183" t="s">
        <v>1701</v>
      </c>
      <c r="F1850" s="183">
        <v>1</v>
      </c>
      <c r="G1850" s="185">
        <v>52.09</v>
      </c>
      <c r="H1850" s="186">
        <f t="shared" si="146"/>
        <v>52.09</v>
      </c>
      <c r="J1850" t="s">
        <v>2853</v>
      </c>
      <c r="K1850" s="188" t="s">
        <v>2853</v>
      </c>
    </row>
    <row r="1851" spans="2:11" x14ac:dyDescent="0.35">
      <c r="B1851" s="182" t="s">
        <v>7897</v>
      </c>
      <c r="C1851" s="183"/>
      <c r="D1851" s="184" t="s">
        <v>7898</v>
      </c>
      <c r="E1851" s="183" t="s">
        <v>1699</v>
      </c>
      <c r="F1851" s="183">
        <v>1</v>
      </c>
      <c r="G1851" s="185">
        <v>52.09</v>
      </c>
      <c r="H1851" s="186">
        <f t="shared" si="146"/>
        <v>52.09</v>
      </c>
      <c r="J1851" t="s">
        <v>2853</v>
      </c>
      <c r="K1851" s="188" t="s">
        <v>2853</v>
      </c>
    </row>
    <row r="1852" spans="2:11" x14ac:dyDescent="0.35">
      <c r="B1852" s="182" t="s">
        <v>7899</v>
      </c>
      <c r="C1852" s="183"/>
      <c r="D1852" s="184" t="s">
        <v>7900</v>
      </c>
      <c r="E1852" s="183" t="s">
        <v>1703</v>
      </c>
      <c r="F1852" s="183">
        <v>1</v>
      </c>
      <c r="G1852" s="185">
        <v>52.09</v>
      </c>
      <c r="H1852" s="186">
        <f t="shared" si="146"/>
        <v>52.09</v>
      </c>
      <c r="J1852" t="s">
        <v>2853</v>
      </c>
      <c r="K1852" s="188" t="s">
        <v>2853</v>
      </c>
    </row>
    <row r="1853" spans="2:11" x14ac:dyDescent="0.35">
      <c r="B1853" s="182" t="s">
        <v>7901</v>
      </c>
      <c r="C1853" s="183"/>
      <c r="D1853" s="184" t="s">
        <v>7902</v>
      </c>
      <c r="E1853" s="183" t="s">
        <v>1701</v>
      </c>
      <c r="F1853" s="183">
        <v>1</v>
      </c>
      <c r="G1853" s="185">
        <v>66.55</v>
      </c>
      <c r="H1853" s="186">
        <f t="shared" si="146"/>
        <v>66.55</v>
      </c>
      <c r="J1853" t="s">
        <v>2853</v>
      </c>
      <c r="K1853" s="188" t="s">
        <v>2853</v>
      </c>
    </row>
    <row r="1854" spans="2:11" x14ac:dyDescent="0.35">
      <c r="B1854" s="182" t="s">
        <v>7903</v>
      </c>
      <c r="C1854" s="183"/>
      <c r="D1854" s="184" t="s">
        <v>7904</v>
      </c>
      <c r="E1854" s="183" t="s">
        <v>1699</v>
      </c>
      <c r="F1854" s="183">
        <v>1</v>
      </c>
      <c r="G1854" s="185">
        <v>66.55</v>
      </c>
      <c r="H1854" s="186">
        <f t="shared" si="146"/>
        <v>66.55</v>
      </c>
      <c r="J1854" t="s">
        <v>2853</v>
      </c>
      <c r="K1854" s="188" t="s">
        <v>2853</v>
      </c>
    </row>
    <row r="1855" spans="2:11" x14ac:dyDescent="0.35">
      <c r="B1855" s="182" t="s">
        <v>7905</v>
      </c>
      <c r="C1855" s="183"/>
      <c r="D1855" s="184" t="s">
        <v>7906</v>
      </c>
      <c r="E1855" s="183" t="s">
        <v>1703</v>
      </c>
      <c r="F1855" s="183">
        <v>1</v>
      </c>
      <c r="G1855" s="185">
        <v>66.55</v>
      </c>
      <c r="H1855" s="186">
        <f t="shared" si="146"/>
        <v>66.55</v>
      </c>
      <c r="J1855" t="s">
        <v>2853</v>
      </c>
      <c r="K1855" s="188" t="s">
        <v>2853</v>
      </c>
    </row>
    <row r="1856" spans="2:11" x14ac:dyDescent="0.35">
      <c r="B1856" s="182"/>
      <c r="C1856" s="183"/>
      <c r="D1856" s="184"/>
      <c r="E1856" s="183" t="s">
        <v>2842</v>
      </c>
      <c r="F1856" s="183"/>
      <c r="G1856" s="185"/>
      <c r="H1856" s="186"/>
      <c r="J1856" t="s">
        <v>2853</v>
      </c>
      <c r="K1856" s="188" t="s">
        <v>2853</v>
      </c>
    </row>
    <row r="1857" spans="1:11" x14ac:dyDescent="0.35">
      <c r="B1857" s="182" t="s">
        <v>7907</v>
      </c>
      <c r="C1857" s="183"/>
      <c r="D1857" s="184" t="s">
        <v>7908</v>
      </c>
      <c r="E1857" s="183" t="s">
        <v>59</v>
      </c>
      <c r="F1857" s="183">
        <v>1</v>
      </c>
      <c r="G1857" s="185">
        <v>83.97</v>
      </c>
      <c r="H1857" s="186">
        <f t="shared" si="146"/>
        <v>83.97</v>
      </c>
      <c r="J1857" t="s">
        <v>2853</v>
      </c>
      <c r="K1857" s="188" t="s">
        <v>2853</v>
      </c>
    </row>
    <row r="1858" spans="1:11" x14ac:dyDescent="0.35">
      <c r="B1858" s="182" t="s">
        <v>7909</v>
      </c>
      <c r="C1858" s="183"/>
      <c r="D1858" s="184" t="s">
        <v>7910</v>
      </c>
      <c r="E1858" s="183" t="s">
        <v>21</v>
      </c>
      <c r="F1858" s="183">
        <v>1</v>
      </c>
      <c r="G1858" s="185">
        <v>83.97</v>
      </c>
      <c r="H1858" s="186">
        <f t="shared" si="146"/>
        <v>83.97</v>
      </c>
      <c r="J1858" t="s">
        <v>2853</v>
      </c>
      <c r="K1858" s="188" t="s">
        <v>2853</v>
      </c>
    </row>
    <row r="1859" spans="1:11" x14ac:dyDescent="0.35">
      <c r="B1859" s="182" t="s">
        <v>7911</v>
      </c>
      <c r="C1859" s="183"/>
      <c r="D1859" s="184" t="s">
        <v>7912</v>
      </c>
      <c r="E1859" s="183" t="s">
        <v>563</v>
      </c>
      <c r="F1859" s="183">
        <v>1</v>
      </c>
      <c r="G1859" s="185">
        <v>83.97</v>
      </c>
      <c r="H1859" s="186">
        <f t="shared" si="146"/>
        <v>83.97</v>
      </c>
      <c r="J1859" t="s">
        <v>2853</v>
      </c>
      <c r="K1859" s="188" t="s">
        <v>2853</v>
      </c>
    </row>
    <row r="1860" spans="1:11" x14ac:dyDescent="0.35">
      <c r="B1860" s="182" t="s">
        <v>7913</v>
      </c>
      <c r="C1860" s="183"/>
      <c r="D1860" s="184" t="s">
        <v>7914</v>
      </c>
      <c r="E1860" s="183" t="s">
        <v>4633</v>
      </c>
      <c r="F1860" s="183">
        <v>1</v>
      </c>
      <c r="G1860" s="185">
        <v>83.97</v>
      </c>
      <c r="H1860" s="186">
        <f t="shared" si="146"/>
        <v>83.97</v>
      </c>
      <c r="J1860" t="s">
        <v>2853</v>
      </c>
      <c r="K1860" s="188" t="s">
        <v>2853</v>
      </c>
    </row>
    <row r="1861" spans="1:11" x14ac:dyDescent="0.35">
      <c r="B1861" s="182" t="s">
        <v>7915</v>
      </c>
      <c r="C1861" s="183"/>
      <c r="D1861" s="184" t="s">
        <v>7916</v>
      </c>
      <c r="E1861" s="183" t="s">
        <v>671</v>
      </c>
      <c r="F1861" s="183">
        <v>1</v>
      </c>
      <c r="G1861" s="185">
        <v>83.97</v>
      </c>
      <c r="H1861" s="186">
        <f t="shared" si="146"/>
        <v>83.97</v>
      </c>
      <c r="J1861" t="s">
        <v>2853</v>
      </c>
      <c r="K1861" s="188" t="s">
        <v>2853</v>
      </c>
    </row>
    <row r="1862" spans="1:11" x14ac:dyDescent="0.35">
      <c r="B1862" s="182"/>
      <c r="C1862" s="183"/>
      <c r="D1862" s="184"/>
      <c r="E1862" s="183"/>
      <c r="F1862" s="183"/>
      <c r="G1862" s="185"/>
      <c r="H1862" s="186"/>
      <c r="J1862" t="s">
        <v>2853</v>
      </c>
      <c r="K1862" s="188" t="s">
        <v>2853</v>
      </c>
    </row>
    <row r="1863" spans="1:11" x14ac:dyDescent="0.25">
      <c r="A1863" t="s">
        <v>7917</v>
      </c>
      <c r="B1863" s="27" t="s">
        <v>6343</v>
      </c>
      <c r="D1863" s="28" t="s">
        <v>1914</v>
      </c>
      <c r="E1863" s="29" t="s">
        <v>21</v>
      </c>
      <c r="F1863" s="30">
        <v>4</v>
      </c>
      <c r="G1863" s="31">
        <v>7.06</v>
      </c>
      <c r="H1863" s="31">
        <f t="shared" si="144"/>
        <v>28.24</v>
      </c>
      <c r="J1863" t="s">
        <v>2853</v>
      </c>
      <c r="K1863" s="188" t="s">
        <v>2853</v>
      </c>
    </row>
    <row r="1864" spans="1:11" x14ac:dyDescent="0.25">
      <c r="A1864" t="s">
        <v>7918</v>
      </c>
      <c r="B1864" s="27" t="s">
        <v>6344</v>
      </c>
      <c r="D1864" s="28" t="s">
        <v>1915</v>
      </c>
      <c r="E1864" s="29" t="s">
        <v>563</v>
      </c>
      <c r="F1864" s="30">
        <v>4</v>
      </c>
      <c r="G1864" s="31">
        <v>7.06</v>
      </c>
      <c r="H1864" s="31">
        <f t="shared" si="144"/>
        <v>28.24</v>
      </c>
      <c r="J1864" t="s">
        <v>2853</v>
      </c>
      <c r="K1864" s="188" t="s">
        <v>2853</v>
      </c>
    </row>
    <row r="1865" spans="1:11" x14ac:dyDescent="0.25">
      <c r="A1865" t="s">
        <v>7919</v>
      </c>
      <c r="B1865" s="27" t="s">
        <v>6345</v>
      </c>
      <c r="D1865" s="28" t="s">
        <v>1916</v>
      </c>
      <c r="E1865" s="29" t="s">
        <v>671</v>
      </c>
      <c r="F1865" s="30">
        <v>4</v>
      </c>
      <c r="G1865" s="31">
        <v>7.06</v>
      </c>
      <c r="H1865" s="31">
        <f t="shared" si="144"/>
        <v>28.24</v>
      </c>
      <c r="J1865" t="s">
        <v>2853</v>
      </c>
      <c r="K1865" s="188" t="s">
        <v>2853</v>
      </c>
    </row>
    <row r="1866" spans="1:11" x14ac:dyDescent="0.25">
      <c r="A1866" t="s">
        <v>6346</v>
      </c>
      <c r="B1866" s="27" t="s">
        <v>1917</v>
      </c>
      <c r="D1866" s="28" t="s">
        <v>1918</v>
      </c>
      <c r="E1866" s="29" t="s">
        <v>21</v>
      </c>
      <c r="F1866" s="30">
        <v>4</v>
      </c>
      <c r="G1866" s="31">
        <v>10.61</v>
      </c>
      <c r="H1866" s="31">
        <f t="shared" si="144"/>
        <v>42.44</v>
      </c>
      <c r="I1866" s="170" t="s">
        <v>2842</v>
      </c>
      <c r="J1866" t="s">
        <v>2853</v>
      </c>
      <c r="K1866" s="188" t="s">
        <v>2853</v>
      </c>
    </row>
    <row r="1867" spans="1:11" x14ac:dyDescent="0.25">
      <c r="A1867" t="s">
        <v>6347</v>
      </c>
      <c r="B1867" s="27" t="s">
        <v>1919</v>
      </c>
      <c r="D1867" s="28" t="s">
        <v>1920</v>
      </c>
      <c r="E1867" s="29" t="s">
        <v>563</v>
      </c>
      <c r="F1867" s="30">
        <v>4</v>
      </c>
      <c r="G1867" s="31">
        <v>10.61</v>
      </c>
      <c r="H1867" s="31">
        <f t="shared" si="144"/>
        <v>42.44</v>
      </c>
      <c r="I1867" s="170" t="s">
        <v>2842</v>
      </c>
      <c r="J1867" t="s">
        <v>2853</v>
      </c>
      <c r="K1867" s="188" t="s">
        <v>2853</v>
      </c>
    </row>
    <row r="1868" spans="1:11" x14ac:dyDescent="0.25">
      <c r="A1868" t="s">
        <v>6348</v>
      </c>
      <c r="B1868" s="27" t="s">
        <v>1921</v>
      </c>
      <c r="D1868" s="28" t="s">
        <v>1922</v>
      </c>
      <c r="E1868" s="29" t="s">
        <v>671</v>
      </c>
      <c r="F1868" s="30">
        <v>4</v>
      </c>
      <c r="G1868" s="31">
        <v>10.61</v>
      </c>
      <c r="H1868" s="31">
        <f t="shared" si="144"/>
        <v>42.44</v>
      </c>
      <c r="I1868" s="170" t="s">
        <v>2842</v>
      </c>
      <c r="J1868" t="s">
        <v>2853</v>
      </c>
      <c r="K1868" s="188" t="s">
        <v>2853</v>
      </c>
    </row>
    <row r="1869" spans="1:11" x14ac:dyDescent="0.25">
      <c r="A1869" t="s">
        <v>7920</v>
      </c>
      <c r="B1869" s="27" t="s">
        <v>7363</v>
      </c>
      <c r="D1869" s="28" t="s">
        <v>7364</v>
      </c>
      <c r="E1869" s="29" t="s">
        <v>21</v>
      </c>
      <c r="F1869" s="30">
        <v>4</v>
      </c>
      <c r="G1869" s="31">
        <v>10.61</v>
      </c>
      <c r="H1869" s="31">
        <f t="shared" si="144"/>
        <v>42.44</v>
      </c>
      <c r="I1869" s="170" t="s">
        <v>2842</v>
      </c>
      <c r="J1869" t="s">
        <v>2853</v>
      </c>
      <c r="K1869" s="188" t="s">
        <v>2853</v>
      </c>
    </row>
    <row r="1870" spans="1:11" x14ac:dyDescent="0.25">
      <c r="A1870" t="s">
        <v>7921</v>
      </c>
      <c r="B1870" s="27" t="s">
        <v>7365</v>
      </c>
      <c r="D1870" s="28" t="s">
        <v>7366</v>
      </c>
      <c r="E1870" s="29" t="s">
        <v>563</v>
      </c>
      <c r="F1870" s="30">
        <v>4</v>
      </c>
      <c r="G1870" s="31">
        <v>10.61</v>
      </c>
      <c r="H1870" s="31">
        <f t="shared" si="144"/>
        <v>42.44</v>
      </c>
      <c r="I1870" s="170" t="s">
        <v>2842</v>
      </c>
      <c r="J1870" t="s">
        <v>2853</v>
      </c>
      <c r="K1870" s="188" t="s">
        <v>2853</v>
      </c>
    </row>
    <row r="1871" spans="1:11" x14ac:dyDescent="0.25">
      <c r="A1871" t="s">
        <v>7922</v>
      </c>
      <c r="B1871" s="27" t="s">
        <v>7367</v>
      </c>
      <c r="D1871" s="28" t="s">
        <v>7368</v>
      </c>
      <c r="E1871" s="29" t="s">
        <v>671</v>
      </c>
      <c r="F1871" s="30">
        <v>4</v>
      </c>
      <c r="G1871" s="31">
        <v>10.61</v>
      </c>
      <c r="H1871" s="31">
        <f t="shared" si="144"/>
        <v>42.44</v>
      </c>
      <c r="I1871" s="170" t="s">
        <v>2842</v>
      </c>
      <c r="J1871" t="s">
        <v>2853</v>
      </c>
      <c r="K1871" s="188" t="s">
        <v>2853</v>
      </c>
    </row>
    <row r="1872" spans="1:11" x14ac:dyDescent="0.25">
      <c r="B1872" s="27" t="s">
        <v>7923</v>
      </c>
      <c r="D1872" s="28" t="s">
        <v>7924</v>
      </c>
      <c r="E1872" s="29" t="s">
        <v>59</v>
      </c>
      <c r="F1872" s="30">
        <v>4</v>
      </c>
      <c r="G1872" s="31">
        <v>10.61</v>
      </c>
      <c r="H1872" s="31">
        <f t="shared" ref="H1872:H1876" si="147">+F1872*G1872</f>
        <v>42.44</v>
      </c>
      <c r="J1872" t="s">
        <v>2853</v>
      </c>
      <c r="K1872" s="188" t="s">
        <v>2853</v>
      </c>
    </row>
    <row r="1873" spans="1:11" x14ac:dyDescent="0.25">
      <c r="B1873" s="27" t="s">
        <v>7925</v>
      </c>
      <c r="D1873" s="28" t="s">
        <v>7926</v>
      </c>
      <c r="E1873" s="29" t="s">
        <v>21</v>
      </c>
      <c r="F1873" s="30">
        <v>4</v>
      </c>
      <c r="G1873" s="31">
        <v>10.61</v>
      </c>
      <c r="H1873" s="31">
        <f t="shared" si="147"/>
        <v>42.44</v>
      </c>
      <c r="J1873" t="s">
        <v>2853</v>
      </c>
      <c r="K1873" s="188" t="s">
        <v>2853</v>
      </c>
    </row>
    <row r="1874" spans="1:11" x14ac:dyDescent="0.25">
      <c r="B1874" s="27" t="s">
        <v>7927</v>
      </c>
      <c r="D1874" s="28" t="s">
        <v>7928</v>
      </c>
      <c r="E1874" s="29" t="s">
        <v>563</v>
      </c>
      <c r="F1874" s="30">
        <v>4</v>
      </c>
      <c r="G1874" s="31">
        <v>10.61</v>
      </c>
      <c r="H1874" s="31">
        <f t="shared" si="147"/>
        <v>42.44</v>
      </c>
      <c r="J1874" t="s">
        <v>2853</v>
      </c>
      <c r="K1874" s="188" t="s">
        <v>2853</v>
      </c>
    </row>
    <row r="1875" spans="1:11" x14ac:dyDescent="0.25">
      <c r="B1875" s="27" t="s">
        <v>7929</v>
      </c>
      <c r="D1875" s="28" t="s">
        <v>7930</v>
      </c>
      <c r="E1875" s="29" t="s">
        <v>4633</v>
      </c>
      <c r="F1875" s="30">
        <v>4</v>
      </c>
      <c r="G1875" s="31">
        <v>10.61</v>
      </c>
      <c r="H1875" s="31">
        <f t="shared" si="147"/>
        <v>42.44</v>
      </c>
      <c r="J1875" t="s">
        <v>2853</v>
      </c>
      <c r="K1875" s="188" t="s">
        <v>2853</v>
      </c>
    </row>
    <row r="1876" spans="1:11" x14ac:dyDescent="0.25">
      <c r="B1876" s="27" t="s">
        <v>7931</v>
      </c>
      <c r="D1876" s="28" t="s">
        <v>7932</v>
      </c>
      <c r="E1876" s="29" t="s">
        <v>671</v>
      </c>
      <c r="F1876" s="30">
        <v>4</v>
      </c>
      <c r="G1876" s="31">
        <v>10.61</v>
      </c>
      <c r="H1876" s="31">
        <f t="shared" si="147"/>
        <v>42.44</v>
      </c>
      <c r="J1876" t="s">
        <v>2853</v>
      </c>
      <c r="K1876" s="188" t="s">
        <v>2853</v>
      </c>
    </row>
    <row r="1877" spans="1:11" x14ac:dyDescent="0.25">
      <c r="I1877" s="170" t="s">
        <v>2842</v>
      </c>
      <c r="J1877" t="s">
        <v>2853</v>
      </c>
      <c r="K1877" s="188" t="s">
        <v>2853</v>
      </c>
    </row>
    <row r="1878" spans="1:11" ht="30" x14ac:dyDescent="0.4">
      <c r="B1878" s="171" t="s">
        <v>7379</v>
      </c>
      <c r="C1878" s="25"/>
      <c r="D1878" s="25"/>
      <c r="E1878" s="25"/>
      <c r="F1878" s="25"/>
      <c r="G1878" s="25"/>
      <c r="H1878" s="25"/>
      <c r="I1878" s="170" t="s">
        <v>2842</v>
      </c>
      <c r="J1878" t="s">
        <v>2853</v>
      </c>
      <c r="K1878" s="188" t="s">
        <v>2853</v>
      </c>
    </row>
    <row r="1879" spans="1:11" x14ac:dyDescent="0.25">
      <c r="B1879" s="50"/>
      <c r="C1879" s="50"/>
      <c r="D1879" s="46"/>
      <c r="E1879" s="53"/>
      <c r="F1879" s="52"/>
      <c r="G1879" s="24"/>
      <c r="H1879" s="24"/>
      <c r="I1879" s="170" t="s">
        <v>2842</v>
      </c>
      <c r="J1879" t="s">
        <v>2853</v>
      </c>
      <c r="K1879" s="188" t="s">
        <v>2853</v>
      </c>
    </row>
    <row r="1880" spans="1:11" x14ac:dyDescent="0.25">
      <c r="A1880" t="s">
        <v>6349</v>
      </c>
      <c r="B1880" s="27" t="s">
        <v>1923</v>
      </c>
      <c r="D1880" s="28" t="s">
        <v>3784</v>
      </c>
      <c r="E1880" s="29" t="s">
        <v>21</v>
      </c>
      <c r="F1880" s="30">
        <v>1</v>
      </c>
      <c r="G1880" s="31">
        <v>180.89</v>
      </c>
      <c r="H1880" s="31">
        <f t="shared" ref="H1880:H1943" si="148">+F1880*G1880</f>
        <v>180.89</v>
      </c>
      <c r="I1880" s="170" t="s">
        <v>2842</v>
      </c>
      <c r="J1880" t="s">
        <v>2853</v>
      </c>
      <c r="K1880" s="188" t="s">
        <v>2853</v>
      </c>
    </row>
    <row r="1881" spans="1:11" x14ac:dyDescent="0.25">
      <c r="A1881" t="s">
        <v>6350</v>
      </c>
      <c r="B1881" s="27" t="s">
        <v>1924</v>
      </c>
      <c r="D1881" s="28" t="s">
        <v>3785</v>
      </c>
      <c r="E1881" s="29" t="s">
        <v>21</v>
      </c>
      <c r="F1881" s="30">
        <v>1</v>
      </c>
      <c r="G1881" s="31">
        <v>180.89</v>
      </c>
      <c r="H1881" s="31">
        <f t="shared" si="148"/>
        <v>180.89</v>
      </c>
      <c r="I1881" s="170" t="s">
        <v>2842</v>
      </c>
      <c r="J1881" t="s">
        <v>2853</v>
      </c>
      <c r="K1881" s="188" t="s">
        <v>2853</v>
      </c>
    </row>
    <row r="1882" spans="1:11" x14ac:dyDescent="0.25">
      <c r="A1882" t="s">
        <v>6351</v>
      </c>
      <c r="B1882" s="27" t="s">
        <v>1925</v>
      </c>
      <c r="D1882" s="28" t="s">
        <v>3786</v>
      </c>
      <c r="E1882" s="29" t="s">
        <v>21</v>
      </c>
      <c r="F1882" s="30">
        <v>1</v>
      </c>
      <c r="G1882" s="31">
        <v>180.89</v>
      </c>
      <c r="H1882" s="31">
        <f t="shared" si="148"/>
        <v>180.89</v>
      </c>
      <c r="I1882" s="170" t="s">
        <v>2842</v>
      </c>
      <c r="J1882" t="s">
        <v>2853</v>
      </c>
      <c r="K1882" s="188" t="s">
        <v>2853</v>
      </c>
    </row>
    <row r="1883" spans="1:11" x14ac:dyDescent="0.25">
      <c r="A1883" t="s">
        <v>6352</v>
      </c>
      <c r="B1883" s="27" t="s">
        <v>1926</v>
      </c>
      <c r="D1883" s="28" t="s">
        <v>3787</v>
      </c>
      <c r="E1883" s="29" t="s">
        <v>563</v>
      </c>
      <c r="F1883" s="30">
        <v>1</v>
      </c>
      <c r="G1883" s="31">
        <v>180.89</v>
      </c>
      <c r="H1883" s="31">
        <f t="shared" si="148"/>
        <v>180.89</v>
      </c>
      <c r="I1883" s="170" t="s">
        <v>2842</v>
      </c>
      <c r="J1883" t="s">
        <v>2853</v>
      </c>
      <c r="K1883" s="188" t="s">
        <v>2853</v>
      </c>
    </row>
    <row r="1884" spans="1:11" x14ac:dyDescent="0.25">
      <c r="A1884" t="s">
        <v>6353</v>
      </c>
      <c r="B1884" s="27" t="s">
        <v>1927</v>
      </c>
      <c r="D1884" s="28" t="s">
        <v>3788</v>
      </c>
      <c r="E1884" s="29" t="s">
        <v>563</v>
      </c>
      <c r="F1884" s="30">
        <v>1</v>
      </c>
      <c r="G1884" s="31">
        <v>180.89</v>
      </c>
      <c r="H1884" s="31">
        <f t="shared" si="148"/>
        <v>180.89</v>
      </c>
      <c r="I1884" s="170" t="s">
        <v>2842</v>
      </c>
      <c r="J1884" t="s">
        <v>2853</v>
      </c>
      <c r="K1884" s="188" t="s">
        <v>2853</v>
      </c>
    </row>
    <row r="1885" spans="1:11" x14ac:dyDescent="0.25">
      <c r="A1885" t="s">
        <v>6354</v>
      </c>
      <c r="B1885" s="27" t="s">
        <v>1928</v>
      </c>
      <c r="D1885" s="28" t="s">
        <v>3789</v>
      </c>
      <c r="E1885" s="29" t="s">
        <v>563</v>
      </c>
      <c r="F1885" s="30">
        <v>1</v>
      </c>
      <c r="G1885" s="31">
        <v>180.89</v>
      </c>
      <c r="H1885" s="31">
        <f t="shared" si="148"/>
        <v>180.89</v>
      </c>
      <c r="I1885" s="170" t="s">
        <v>2842</v>
      </c>
      <c r="J1885" t="s">
        <v>2853</v>
      </c>
      <c r="K1885" s="188" t="s">
        <v>2853</v>
      </c>
    </row>
    <row r="1886" spans="1:11" x14ac:dyDescent="0.25">
      <c r="A1886" t="s">
        <v>6355</v>
      </c>
      <c r="B1886" s="27" t="s">
        <v>1929</v>
      </c>
      <c r="D1886" s="28" t="s">
        <v>3790</v>
      </c>
      <c r="E1886" s="29" t="s">
        <v>671</v>
      </c>
      <c r="F1886" s="30">
        <v>1</v>
      </c>
      <c r="G1886" s="31">
        <v>180.89</v>
      </c>
      <c r="H1886" s="31">
        <f t="shared" si="148"/>
        <v>180.89</v>
      </c>
      <c r="I1886" s="170" t="s">
        <v>2842</v>
      </c>
      <c r="J1886" t="s">
        <v>2853</v>
      </c>
      <c r="K1886" s="188" t="s">
        <v>2853</v>
      </c>
    </row>
    <row r="1887" spans="1:11" x14ac:dyDescent="0.25">
      <c r="A1887" t="s">
        <v>6356</v>
      </c>
      <c r="B1887" s="27" t="s">
        <v>1930</v>
      </c>
      <c r="D1887" s="28" t="s">
        <v>3791</v>
      </c>
      <c r="E1887" s="29" t="s">
        <v>671</v>
      </c>
      <c r="F1887" s="30">
        <v>1</v>
      </c>
      <c r="G1887" s="31">
        <v>180.89</v>
      </c>
      <c r="H1887" s="31">
        <f t="shared" si="148"/>
        <v>180.89</v>
      </c>
      <c r="I1887" s="170" t="s">
        <v>2842</v>
      </c>
      <c r="J1887" t="s">
        <v>2853</v>
      </c>
      <c r="K1887" s="188" t="s">
        <v>2853</v>
      </c>
    </row>
    <row r="1888" spans="1:11" x14ac:dyDescent="0.25">
      <c r="A1888" t="s">
        <v>6357</v>
      </c>
      <c r="B1888" s="27" t="s">
        <v>1931</v>
      </c>
      <c r="D1888" s="28" t="s">
        <v>3792</v>
      </c>
      <c r="E1888" s="29" t="s">
        <v>671</v>
      </c>
      <c r="F1888" s="30">
        <v>1</v>
      </c>
      <c r="G1888" s="31">
        <v>180.89</v>
      </c>
      <c r="H1888" s="31">
        <f t="shared" si="148"/>
        <v>180.89</v>
      </c>
      <c r="I1888" s="170" t="s">
        <v>2842</v>
      </c>
      <c r="J1888" t="s">
        <v>2853</v>
      </c>
      <c r="K1888" s="188" t="s">
        <v>2853</v>
      </c>
    </row>
    <row r="1889" spans="1:11" x14ac:dyDescent="0.25">
      <c r="A1889" t="s">
        <v>6358</v>
      </c>
      <c r="B1889" s="27" t="s">
        <v>1932</v>
      </c>
      <c r="D1889" s="28" t="s">
        <v>3793</v>
      </c>
      <c r="E1889" s="29" t="s">
        <v>21</v>
      </c>
      <c r="F1889" s="30">
        <v>1</v>
      </c>
      <c r="G1889" s="31">
        <v>213.95</v>
      </c>
      <c r="H1889" s="31">
        <f t="shared" si="148"/>
        <v>213.95</v>
      </c>
      <c r="I1889" s="170" t="s">
        <v>2842</v>
      </c>
      <c r="J1889" t="s">
        <v>2853</v>
      </c>
      <c r="K1889" s="188" t="s">
        <v>2853</v>
      </c>
    </row>
    <row r="1890" spans="1:11" x14ac:dyDescent="0.25">
      <c r="A1890" t="s">
        <v>6359</v>
      </c>
      <c r="B1890" s="27" t="s">
        <v>1933</v>
      </c>
      <c r="D1890" s="28" t="s">
        <v>3794</v>
      </c>
      <c r="E1890" s="29" t="s">
        <v>21</v>
      </c>
      <c r="F1890" s="30">
        <v>1</v>
      </c>
      <c r="G1890" s="31">
        <v>213.95</v>
      </c>
      <c r="H1890" s="31">
        <f t="shared" si="148"/>
        <v>213.95</v>
      </c>
      <c r="I1890" s="170" t="s">
        <v>2842</v>
      </c>
      <c r="J1890" t="s">
        <v>2853</v>
      </c>
      <c r="K1890" s="188" t="s">
        <v>2853</v>
      </c>
    </row>
    <row r="1891" spans="1:11" x14ac:dyDescent="0.25">
      <c r="A1891" t="s">
        <v>6360</v>
      </c>
      <c r="B1891" s="27" t="s">
        <v>1934</v>
      </c>
      <c r="D1891" s="28" t="s">
        <v>3795</v>
      </c>
      <c r="E1891" s="29" t="s">
        <v>21</v>
      </c>
      <c r="F1891" s="30">
        <v>1</v>
      </c>
      <c r="G1891" s="31">
        <v>213.95</v>
      </c>
      <c r="H1891" s="31">
        <f t="shared" si="148"/>
        <v>213.95</v>
      </c>
      <c r="I1891" s="170" t="s">
        <v>2842</v>
      </c>
      <c r="J1891" t="s">
        <v>2853</v>
      </c>
      <c r="K1891" s="188" t="s">
        <v>2853</v>
      </c>
    </row>
    <row r="1892" spans="1:11" x14ac:dyDescent="0.25">
      <c r="A1892" t="s">
        <v>6361</v>
      </c>
      <c r="B1892" s="27" t="s">
        <v>1935</v>
      </c>
      <c r="D1892" s="28" t="s">
        <v>3796</v>
      </c>
      <c r="E1892" s="29" t="s">
        <v>563</v>
      </c>
      <c r="F1892" s="30">
        <v>1</v>
      </c>
      <c r="G1892" s="31">
        <v>213.95</v>
      </c>
      <c r="H1892" s="31">
        <f t="shared" si="148"/>
        <v>213.95</v>
      </c>
      <c r="I1892" s="170" t="s">
        <v>2842</v>
      </c>
      <c r="J1892" t="s">
        <v>2853</v>
      </c>
      <c r="K1892" s="188" t="s">
        <v>2853</v>
      </c>
    </row>
    <row r="1893" spans="1:11" x14ac:dyDescent="0.25">
      <c r="A1893" t="s">
        <v>6362</v>
      </c>
      <c r="B1893" s="27" t="s">
        <v>1936</v>
      </c>
      <c r="D1893" s="28" t="s">
        <v>3797</v>
      </c>
      <c r="E1893" s="29" t="s">
        <v>563</v>
      </c>
      <c r="F1893" s="30">
        <v>1</v>
      </c>
      <c r="G1893" s="31">
        <v>213.95</v>
      </c>
      <c r="H1893" s="31">
        <f t="shared" si="148"/>
        <v>213.95</v>
      </c>
      <c r="I1893" s="170" t="s">
        <v>2842</v>
      </c>
      <c r="J1893" t="s">
        <v>2853</v>
      </c>
      <c r="K1893" s="188" t="s">
        <v>2853</v>
      </c>
    </row>
    <row r="1894" spans="1:11" x14ac:dyDescent="0.25">
      <c r="A1894" t="s">
        <v>6363</v>
      </c>
      <c r="B1894" s="27" t="s">
        <v>1937</v>
      </c>
      <c r="D1894" s="28" t="s">
        <v>3798</v>
      </c>
      <c r="E1894" s="29" t="s">
        <v>563</v>
      </c>
      <c r="F1894" s="30">
        <v>1</v>
      </c>
      <c r="G1894" s="31">
        <v>213.95</v>
      </c>
      <c r="H1894" s="31">
        <f t="shared" si="148"/>
        <v>213.95</v>
      </c>
      <c r="I1894" s="170" t="s">
        <v>2842</v>
      </c>
      <c r="J1894" t="s">
        <v>2853</v>
      </c>
      <c r="K1894" s="188" t="s">
        <v>2853</v>
      </c>
    </row>
    <row r="1895" spans="1:11" x14ac:dyDescent="0.25">
      <c r="A1895" t="s">
        <v>6364</v>
      </c>
      <c r="B1895" s="27" t="s">
        <v>1938</v>
      </c>
      <c r="D1895" s="28" t="s">
        <v>3799</v>
      </c>
      <c r="E1895" s="29" t="s">
        <v>671</v>
      </c>
      <c r="F1895" s="30">
        <v>1</v>
      </c>
      <c r="G1895" s="31">
        <v>213.95</v>
      </c>
      <c r="H1895" s="31">
        <f t="shared" si="148"/>
        <v>213.95</v>
      </c>
      <c r="I1895" s="170" t="s">
        <v>2842</v>
      </c>
      <c r="J1895" t="s">
        <v>2853</v>
      </c>
      <c r="K1895" s="188" t="s">
        <v>2853</v>
      </c>
    </row>
    <row r="1896" spans="1:11" x14ac:dyDescent="0.25">
      <c r="A1896" t="s">
        <v>6365</v>
      </c>
      <c r="B1896" s="27" t="s">
        <v>1939</v>
      </c>
      <c r="D1896" s="28" t="s">
        <v>3800</v>
      </c>
      <c r="E1896" s="29" t="s">
        <v>671</v>
      </c>
      <c r="F1896" s="30">
        <v>1</v>
      </c>
      <c r="G1896" s="31">
        <v>213.95</v>
      </c>
      <c r="H1896" s="31">
        <f t="shared" si="148"/>
        <v>213.95</v>
      </c>
      <c r="I1896" s="170" t="s">
        <v>2842</v>
      </c>
      <c r="J1896" t="s">
        <v>2853</v>
      </c>
      <c r="K1896" s="188" t="s">
        <v>2853</v>
      </c>
    </row>
    <row r="1897" spans="1:11" x14ac:dyDescent="0.25">
      <c r="A1897" t="s">
        <v>6366</v>
      </c>
      <c r="B1897" s="27" t="s">
        <v>1940</v>
      </c>
      <c r="D1897" s="28" t="s">
        <v>3801</v>
      </c>
      <c r="E1897" s="29" t="s">
        <v>671</v>
      </c>
      <c r="F1897" s="30">
        <v>1</v>
      </c>
      <c r="G1897" s="31">
        <v>213.95</v>
      </c>
      <c r="H1897" s="31">
        <f t="shared" si="148"/>
        <v>213.95</v>
      </c>
      <c r="I1897" s="170" t="s">
        <v>2842</v>
      </c>
      <c r="J1897" t="s">
        <v>2853</v>
      </c>
      <c r="K1897" s="188" t="s">
        <v>2853</v>
      </c>
    </row>
    <row r="1898" spans="1:11" x14ac:dyDescent="0.25">
      <c r="A1898" t="s">
        <v>6367</v>
      </c>
      <c r="B1898" s="27" t="s">
        <v>1941</v>
      </c>
      <c r="D1898" s="28" t="s">
        <v>3802</v>
      </c>
      <c r="E1898" s="29" t="s">
        <v>21</v>
      </c>
      <c r="F1898" s="30">
        <v>1</v>
      </c>
      <c r="G1898" s="31">
        <v>240.39</v>
      </c>
      <c r="H1898" s="31">
        <f t="shared" si="148"/>
        <v>240.39</v>
      </c>
      <c r="I1898" s="170" t="s">
        <v>2842</v>
      </c>
      <c r="J1898" t="s">
        <v>2853</v>
      </c>
      <c r="K1898" s="188" t="s">
        <v>2853</v>
      </c>
    </row>
    <row r="1899" spans="1:11" x14ac:dyDescent="0.25">
      <c r="A1899" t="s">
        <v>6368</v>
      </c>
      <c r="B1899" s="27" t="s">
        <v>1942</v>
      </c>
      <c r="D1899" s="28" t="s">
        <v>3803</v>
      </c>
      <c r="E1899" s="29" t="s">
        <v>21</v>
      </c>
      <c r="F1899" s="30">
        <v>1</v>
      </c>
      <c r="G1899" s="31">
        <v>240.39</v>
      </c>
      <c r="H1899" s="31">
        <f t="shared" si="148"/>
        <v>240.39</v>
      </c>
      <c r="I1899" s="170" t="s">
        <v>2842</v>
      </c>
      <c r="J1899" t="s">
        <v>2853</v>
      </c>
      <c r="K1899" s="188" t="s">
        <v>2853</v>
      </c>
    </row>
    <row r="1900" spans="1:11" x14ac:dyDescent="0.25">
      <c r="A1900" t="s">
        <v>6369</v>
      </c>
      <c r="B1900" s="27" t="s">
        <v>1943</v>
      </c>
      <c r="D1900" s="28" t="s">
        <v>3804</v>
      </c>
      <c r="E1900" s="29" t="s">
        <v>21</v>
      </c>
      <c r="F1900" s="30">
        <v>1</v>
      </c>
      <c r="G1900" s="31">
        <v>240.39</v>
      </c>
      <c r="H1900" s="31">
        <f t="shared" si="148"/>
        <v>240.39</v>
      </c>
      <c r="I1900" s="170" t="s">
        <v>2842</v>
      </c>
      <c r="J1900" t="s">
        <v>2853</v>
      </c>
      <c r="K1900" s="188" t="s">
        <v>2853</v>
      </c>
    </row>
    <row r="1901" spans="1:11" x14ac:dyDescent="0.25">
      <c r="A1901" t="s">
        <v>6370</v>
      </c>
      <c r="B1901" s="27" t="s">
        <v>1944</v>
      </c>
      <c r="D1901" s="28" t="s">
        <v>3805</v>
      </c>
      <c r="E1901" s="29" t="s">
        <v>563</v>
      </c>
      <c r="F1901" s="30">
        <v>1</v>
      </c>
      <c r="G1901" s="31">
        <v>240.39</v>
      </c>
      <c r="H1901" s="31">
        <f t="shared" si="148"/>
        <v>240.39</v>
      </c>
      <c r="I1901" s="170" t="s">
        <v>2842</v>
      </c>
      <c r="J1901" t="s">
        <v>2853</v>
      </c>
      <c r="K1901" s="188" t="s">
        <v>2853</v>
      </c>
    </row>
    <row r="1902" spans="1:11" x14ac:dyDescent="0.25">
      <c r="A1902" t="s">
        <v>6371</v>
      </c>
      <c r="B1902" s="27" t="s">
        <v>1945</v>
      </c>
      <c r="D1902" s="28" t="s">
        <v>3806</v>
      </c>
      <c r="E1902" s="29" t="s">
        <v>563</v>
      </c>
      <c r="F1902" s="30">
        <v>1</v>
      </c>
      <c r="G1902" s="31">
        <v>240.39</v>
      </c>
      <c r="H1902" s="31">
        <f t="shared" si="148"/>
        <v>240.39</v>
      </c>
      <c r="I1902" s="170" t="s">
        <v>2842</v>
      </c>
      <c r="J1902" t="s">
        <v>2853</v>
      </c>
      <c r="K1902" s="188" t="s">
        <v>2853</v>
      </c>
    </row>
    <row r="1903" spans="1:11" x14ac:dyDescent="0.25">
      <c r="A1903" t="s">
        <v>6372</v>
      </c>
      <c r="B1903" s="27" t="s">
        <v>1946</v>
      </c>
      <c r="D1903" s="28" t="s">
        <v>3807</v>
      </c>
      <c r="E1903" s="29" t="s">
        <v>563</v>
      </c>
      <c r="F1903" s="30">
        <v>1</v>
      </c>
      <c r="G1903" s="31">
        <v>240.39</v>
      </c>
      <c r="H1903" s="31">
        <f t="shared" si="148"/>
        <v>240.39</v>
      </c>
      <c r="I1903" s="170" t="s">
        <v>2842</v>
      </c>
      <c r="J1903" t="s">
        <v>2853</v>
      </c>
      <c r="K1903" s="188" t="s">
        <v>2853</v>
      </c>
    </row>
    <row r="1904" spans="1:11" x14ac:dyDescent="0.25">
      <c r="A1904" t="s">
        <v>6373</v>
      </c>
      <c r="B1904" s="27" t="s">
        <v>1947</v>
      </c>
      <c r="D1904" s="28" t="s">
        <v>3808</v>
      </c>
      <c r="E1904" s="29" t="s">
        <v>671</v>
      </c>
      <c r="F1904" s="30">
        <v>1</v>
      </c>
      <c r="G1904" s="31">
        <v>240.39</v>
      </c>
      <c r="H1904" s="31">
        <f t="shared" si="148"/>
        <v>240.39</v>
      </c>
      <c r="I1904" s="170" t="s">
        <v>2842</v>
      </c>
      <c r="J1904" t="s">
        <v>2853</v>
      </c>
      <c r="K1904" s="188" t="s">
        <v>2853</v>
      </c>
    </row>
    <row r="1905" spans="1:11" x14ac:dyDescent="0.25">
      <c r="A1905" t="s">
        <v>6374</v>
      </c>
      <c r="B1905" s="27" t="s">
        <v>1948</v>
      </c>
      <c r="D1905" s="28" t="s">
        <v>3809</v>
      </c>
      <c r="E1905" s="29" t="s">
        <v>671</v>
      </c>
      <c r="F1905" s="30">
        <v>1</v>
      </c>
      <c r="G1905" s="31">
        <v>240.39</v>
      </c>
      <c r="H1905" s="31">
        <f t="shared" si="148"/>
        <v>240.39</v>
      </c>
      <c r="I1905" s="170" t="s">
        <v>2842</v>
      </c>
      <c r="J1905" t="s">
        <v>2853</v>
      </c>
      <c r="K1905" s="188" t="s">
        <v>2853</v>
      </c>
    </row>
    <row r="1906" spans="1:11" x14ac:dyDescent="0.25">
      <c r="A1906" t="s">
        <v>6375</v>
      </c>
      <c r="B1906" s="27" t="s">
        <v>1949</v>
      </c>
      <c r="D1906" s="28" t="s">
        <v>3810</v>
      </c>
      <c r="E1906" s="29" t="s">
        <v>671</v>
      </c>
      <c r="F1906" s="30">
        <v>1</v>
      </c>
      <c r="G1906" s="31">
        <v>240.39</v>
      </c>
      <c r="H1906" s="31">
        <f t="shared" si="148"/>
        <v>240.39</v>
      </c>
      <c r="I1906" s="170" t="s">
        <v>2842</v>
      </c>
      <c r="J1906" t="s">
        <v>2853</v>
      </c>
      <c r="K1906" s="188" t="s">
        <v>2853</v>
      </c>
    </row>
    <row r="1907" spans="1:11" x14ac:dyDescent="0.25">
      <c r="A1907" t="s">
        <v>6376</v>
      </c>
      <c r="B1907" s="27" t="s">
        <v>1950</v>
      </c>
      <c r="D1907" s="28" t="s">
        <v>3811</v>
      </c>
      <c r="E1907" s="29" t="s">
        <v>21</v>
      </c>
      <c r="F1907" s="30">
        <v>1</v>
      </c>
      <c r="G1907" s="31">
        <v>266.83999999999997</v>
      </c>
      <c r="H1907" s="31">
        <f t="shared" si="148"/>
        <v>266.83999999999997</v>
      </c>
      <c r="I1907" s="170" t="s">
        <v>2842</v>
      </c>
      <c r="J1907" t="s">
        <v>2853</v>
      </c>
      <c r="K1907" s="188" t="s">
        <v>2853</v>
      </c>
    </row>
    <row r="1908" spans="1:11" x14ac:dyDescent="0.25">
      <c r="A1908" t="s">
        <v>6377</v>
      </c>
      <c r="B1908" s="27" t="s">
        <v>1951</v>
      </c>
      <c r="D1908" s="28" t="s">
        <v>3812</v>
      </c>
      <c r="E1908" s="29" t="s">
        <v>21</v>
      </c>
      <c r="F1908" s="30">
        <v>1</v>
      </c>
      <c r="G1908" s="31">
        <v>266.83999999999997</v>
      </c>
      <c r="H1908" s="31">
        <f t="shared" si="148"/>
        <v>266.83999999999997</v>
      </c>
      <c r="I1908" s="170" t="s">
        <v>2842</v>
      </c>
      <c r="J1908" t="s">
        <v>2853</v>
      </c>
      <c r="K1908" s="188" t="s">
        <v>2853</v>
      </c>
    </row>
    <row r="1909" spans="1:11" x14ac:dyDescent="0.25">
      <c r="A1909" t="s">
        <v>6378</v>
      </c>
      <c r="B1909" s="27" t="s">
        <v>1952</v>
      </c>
      <c r="D1909" s="28" t="s">
        <v>3813</v>
      </c>
      <c r="E1909" s="29" t="s">
        <v>21</v>
      </c>
      <c r="F1909" s="30">
        <v>1</v>
      </c>
      <c r="G1909" s="31">
        <v>266.83999999999997</v>
      </c>
      <c r="H1909" s="31">
        <f t="shared" si="148"/>
        <v>266.83999999999997</v>
      </c>
      <c r="I1909" s="170" t="s">
        <v>2842</v>
      </c>
      <c r="J1909" t="s">
        <v>2853</v>
      </c>
      <c r="K1909" s="188" t="s">
        <v>2853</v>
      </c>
    </row>
    <row r="1910" spans="1:11" x14ac:dyDescent="0.25">
      <c r="A1910" t="s">
        <v>6379</v>
      </c>
      <c r="B1910" s="27" t="s">
        <v>1953</v>
      </c>
      <c r="D1910" s="28" t="s">
        <v>3814</v>
      </c>
      <c r="E1910" s="29" t="s">
        <v>563</v>
      </c>
      <c r="F1910" s="30">
        <v>1</v>
      </c>
      <c r="G1910" s="31">
        <v>266.83999999999997</v>
      </c>
      <c r="H1910" s="31">
        <f t="shared" si="148"/>
        <v>266.83999999999997</v>
      </c>
      <c r="I1910" s="170" t="s">
        <v>2842</v>
      </c>
      <c r="J1910" t="s">
        <v>2853</v>
      </c>
      <c r="K1910" s="188" t="s">
        <v>2853</v>
      </c>
    </row>
    <row r="1911" spans="1:11" x14ac:dyDescent="0.25">
      <c r="A1911" t="s">
        <v>6380</v>
      </c>
      <c r="B1911" s="27" t="s">
        <v>1954</v>
      </c>
      <c r="D1911" s="28" t="s">
        <v>3815</v>
      </c>
      <c r="E1911" s="29" t="s">
        <v>563</v>
      </c>
      <c r="F1911" s="30">
        <v>1</v>
      </c>
      <c r="G1911" s="31">
        <v>266.83999999999997</v>
      </c>
      <c r="H1911" s="31">
        <f t="shared" si="148"/>
        <v>266.83999999999997</v>
      </c>
      <c r="I1911" s="170" t="s">
        <v>2842</v>
      </c>
      <c r="J1911" t="s">
        <v>2853</v>
      </c>
      <c r="K1911" s="188" t="s">
        <v>2853</v>
      </c>
    </row>
    <row r="1912" spans="1:11" x14ac:dyDescent="0.25">
      <c r="A1912" t="s">
        <v>6381</v>
      </c>
      <c r="B1912" s="27" t="s">
        <v>1955</v>
      </c>
      <c r="D1912" s="28" t="s">
        <v>3816</v>
      </c>
      <c r="E1912" s="29" t="s">
        <v>563</v>
      </c>
      <c r="F1912" s="30">
        <v>1</v>
      </c>
      <c r="G1912" s="31">
        <v>266.83999999999997</v>
      </c>
      <c r="H1912" s="31">
        <f t="shared" si="148"/>
        <v>266.83999999999997</v>
      </c>
      <c r="I1912" s="170" t="s">
        <v>2842</v>
      </c>
      <c r="J1912" t="s">
        <v>2853</v>
      </c>
      <c r="K1912" s="188" t="s">
        <v>2853</v>
      </c>
    </row>
    <row r="1913" spans="1:11" x14ac:dyDescent="0.25">
      <c r="A1913" t="s">
        <v>6382</v>
      </c>
      <c r="B1913" s="27" t="s">
        <v>1956</v>
      </c>
      <c r="D1913" s="28" t="s">
        <v>3817</v>
      </c>
      <c r="E1913" s="29" t="s">
        <v>671</v>
      </c>
      <c r="F1913" s="30">
        <v>1</v>
      </c>
      <c r="G1913" s="31">
        <v>266.83999999999997</v>
      </c>
      <c r="H1913" s="31">
        <f t="shared" si="148"/>
        <v>266.83999999999997</v>
      </c>
      <c r="I1913" s="170" t="s">
        <v>2842</v>
      </c>
      <c r="J1913" t="s">
        <v>2853</v>
      </c>
      <c r="K1913" s="188" t="s">
        <v>2853</v>
      </c>
    </row>
    <row r="1914" spans="1:11" x14ac:dyDescent="0.25">
      <c r="A1914" t="s">
        <v>6383</v>
      </c>
      <c r="B1914" s="27" t="s">
        <v>1957</v>
      </c>
      <c r="D1914" s="28" t="s">
        <v>3818</v>
      </c>
      <c r="E1914" s="29" t="s">
        <v>671</v>
      </c>
      <c r="F1914" s="30">
        <v>1</v>
      </c>
      <c r="G1914" s="31">
        <v>266.83999999999997</v>
      </c>
      <c r="H1914" s="31">
        <f t="shared" si="148"/>
        <v>266.83999999999997</v>
      </c>
      <c r="I1914" s="170" t="s">
        <v>2842</v>
      </c>
      <c r="J1914" t="s">
        <v>2853</v>
      </c>
      <c r="K1914" s="188" t="s">
        <v>2853</v>
      </c>
    </row>
    <row r="1915" spans="1:11" x14ac:dyDescent="0.25">
      <c r="A1915" t="s">
        <v>6384</v>
      </c>
      <c r="B1915" s="27" t="s">
        <v>1958</v>
      </c>
      <c r="D1915" s="28" t="s">
        <v>3819</v>
      </c>
      <c r="E1915" s="29" t="s">
        <v>671</v>
      </c>
      <c r="F1915" s="30">
        <v>1</v>
      </c>
      <c r="G1915" s="31">
        <v>266.83999999999997</v>
      </c>
      <c r="H1915" s="31">
        <f t="shared" si="148"/>
        <v>266.83999999999997</v>
      </c>
      <c r="I1915" s="170" t="s">
        <v>2842</v>
      </c>
      <c r="J1915" t="s">
        <v>2853</v>
      </c>
      <c r="K1915" s="188" t="s">
        <v>2853</v>
      </c>
    </row>
    <row r="1916" spans="1:11" x14ac:dyDescent="0.25">
      <c r="A1916" t="s">
        <v>6385</v>
      </c>
      <c r="B1916" s="27" t="s">
        <v>1959</v>
      </c>
      <c r="D1916" s="28" t="s">
        <v>3820</v>
      </c>
      <c r="E1916" s="29" t="s">
        <v>21</v>
      </c>
      <c r="F1916" s="30">
        <v>1</v>
      </c>
      <c r="G1916" s="31">
        <v>167.67</v>
      </c>
      <c r="H1916" s="31">
        <f t="shared" si="148"/>
        <v>167.67</v>
      </c>
      <c r="I1916" s="170" t="s">
        <v>2842</v>
      </c>
      <c r="J1916" t="s">
        <v>2853</v>
      </c>
      <c r="K1916" s="188" t="s">
        <v>2853</v>
      </c>
    </row>
    <row r="1917" spans="1:11" x14ac:dyDescent="0.25">
      <c r="A1917" t="s">
        <v>6386</v>
      </c>
      <c r="B1917" s="27" t="s">
        <v>1960</v>
      </c>
      <c r="D1917" s="28" t="s">
        <v>3821</v>
      </c>
      <c r="E1917" s="29" t="s">
        <v>21</v>
      </c>
      <c r="F1917" s="30">
        <v>1</v>
      </c>
      <c r="G1917" s="31">
        <v>167.67</v>
      </c>
      <c r="H1917" s="31">
        <f t="shared" si="148"/>
        <v>167.67</v>
      </c>
      <c r="I1917" s="170" t="s">
        <v>2842</v>
      </c>
      <c r="J1917" t="s">
        <v>2853</v>
      </c>
      <c r="K1917" s="188" t="s">
        <v>2853</v>
      </c>
    </row>
    <row r="1918" spans="1:11" x14ac:dyDescent="0.25">
      <c r="A1918" t="s">
        <v>6387</v>
      </c>
      <c r="B1918" s="27" t="s">
        <v>1961</v>
      </c>
      <c r="D1918" s="28" t="s">
        <v>3822</v>
      </c>
      <c r="E1918" s="29" t="s">
        <v>21</v>
      </c>
      <c r="F1918" s="30">
        <v>1</v>
      </c>
      <c r="G1918" s="31">
        <v>167.67</v>
      </c>
      <c r="H1918" s="31">
        <f t="shared" si="148"/>
        <v>167.67</v>
      </c>
      <c r="I1918" s="170" t="s">
        <v>2842</v>
      </c>
      <c r="J1918" t="s">
        <v>2853</v>
      </c>
      <c r="K1918" s="188" t="s">
        <v>2853</v>
      </c>
    </row>
    <row r="1919" spans="1:11" x14ac:dyDescent="0.25">
      <c r="A1919" t="s">
        <v>6388</v>
      </c>
      <c r="B1919" s="27" t="s">
        <v>1962</v>
      </c>
      <c r="D1919" s="28" t="s">
        <v>3823</v>
      </c>
      <c r="E1919" s="29" t="s">
        <v>563</v>
      </c>
      <c r="F1919" s="30">
        <v>1</v>
      </c>
      <c r="G1919" s="31">
        <v>167.67</v>
      </c>
      <c r="H1919" s="31">
        <f t="shared" si="148"/>
        <v>167.67</v>
      </c>
      <c r="I1919" s="170" t="s">
        <v>2842</v>
      </c>
      <c r="J1919" t="s">
        <v>2853</v>
      </c>
      <c r="K1919" s="188" t="s">
        <v>2853</v>
      </c>
    </row>
    <row r="1920" spans="1:11" x14ac:dyDescent="0.25">
      <c r="A1920" t="s">
        <v>6389</v>
      </c>
      <c r="B1920" s="27" t="s">
        <v>1963</v>
      </c>
      <c r="D1920" s="28" t="s">
        <v>3824</v>
      </c>
      <c r="E1920" s="29" t="s">
        <v>563</v>
      </c>
      <c r="F1920" s="30">
        <v>1</v>
      </c>
      <c r="G1920" s="31">
        <v>167.67</v>
      </c>
      <c r="H1920" s="31">
        <f t="shared" si="148"/>
        <v>167.67</v>
      </c>
      <c r="I1920" s="170" t="s">
        <v>2842</v>
      </c>
      <c r="J1920" t="s">
        <v>2853</v>
      </c>
      <c r="K1920" s="188" t="s">
        <v>2853</v>
      </c>
    </row>
    <row r="1921" spans="1:11" x14ac:dyDescent="0.25">
      <c r="A1921" t="s">
        <v>6390</v>
      </c>
      <c r="B1921" s="27" t="s">
        <v>1964</v>
      </c>
      <c r="D1921" s="28" t="s">
        <v>3825</v>
      </c>
      <c r="E1921" s="29" t="s">
        <v>563</v>
      </c>
      <c r="F1921" s="30">
        <v>1</v>
      </c>
      <c r="G1921" s="31">
        <v>167.67</v>
      </c>
      <c r="H1921" s="31">
        <f t="shared" si="148"/>
        <v>167.67</v>
      </c>
      <c r="I1921" s="170" t="s">
        <v>2842</v>
      </c>
      <c r="J1921" t="s">
        <v>2853</v>
      </c>
      <c r="K1921" s="188" t="s">
        <v>2853</v>
      </c>
    </row>
    <row r="1922" spans="1:11" x14ac:dyDescent="0.25">
      <c r="A1922" t="s">
        <v>6391</v>
      </c>
      <c r="B1922" s="27" t="s">
        <v>1965</v>
      </c>
      <c r="D1922" s="28" t="s">
        <v>3826</v>
      </c>
      <c r="E1922" s="29" t="s">
        <v>671</v>
      </c>
      <c r="F1922" s="30">
        <v>1</v>
      </c>
      <c r="G1922" s="31">
        <v>167.67</v>
      </c>
      <c r="H1922" s="31">
        <f t="shared" si="148"/>
        <v>167.67</v>
      </c>
      <c r="I1922" s="170" t="s">
        <v>2842</v>
      </c>
      <c r="J1922" t="s">
        <v>2853</v>
      </c>
      <c r="K1922" s="188" t="s">
        <v>2853</v>
      </c>
    </row>
    <row r="1923" spans="1:11" x14ac:dyDescent="0.25">
      <c r="A1923" t="s">
        <v>6392</v>
      </c>
      <c r="B1923" s="27" t="s">
        <v>1966</v>
      </c>
      <c r="D1923" s="28" t="s">
        <v>3827</v>
      </c>
      <c r="E1923" s="29" t="s">
        <v>671</v>
      </c>
      <c r="F1923" s="30">
        <v>1</v>
      </c>
      <c r="G1923" s="31">
        <v>167.67</v>
      </c>
      <c r="H1923" s="31">
        <f t="shared" si="148"/>
        <v>167.67</v>
      </c>
      <c r="I1923" s="170" t="s">
        <v>2842</v>
      </c>
      <c r="J1923" t="s">
        <v>2853</v>
      </c>
      <c r="K1923" s="188" t="s">
        <v>2853</v>
      </c>
    </row>
    <row r="1924" spans="1:11" x14ac:dyDescent="0.25">
      <c r="A1924" t="s">
        <v>6393</v>
      </c>
      <c r="B1924" s="27" t="s">
        <v>1967</v>
      </c>
      <c r="D1924" s="28" t="s">
        <v>3828</v>
      </c>
      <c r="E1924" s="29" t="s">
        <v>671</v>
      </c>
      <c r="F1924" s="30">
        <v>1</v>
      </c>
      <c r="G1924" s="31">
        <v>167.67</v>
      </c>
      <c r="H1924" s="31">
        <f t="shared" si="148"/>
        <v>167.67</v>
      </c>
      <c r="I1924" s="170" t="s">
        <v>2842</v>
      </c>
      <c r="J1924" t="s">
        <v>2853</v>
      </c>
      <c r="K1924" s="188" t="s">
        <v>2853</v>
      </c>
    </row>
    <row r="1925" spans="1:11" x14ac:dyDescent="0.25">
      <c r="A1925" t="s">
        <v>6394</v>
      </c>
      <c r="B1925" s="27" t="s">
        <v>1968</v>
      </c>
      <c r="D1925" s="28" t="s">
        <v>3829</v>
      </c>
      <c r="E1925" s="29" t="s">
        <v>21</v>
      </c>
      <c r="F1925" s="30">
        <v>1</v>
      </c>
      <c r="G1925" s="31">
        <v>187.5</v>
      </c>
      <c r="H1925" s="31">
        <f t="shared" si="148"/>
        <v>187.5</v>
      </c>
      <c r="I1925" s="170" t="s">
        <v>2842</v>
      </c>
      <c r="J1925" t="s">
        <v>2853</v>
      </c>
      <c r="K1925" s="188" t="s">
        <v>2853</v>
      </c>
    </row>
    <row r="1926" spans="1:11" x14ac:dyDescent="0.25">
      <c r="A1926" t="s">
        <v>6395</v>
      </c>
      <c r="B1926" s="27" t="s">
        <v>1969</v>
      </c>
      <c r="D1926" s="28" t="s">
        <v>3830</v>
      </c>
      <c r="E1926" s="29" t="s">
        <v>21</v>
      </c>
      <c r="F1926" s="30">
        <v>1</v>
      </c>
      <c r="G1926" s="31">
        <v>187.5</v>
      </c>
      <c r="H1926" s="31">
        <f t="shared" si="148"/>
        <v>187.5</v>
      </c>
      <c r="I1926" s="170" t="s">
        <v>2842</v>
      </c>
      <c r="J1926" t="s">
        <v>2853</v>
      </c>
      <c r="K1926" s="188" t="s">
        <v>2853</v>
      </c>
    </row>
    <row r="1927" spans="1:11" x14ac:dyDescent="0.25">
      <c r="A1927" t="s">
        <v>6396</v>
      </c>
      <c r="B1927" s="27" t="s">
        <v>1970</v>
      </c>
      <c r="D1927" s="28" t="s">
        <v>3831</v>
      </c>
      <c r="E1927" s="29" t="s">
        <v>21</v>
      </c>
      <c r="F1927" s="30">
        <v>1</v>
      </c>
      <c r="G1927" s="31">
        <v>187.5</v>
      </c>
      <c r="H1927" s="31">
        <f t="shared" si="148"/>
        <v>187.5</v>
      </c>
      <c r="I1927" s="170" t="s">
        <v>2842</v>
      </c>
      <c r="J1927" t="s">
        <v>2853</v>
      </c>
      <c r="K1927" s="188" t="s">
        <v>2853</v>
      </c>
    </row>
    <row r="1928" spans="1:11" x14ac:dyDescent="0.25">
      <c r="A1928" t="s">
        <v>6397</v>
      </c>
      <c r="B1928" s="27" t="s">
        <v>1971</v>
      </c>
      <c r="D1928" s="28" t="s">
        <v>3832</v>
      </c>
      <c r="E1928" s="29" t="s">
        <v>563</v>
      </c>
      <c r="F1928" s="30">
        <v>1</v>
      </c>
      <c r="G1928" s="31">
        <v>187.5</v>
      </c>
      <c r="H1928" s="31">
        <f t="shared" si="148"/>
        <v>187.5</v>
      </c>
      <c r="I1928" s="170" t="s">
        <v>2842</v>
      </c>
      <c r="J1928" t="s">
        <v>2853</v>
      </c>
      <c r="K1928" s="188" t="s">
        <v>2853</v>
      </c>
    </row>
    <row r="1929" spans="1:11" x14ac:dyDescent="0.25">
      <c r="A1929" t="s">
        <v>6398</v>
      </c>
      <c r="B1929" s="27" t="s">
        <v>1972</v>
      </c>
      <c r="D1929" s="28" t="s">
        <v>3833</v>
      </c>
      <c r="E1929" s="29" t="s">
        <v>563</v>
      </c>
      <c r="F1929" s="30">
        <v>1</v>
      </c>
      <c r="G1929" s="31">
        <v>187.5</v>
      </c>
      <c r="H1929" s="31">
        <f t="shared" si="148"/>
        <v>187.5</v>
      </c>
      <c r="I1929" s="170" t="s">
        <v>2842</v>
      </c>
      <c r="J1929" t="s">
        <v>2853</v>
      </c>
      <c r="K1929" s="188" t="s">
        <v>2853</v>
      </c>
    </row>
    <row r="1930" spans="1:11" x14ac:dyDescent="0.25">
      <c r="A1930" t="s">
        <v>6399</v>
      </c>
      <c r="B1930" s="27" t="s">
        <v>1973</v>
      </c>
      <c r="D1930" s="28" t="s">
        <v>3834</v>
      </c>
      <c r="E1930" s="29" t="s">
        <v>563</v>
      </c>
      <c r="F1930" s="30">
        <v>1</v>
      </c>
      <c r="G1930" s="31">
        <v>187.5</v>
      </c>
      <c r="H1930" s="31">
        <f t="shared" si="148"/>
        <v>187.5</v>
      </c>
      <c r="I1930" s="170" t="s">
        <v>2842</v>
      </c>
      <c r="J1930" t="s">
        <v>2853</v>
      </c>
      <c r="K1930" s="188" t="s">
        <v>2853</v>
      </c>
    </row>
    <row r="1931" spans="1:11" x14ac:dyDescent="0.25">
      <c r="A1931" t="s">
        <v>6400</v>
      </c>
      <c r="B1931" s="27" t="s">
        <v>1974</v>
      </c>
      <c r="D1931" s="28" t="s">
        <v>3835</v>
      </c>
      <c r="E1931" s="29" t="s">
        <v>671</v>
      </c>
      <c r="F1931" s="30">
        <v>1</v>
      </c>
      <c r="G1931" s="31">
        <v>187.5</v>
      </c>
      <c r="H1931" s="31">
        <f t="shared" si="148"/>
        <v>187.5</v>
      </c>
      <c r="I1931" s="170" t="s">
        <v>2842</v>
      </c>
      <c r="J1931" t="s">
        <v>2853</v>
      </c>
      <c r="K1931" s="188" t="s">
        <v>2853</v>
      </c>
    </row>
    <row r="1932" spans="1:11" x14ac:dyDescent="0.25">
      <c r="A1932" t="s">
        <v>6401</v>
      </c>
      <c r="B1932" s="27" t="s">
        <v>1975</v>
      </c>
      <c r="D1932" s="28" t="s">
        <v>3836</v>
      </c>
      <c r="E1932" s="29" t="s">
        <v>671</v>
      </c>
      <c r="F1932" s="30">
        <v>1</v>
      </c>
      <c r="G1932" s="31">
        <v>187.5</v>
      </c>
      <c r="H1932" s="31">
        <f t="shared" si="148"/>
        <v>187.5</v>
      </c>
      <c r="I1932" s="170" t="s">
        <v>2842</v>
      </c>
      <c r="J1932" t="s">
        <v>2853</v>
      </c>
      <c r="K1932" s="188" t="s">
        <v>2853</v>
      </c>
    </row>
    <row r="1933" spans="1:11" x14ac:dyDescent="0.25">
      <c r="A1933" t="s">
        <v>6402</v>
      </c>
      <c r="B1933" s="27" t="s">
        <v>1976</v>
      </c>
      <c r="D1933" s="28" t="s">
        <v>3837</v>
      </c>
      <c r="E1933" s="29" t="s">
        <v>671</v>
      </c>
      <c r="F1933" s="30">
        <v>1</v>
      </c>
      <c r="G1933" s="31">
        <v>187.5</v>
      </c>
      <c r="H1933" s="31">
        <f t="shared" si="148"/>
        <v>187.5</v>
      </c>
      <c r="I1933" s="170" t="s">
        <v>2842</v>
      </c>
      <c r="J1933" t="s">
        <v>2853</v>
      </c>
      <c r="K1933" s="188" t="s">
        <v>2853</v>
      </c>
    </row>
    <row r="1934" spans="1:11" x14ac:dyDescent="0.25">
      <c r="A1934" t="s">
        <v>6403</v>
      </c>
      <c r="B1934" s="27" t="s">
        <v>1977</v>
      </c>
      <c r="D1934" s="28" t="s">
        <v>3838</v>
      </c>
      <c r="E1934" s="29" t="s">
        <v>21</v>
      </c>
      <c r="F1934" s="30">
        <v>1</v>
      </c>
      <c r="G1934" s="31">
        <v>213.95</v>
      </c>
      <c r="H1934" s="31">
        <f t="shared" si="148"/>
        <v>213.95</v>
      </c>
      <c r="I1934" s="170" t="s">
        <v>2842</v>
      </c>
      <c r="J1934" t="s">
        <v>2853</v>
      </c>
      <c r="K1934" s="188" t="s">
        <v>2853</v>
      </c>
    </row>
    <row r="1935" spans="1:11" x14ac:dyDescent="0.25">
      <c r="A1935" t="s">
        <v>6404</v>
      </c>
      <c r="B1935" s="27" t="s">
        <v>1978</v>
      </c>
      <c r="D1935" s="28" t="s">
        <v>3839</v>
      </c>
      <c r="E1935" s="29" t="s">
        <v>21</v>
      </c>
      <c r="F1935" s="30">
        <v>1</v>
      </c>
      <c r="G1935" s="31">
        <v>213.95</v>
      </c>
      <c r="H1935" s="31">
        <f t="shared" si="148"/>
        <v>213.95</v>
      </c>
      <c r="I1935" s="170" t="s">
        <v>2842</v>
      </c>
      <c r="J1935" t="s">
        <v>2853</v>
      </c>
      <c r="K1935" s="188" t="s">
        <v>2853</v>
      </c>
    </row>
    <row r="1936" spans="1:11" x14ac:dyDescent="0.25">
      <c r="A1936" t="s">
        <v>6405</v>
      </c>
      <c r="B1936" s="27" t="s">
        <v>1979</v>
      </c>
      <c r="D1936" s="28" t="s">
        <v>3840</v>
      </c>
      <c r="E1936" s="29" t="s">
        <v>21</v>
      </c>
      <c r="F1936" s="30">
        <v>1</v>
      </c>
      <c r="G1936" s="31">
        <v>213.95</v>
      </c>
      <c r="H1936" s="31">
        <f t="shared" si="148"/>
        <v>213.95</v>
      </c>
      <c r="I1936" s="170" t="s">
        <v>2842</v>
      </c>
      <c r="J1936" t="s">
        <v>2853</v>
      </c>
      <c r="K1936" s="188" t="s">
        <v>2853</v>
      </c>
    </row>
    <row r="1937" spans="1:11" x14ac:dyDescent="0.25">
      <c r="A1937" t="s">
        <v>6406</v>
      </c>
      <c r="B1937" s="27" t="s">
        <v>1980</v>
      </c>
      <c r="D1937" s="28" t="s">
        <v>3841</v>
      </c>
      <c r="E1937" s="29" t="s">
        <v>563</v>
      </c>
      <c r="F1937" s="30">
        <v>1</v>
      </c>
      <c r="G1937" s="31">
        <v>213.95</v>
      </c>
      <c r="H1937" s="31">
        <f t="shared" si="148"/>
        <v>213.95</v>
      </c>
      <c r="I1937" s="170" t="s">
        <v>2842</v>
      </c>
      <c r="J1937" t="s">
        <v>2853</v>
      </c>
      <c r="K1937" s="188" t="s">
        <v>2853</v>
      </c>
    </row>
    <row r="1938" spans="1:11" x14ac:dyDescent="0.25">
      <c r="A1938" t="s">
        <v>6407</v>
      </c>
      <c r="B1938" s="27" t="s">
        <v>1981</v>
      </c>
      <c r="D1938" s="28" t="s">
        <v>3842</v>
      </c>
      <c r="E1938" s="29" t="s">
        <v>563</v>
      </c>
      <c r="F1938" s="30">
        <v>1</v>
      </c>
      <c r="G1938" s="31">
        <v>213.95</v>
      </c>
      <c r="H1938" s="31">
        <f t="shared" si="148"/>
        <v>213.95</v>
      </c>
      <c r="I1938" s="170" t="s">
        <v>2842</v>
      </c>
      <c r="J1938" t="s">
        <v>2853</v>
      </c>
      <c r="K1938" s="188" t="s">
        <v>2853</v>
      </c>
    </row>
    <row r="1939" spans="1:11" x14ac:dyDescent="0.25">
      <c r="A1939" t="s">
        <v>6408</v>
      </c>
      <c r="B1939" s="27" t="s">
        <v>1982</v>
      </c>
      <c r="D1939" s="28" t="s">
        <v>3843</v>
      </c>
      <c r="E1939" s="29" t="s">
        <v>563</v>
      </c>
      <c r="F1939" s="30">
        <v>1</v>
      </c>
      <c r="G1939" s="31">
        <v>213.95</v>
      </c>
      <c r="H1939" s="31">
        <f t="shared" si="148"/>
        <v>213.95</v>
      </c>
      <c r="I1939" s="170" t="s">
        <v>2842</v>
      </c>
      <c r="J1939" t="s">
        <v>2853</v>
      </c>
      <c r="K1939" s="188" t="s">
        <v>2853</v>
      </c>
    </row>
    <row r="1940" spans="1:11" x14ac:dyDescent="0.25">
      <c r="A1940" t="s">
        <v>6409</v>
      </c>
      <c r="B1940" s="27" t="s">
        <v>1983</v>
      </c>
      <c r="D1940" s="28" t="s">
        <v>3844</v>
      </c>
      <c r="E1940" s="29" t="s">
        <v>671</v>
      </c>
      <c r="F1940" s="30">
        <v>1</v>
      </c>
      <c r="G1940" s="31">
        <v>213.95</v>
      </c>
      <c r="H1940" s="31">
        <f t="shared" si="148"/>
        <v>213.95</v>
      </c>
      <c r="I1940" s="170" t="s">
        <v>2842</v>
      </c>
      <c r="J1940" t="s">
        <v>2853</v>
      </c>
      <c r="K1940" s="188" t="s">
        <v>2853</v>
      </c>
    </row>
    <row r="1941" spans="1:11" x14ac:dyDescent="0.25">
      <c r="A1941" t="s">
        <v>6410</v>
      </c>
      <c r="B1941" s="27" t="s">
        <v>1984</v>
      </c>
      <c r="D1941" s="28" t="s">
        <v>3845</v>
      </c>
      <c r="E1941" s="29" t="s">
        <v>671</v>
      </c>
      <c r="F1941" s="30">
        <v>1</v>
      </c>
      <c r="G1941" s="31">
        <v>213.95</v>
      </c>
      <c r="H1941" s="31">
        <f t="shared" si="148"/>
        <v>213.95</v>
      </c>
      <c r="I1941" s="170" t="s">
        <v>2842</v>
      </c>
      <c r="J1941" t="s">
        <v>2853</v>
      </c>
      <c r="K1941" s="188" t="s">
        <v>2853</v>
      </c>
    </row>
    <row r="1942" spans="1:11" x14ac:dyDescent="0.25">
      <c r="A1942" t="s">
        <v>6411</v>
      </c>
      <c r="B1942" s="27" t="s">
        <v>1985</v>
      </c>
      <c r="D1942" s="28" t="s">
        <v>3846</v>
      </c>
      <c r="E1942" s="29" t="s">
        <v>671</v>
      </c>
      <c r="F1942" s="30">
        <v>1</v>
      </c>
      <c r="G1942" s="31">
        <v>213.95</v>
      </c>
      <c r="H1942" s="31">
        <f t="shared" si="148"/>
        <v>213.95</v>
      </c>
      <c r="I1942" s="170" t="s">
        <v>2842</v>
      </c>
      <c r="J1942" t="s">
        <v>2853</v>
      </c>
      <c r="K1942" s="188" t="s">
        <v>2853</v>
      </c>
    </row>
    <row r="1943" spans="1:11" x14ac:dyDescent="0.25">
      <c r="A1943" t="s">
        <v>6412</v>
      </c>
      <c r="B1943" s="27" t="s">
        <v>1986</v>
      </c>
      <c r="D1943" s="28" t="s">
        <v>3847</v>
      </c>
      <c r="E1943" s="29" t="s">
        <v>21</v>
      </c>
      <c r="F1943" s="30">
        <v>1</v>
      </c>
      <c r="G1943" s="31">
        <v>233.78</v>
      </c>
      <c r="H1943" s="31">
        <f t="shared" si="148"/>
        <v>233.78</v>
      </c>
      <c r="I1943" s="170" t="s">
        <v>2842</v>
      </c>
      <c r="J1943" t="s">
        <v>2853</v>
      </c>
      <c r="K1943" s="188" t="s">
        <v>2853</v>
      </c>
    </row>
    <row r="1944" spans="1:11" x14ac:dyDescent="0.25">
      <c r="A1944" t="s">
        <v>6413</v>
      </c>
      <c r="B1944" s="27" t="s">
        <v>1987</v>
      </c>
      <c r="D1944" s="28" t="s">
        <v>3848</v>
      </c>
      <c r="E1944" s="29" t="s">
        <v>21</v>
      </c>
      <c r="F1944" s="30">
        <v>1</v>
      </c>
      <c r="G1944" s="31">
        <v>233.78</v>
      </c>
      <c r="H1944" s="31">
        <f t="shared" ref="H1944:H2007" si="149">+F1944*G1944</f>
        <v>233.78</v>
      </c>
      <c r="I1944" s="170" t="s">
        <v>2842</v>
      </c>
      <c r="J1944" t="s">
        <v>2853</v>
      </c>
      <c r="K1944" s="188" t="s">
        <v>2853</v>
      </c>
    </row>
    <row r="1945" spans="1:11" x14ac:dyDescent="0.25">
      <c r="A1945" t="s">
        <v>6414</v>
      </c>
      <c r="B1945" s="27" t="s">
        <v>1988</v>
      </c>
      <c r="D1945" s="28" t="s">
        <v>3849</v>
      </c>
      <c r="E1945" s="29" t="s">
        <v>21</v>
      </c>
      <c r="F1945" s="30">
        <v>1</v>
      </c>
      <c r="G1945" s="31">
        <v>233.78</v>
      </c>
      <c r="H1945" s="31">
        <f t="shared" si="149"/>
        <v>233.78</v>
      </c>
      <c r="I1945" s="170" t="s">
        <v>2842</v>
      </c>
      <c r="J1945" t="s">
        <v>2853</v>
      </c>
      <c r="K1945" s="188" t="s">
        <v>2853</v>
      </c>
    </row>
    <row r="1946" spans="1:11" x14ac:dyDescent="0.25">
      <c r="A1946" t="s">
        <v>6415</v>
      </c>
      <c r="B1946" s="27" t="s">
        <v>1989</v>
      </c>
      <c r="D1946" s="28" t="s">
        <v>3850</v>
      </c>
      <c r="E1946" s="29" t="s">
        <v>563</v>
      </c>
      <c r="F1946" s="30">
        <v>1</v>
      </c>
      <c r="G1946" s="31">
        <v>233.78</v>
      </c>
      <c r="H1946" s="31">
        <f t="shared" si="149"/>
        <v>233.78</v>
      </c>
      <c r="I1946" s="170" t="s">
        <v>2842</v>
      </c>
      <c r="J1946" t="s">
        <v>2853</v>
      </c>
      <c r="K1946" s="188" t="s">
        <v>2853</v>
      </c>
    </row>
    <row r="1947" spans="1:11" x14ac:dyDescent="0.25">
      <c r="A1947" t="s">
        <v>6416</v>
      </c>
      <c r="B1947" s="27" t="s">
        <v>1990</v>
      </c>
      <c r="D1947" s="28" t="s">
        <v>3851</v>
      </c>
      <c r="E1947" s="29" t="s">
        <v>563</v>
      </c>
      <c r="F1947" s="30">
        <v>1</v>
      </c>
      <c r="G1947" s="31">
        <v>233.78</v>
      </c>
      <c r="H1947" s="31">
        <f t="shared" si="149"/>
        <v>233.78</v>
      </c>
      <c r="I1947" s="170" t="s">
        <v>2842</v>
      </c>
      <c r="J1947" t="s">
        <v>2853</v>
      </c>
      <c r="K1947" s="188" t="s">
        <v>2853</v>
      </c>
    </row>
    <row r="1948" spans="1:11" x14ac:dyDescent="0.25">
      <c r="A1948" t="s">
        <v>6417</v>
      </c>
      <c r="B1948" s="27" t="s">
        <v>1991</v>
      </c>
      <c r="D1948" s="28" t="s">
        <v>3852</v>
      </c>
      <c r="E1948" s="29" t="s">
        <v>563</v>
      </c>
      <c r="F1948" s="30">
        <v>1</v>
      </c>
      <c r="G1948" s="31">
        <v>233.78</v>
      </c>
      <c r="H1948" s="31">
        <f t="shared" si="149"/>
        <v>233.78</v>
      </c>
      <c r="I1948" s="170" t="s">
        <v>2842</v>
      </c>
      <c r="J1948" t="s">
        <v>2853</v>
      </c>
      <c r="K1948" s="188" t="s">
        <v>2853</v>
      </c>
    </row>
    <row r="1949" spans="1:11" x14ac:dyDescent="0.25">
      <c r="A1949" t="s">
        <v>6418</v>
      </c>
      <c r="B1949" s="27" t="s">
        <v>1992</v>
      </c>
      <c r="D1949" s="28" t="s">
        <v>3853</v>
      </c>
      <c r="E1949" s="29" t="s">
        <v>671</v>
      </c>
      <c r="F1949" s="30">
        <v>1</v>
      </c>
      <c r="G1949" s="31">
        <v>233.78</v>
      </c>
      <c r="H1949" s="31">
        <f t="shared" si="149"/>
        <v>233.78</v>
      </c>
      <c r="I1949" s="170" t="s">
        <v>2842</v>
      </c>
      <c r="J1949" t="s">
        <v>2853</v>
      </c>
      <c r="K1949" s="188" t="s">
        <v>2853</v>
      </c>
    </row>
    <row r="1950" spans="1:11" x14ac:dyDescent="0.25">
      <c r="A1950" t="s">
        <v>6419</v>
      </c>
      <c r="B1950" s="27" t="s">
        <v>1993</v>
      </c>
      <c r="D1950" s="28" t="s">
        <v>3854</v>
      </c>
      <c r="E1950" s="29" t="s">
        <v>671</v>
      </c>
      <c r="F1950" s="30">
        <v>1</v>
      </c>
      <c r="G1950" s="31">
        <v>233.78</v>
      </c>
      <c r="H1950" s="31">
        <f t="shared" si="149"/>
        <v>233.78</v>
      </c>
      <c r="I1950" s="170" t="s">
        <v>2842</v>
      </c>
      <c r="J1950" t="s">
        <v>2853</v>
      </c>
      <c r="K1950" s="188" t="s">
        <v>2853</v>
      </c>
    </row>
    <row r="1951" spans="1:11" x14ac:dyDescent="0.25">
      <c r="A1951" t="s">
        <v>6420</v>
      </c>
      <c r="B1951" s="27" t="s">
        <v>1994</v>
      </c>
      <c r="D1951" s="28" t="s">
        <v>3855</v>
      </c>
      <c r="E1951" s="29" t="s">
        <v>671</v>
      </c>
      <c r="F1951" s="30">
        <v>1</v>
      </c>
      <c r="G1951" s="31">
        <v>233.78</v>
      </c>
      <c r="H1951" s="31">
        <f t="shared" si="149"/>
        <v>233.78</v>
      </c>
      <c r="I1951" s="170" t="s">
        <v>2842</v>
      </c>
      <c r="J1951" t="s">
        <v>2853</v>
      </c>
      <c r="K1951" s="188" t="s">
        <v>2853</v>
      </c>
    </row>
    <row r="1952" spans="1:11" x14ac:dyDescent="0.25">
      <c r="A1952" t="s">
        <v>6421</v>
      </c>
      <c r="B1952" s="27" t="s">
        <v>1995</v>
      </c>
      <c r="D1952" s="28" t="s">
        <v>3856</v>
      </c>
      <c r="E1952" s="29" t="s">
        <v>21</v>
      </c>
      <c r="F1952" s="30">
        <v>1</v>
      </c>
      <c r="G1952" s="31">
        <v>128.01</v>
      </c>
      <c r="H1952" s="31">
        <f t="shared" si="149"/>
        <v>128.01</v>
      </c>
      <c r="I1952" s="170" t="s">
        <v>2842</v>
      </c>
      <c r="J1952" t="s">
        <v>2853</v>
      </c>
      <c r="K1952" s="188" t="s">
        <v>2853</v>
      </c>
    </row>
    <row r="1953" spans="1:11" x14ac:dyDescent="0.25">
      <c r="A1953" t="s">
        <v>6422</v>
      </c>
      <c r="B1953" s="27" t="s">
        <v>1996</v>
      </c>
      <c r="D1953" s="28" t="s">
        <v>3857</v>
      </c>
      <c r="E1953" s="29" t="s">
        <v>21</v>
      </c>
      <c r="F1953" s="30">
        <v>1</v>
      </c>
      <c r="G1953" s="31">
        <v>128.01</v>
      </c>
      <c r="H1953" s="31">
        <f t="shared" si="149"/>
        <v>128.01</v>
      </c>
      <c r="I1953" s="170" t="s">
        <v>2842</v>
      </c>
      <c r="J1953" t="s">
        <v>2853</v>
      </c>
      <c r="K1953" s="188" t="s">
        <v>2853</v>
      </c>
    </row>
    <row r="1954" spans="1:11" x14ac:dyDescent="0.25">
      <c r="A1954" t="s">
        <v>6423</v>
      </c>
      <c r="B1954" s="27" t="s">
        <v>1997</v>
      </c>
      <c r="D1954" s="28" t="s">
        <v>3858</v>
      </c>
      <c r="E1954" s="29" t="s">
        <v>21</v>
      </c>
      <c r="F1954" s="30">
        <v>1</v>
      </c>
      <c r="G1954" s="31">
        <v>128.01</v>
      </c>
      <c r="H1954" s="31">
        <f t="shared" si="149"/>
        <v>128.01</v>
      </c>
      <c r="I1954" s="170" t="s">
        <v>2842</v>
      </c>
      <c r="J1954" t="s">
        <v>2853</v>
      </c>
      <c r="K1954" s="188" t="s">
        <v>2853</v>
      </c>
    </row>
    <row r="1955" spans="1:11" x14ac:dyDescent="0.25">
      <c r="A1955" t="s">
        <v>6424</v>
      </c>
      <c r="B1955" s="27" t="s">
        <v>1998</v>
      </c>
      <c r="D1955" s="28" t="s">
        <v>3859</v>
      </c>
      <c r="E1955" s="29" t="s">
        <v>563</v>
      </c>
      <c r="F1955" s="30">
        <v>1</v>
      </c>
      <c r="G1955" s="31">
        <v>128.01</v>
      </c>
      <c r="H1955" s="31">
        <f t="shared" si="149"/>
        <v>128.01</v>
      </c>
      <c r="I1955" s="170" t="s">
        <v>2842</v>
      </c>
      <c r="J1955" t="s">
        <v>2853</v>
      </c>
      <c r="K1955" s="188" t="s">
        <v>2853</v>
      </c>
    </row>
    <row r="1956" spans="1:11" x14ac:dyDescent="0.25">
      <c r="A1956" t="s">
        <v>6425</v>
      </c>
      <c r="B1956" s="27" t="s">
        <v>1999</v>
      </c>
      <c r="D1956" s="28" t="s">
        <v>3860</v>
      </c>
      <c r="E1956" s="29" t="s">
        <v>563</v>
      </c>
      <c r="F1956" s="30">
        <v>1</v>
      </c>
      <c r="G1956" s="31">
        <v>128.01</v>
      </c>
      <c r="H1956" s="31">
        <f t="shared" si="149"/>
        <v>128.01</v>
      </c>
      <c r="I1956" s="170" t="s">
        <v>2842</v>
      </c>
      <c r="J1956" t="s">
        <v>2853</v>
      </c>
      <c r="K1956" s="188" t="s">
        <v>2853</v>
      </c>
    </row>
    <row r="1957" spans="1:11" x14ac:dyDescent="0.25">
      <c r="A1957" t="s">
        <v>6426</v>
      </c>
      <c r="B1957" s="27" t="s">
        <v>2000</v>
      </c>
      <c r="D1957" s="28" t="s">
        <v>3861</v>
      </c>
      <c r="E1957" s="29" t="s">
        <v>563</v>
      </c>
      <c r="F1957" s="30">
        <v>1</v>
      </c>
      <c r="G1957" s="31">
        <v>128.01</v>
      </c>
      <c r="H1957" s="31">
        <f t="shared" si="149"/>
        <v>128.01</v>
      </c>
      <c r="I1957" s="170" t="s">
        <v>2842</v>
      </c>
      <c r="J1957" t="s">
        <v>2853</v>
      </c>
      <c r="K1957" s="188" t="s">
        <v>2853</v>
      </c>
    </row>
    <row r="1958" spans="1:11" x14ac:dyDescent="0.25">
      <c r="A1958" t="s">
        <v>6427</v>
      </c>
      <c r="B1958" s="27" t="s">
        <v>2001</v>
      </c>
      <c r="D1958" s="28" t="s">
        <v>3862</v>
      </c>
      <c r="E1958" s="29" t="s">
        <v>671</v>
      </c>
      <c r="F1958" s="30">
        <v>1</v>
      </c>
      <c r="G1958" s="31">
        <v>128.01</v>
      </c>
      <c r="H1958" s="31">
        <f t="shared" si="149"/>
        <v>128.01</v>
      </c>
      <c r="I1958" s="170" t="s">
        <v>2842</v>
      </c>
      <c r="J1958" t="s">
        <v>2853</v>
      </c>
      <c r="K1958" s="188" t="s">
        <v>2853</v>
      </c>
    </row>
    <row r="1959" spans="1:11" x14ac:dyDescent="0.25">
      <c r="A1959" t="s">
        <v>6428</v>
      </c>
      <c r="B1959" s="27" t="s">
        <v>2002</v>
      </c>
      <c r="D1959" s="28" t="s">
        <v>3863</v>
      </c>
      <c r="E1959" s="29" t="s">
        <v>671</v>
      </c>
      <c r="F1959" s="30">
        <v>1</v>
      </c>
      <c r="G1959" s="31">
        <v>128.01</v>
      </c>
      <c r="H1959" s="31">
        <f t="shared" si="149"/>
        <v>128.01</v>
      </c>
      <c r="I1959" s="170" t="s">
        <v>2842</v>
      </c>
      <c r="J1959" t="s">
        <v>2853</v>
      </c>
      <c r="K1959" s="188" t="s">
        <v>2853</v>
      </c>
    </row>
    <row r="1960" spans="1:11" x14ac:dyDescent="0.25">
      <c r="A1960" t="s">
        <v>6429</v>
      </c>
      <c r="B1960" s="27" t="s">
        <v>2003</v>
      </c>
      <c r="D1960" s="28" t="s">
        <v>3864</v>
      </c>
      <c r="E1960" s="29" t="s">
        <v>671</v>
      </c>
      <c r="F1960" s="30">
        <v>1</v>
      </c>
      <c r="G1960" s="31">
        <v>128.01</v>
      </c>
      <c r="H1960" s="31">
        <f t="shared" si="149"/>
        <v>128.01</v>
      </c>
      <c r="I1960" s="170" t="s">
        <v>2842</v>
      </c>
      <c r="J1960" t="s">
        <v>2853</v>
      </c>
      <c r="K1960" s="188" t="s">
        <v>2853</v>
      </c>
    </row>
    <row r="1961" spans="1:11" x14ac:dyDescent="0.25">
      <c r="A1961" t="s">
        <v>6430</v>
      </c>
      <c r="B1961" s="27" t="s">
        <v>2004</v>
      </c>
      <c r="D1961" s="28" t="s">
        <v>3865</v>
      </c>
      <c r="E1961" s="29" t="s">
        <v>21</v>
      </c>
      <c r="F1961" s="30">
        <v>1</v>
      </c>
      <c r="G1961" s="31">
        <v>147.84</v>
      </c>
      <c r="H1961" s="31">
        <f t="shared" si="149"/>
        <v>147.84</v>
      </c>
      <c r="I1961" s="170" t="s">
        <v>2842</v>
      </c>
      <c r="J1961" t="s">
        <v>2853</v>
      </c>
      <c r="K1961" s="188" t="s">
        <v>2853</v>
      </c>
    </row>
    <row r="1962" spans="1:11" x14ac:dyDescent="0.25">
      <c r="A1962" t="s">
        <v>6431</v>
      </c>
      <c r="B1962" s="27" t="s">
        <v>2005</v>
      </c>
      <c r="D1962" s="28" t="s">
        <v>3866</v>
      </c>
      <c r="E1962" s="29" t="s">
        <v>21</v>
      </c>
      <c r="F1962" s="30">
        <v>1</v>
      </c>
      <c r="G1962" s="31">
        <v>147.84</v>
      </c>
      <c r="H1962" s="31">
        <f t="shared" si="149"/>
        <v>147.84</v>
      </c>
      <c r="I1962" s="170" t="s">
        <v>2842</v>
      </c>
      <c r="J1962" t="s">
        <v>2853</v>
      </c>
      <c r="K1962" s="188" t="s">
        <v>2853</v>
      </c>
    </row>
    <row r="1963" spans="1:11" x14ac:dyDescent="0.25">
      <c r="A1963" t="s">
        <v>6432</v>
      </c>
      <c r="B1963" s="27" t="s">
        <v>2006</v>
      </c>
      <c r="D1963" s="28" t="s">
        <v>3867</v>
      </c>
      <c r="E1963" s="29" t="s">
        <v>21</v>
      </c>
      <c r="F1963" s="30">
        <v>1</v>
      </c>
      <c r="G1963" s="31">
        <v>147.84</v>
      </c>
      <c r="H1963" s="31">
        <f t="shared" si="149"/>
        <v>147.84</v>
      </c>
      <c r="I1963" s="170" t="s">
        <v>2842</v>
      </c>
      <c r="J1963" t="s">
        <v>2853</v>
      </c>
      <c r="K1963" s="188" t="s">
        <v>2853</v>
      </c>
    </row>
    <row r="1964" spans="1:11" x14ac:dyDescent="0.25">
      <c r="A1964" t="s">
        <v>6433</v>
      </c>
      <c r="B1964" s="27" t="s">
        <v>2007</v>
      </c>
      <c r="D1964" s="28" t="s">
        <v>3868</v>
      </c>
      <c r="E1964" s="29" t="s">
        <v>563</v>
      </c>
      <c r="F1964" s="30">
        <v>1</v>
      </c>
      <c r="G1964" s="31">
        <v>147.84</v>
      </c>
      <c r="H1964" s="31">
        <f t="shared" si="149"/>
        <v>147.84</v>
      </c>
      <c r="I1964" s="170" t="s">
        <v>2842</v>
      </c>
      <c r="J1964" t="s">
        <v>2853</v>
      </c>
      <c r="K1964" s="188" t="s">
        <v>2853</v>
      </c>
    </row>
    <row r="1965" spans="1:11" x14ac:dyDescent="0.25">
      <c r="A1965" t="s">
        <v>6434</v>
      </c>
      <c r="B1965" s="27" t="s">
        <v>2008</v>
      </c>
      <c r="D1965" s="28" t="s">
        <v>3869</v>
      </c>
      <c r="E1965" s="29" t="s">
        <v>563</v>
      </c>
      <c r="F1965" s="30">
        <v>1</v>
      </c>
      <c r="G1965" s="31">
        <v>147.84</v>
      </c>
      <c r="H1965" s="31">
        <f t="shared" si="149"/>
        <v>147.84</v>
      </c>
      <c r="I1965" s="170" t="s">
        <v>2842</v>
      </c>
      <c r="J1965" t="s">
        <v>2853</v>
      </c>
      <c r="K1965" s="188" t="s">
        <v>2853</v>
      </c>
    </row>
    <row r="1966" spans="1:11" x14ac:dyDescent="0.25">
      <c r="A1966" t="s">
        <v>6435</v>
      </c>
      <c r="B1966" s="27" t="s">
        <v>2009</v>
      </c>
      <c r="D1966" s="28" t="s">
        <v>3870</v>
      </c>
      <c r="E1966" s="29" t="s">
        <v>563</v>
      </c>
      <c r="F1966" s="30">
        <v>1</v>
      </c>
      <c r="G1966" s="31">
        <v>147.84</v>
      </c>
      <c r="H1966" s="31">
        <f t="shared" si="149"/>
        <v>147.84</v>
      </c>
      <c r="I1966" s="170" t="s">
        <v>2842</v>
      </c>
      <c r="J1966" t="s">
        <v>2853</v>
      </c>
      <c r="K1966" s="188" t="s">
        <v>2853</v>
      </c>
    </row>
    <row r="1967" spans="1:11" x14ac:dyDescent="0.25">
      <c r="A1967" t="s">
        <v>6436</v>
      </c>
      <c r="B1967" s="27" t="s">
        <v>2010</v>
      </c>
      <c r="D1967" s="28" t="s">
        <v>3871</v>
      </c>
      <c r="E1967" s="29" t="s">
        <v>671</v>
      </c>
      <c r="F1967" s="30">
        <v>1</v>
      </c>
      <c r="G1967" s="31">
        <v>147.84</v>
      </c>
      <c r="H1967" s="31">
        <f t="shared" si="149"/>
        <v>147.84</v>
      </c>
      <c r="I1967" s="170" t="s">
        <v>2842</v>
      </c>
      <c r="J1967" t="s">
        <v>2853</v>
      </c>
      <c r="K1967" s="188" t="s">
        <v>2853</v>
      </c>
    </row>
    <row r="1968" spans="1:11" x14ac:dyDescent="0.25">
      <c r="A1968" t="s">
        <v>6437</v>
      </c>
      <c r="B1968" s="27" t="s">
        <v>2011</v>
      </c>
      <c r="D1968" s="28" t="s">
        <v>3872</v>
      </c>
      <c r="E1968" s="29" t="s">
        <v>671</v>
      </c>
      <c r="F1968" s="30">
        <v>1</v>
      </c>
      <c r="G1968" s="31">
        <v>147.84</v>
      </c>
      <c r="H1968" s="31">
        <f t="shared" si="149"/>
        <v>147.84</v>
      </c>
      <c r="I1968" s="170" t="s">
        <v>2842</v>
      </c>
      <c r="J1968" t="s">
        <v>2853</v>
      </c>
      <c r="K1968" s="188" t="s">
        <v>2853</v>
      </c>
    </row>
    <row r="1969" spans="1:11" x14ac:dyDescent="0.25">
      <c r="A1969" t="s">
        <v>6438</v>
      </c>
      <c r="B1969" s="27" t="s">
        <v>2012</v>
      </c>
      <c r="D1969" s="28" t="s">
        <v>3873</v>
      </c>
      <c r="E1969" s="29" t="s">
        <v>671</v>
      </c>
      <c r="F1969" s="30">
        <v>1</v>
      </c>
      <c r="G1969" s="31">
        <v>147.84</v>
      </c>
      <c r="H1969" s="31">
        <f t="shared" si="149"/>
        <v>147.84</v>
      </c>
      <c r="I1969" s="170" t="s">
        <v>2842</v>
      </c>
      <c r="J1969" t="s">
        <v>2853</v>
      </c>
      <c r="K1969" s="188" t="s">
        <v>2853</v>
      </c>
    </row>
    <row r="1970" spans="1:11" x14ac:dyDescent="0.25">
      <c r="A1970" t="s">
        <v>6439</v>
      </c>
      <c r="B1970" s="27" t="s">
        <v>2013</v>
      </c>
      <c r="D1970" s="28" t="s">
        <v>3874</v>
      </c>
      <c r="E1970" s="29" t="s">
        <v>21</v>
      </c>
      <c r="F1970" s="30">
        <v>1</v>
      </c>
      <c r="G1970" s="31">
        <v>161.07</v>
      </c>
      <c r="H1970" s="31">
        <f t="shared" si="149"/>
        <v>161.07</v>
      </c>
      <c r="I1970" s="170" t="s">
        <v>2842</v>
      </c>
      <c r="J1970" t="s">
        <v>2853</v>
      </c>
      <c r="K1970" s="188" t="s">
        <v>2853</v>
      </c>
    </row>
    <row r="1971" spans="1:11" x14ac:dyDescent="0.25">
      <c r="A1971" t="s">
        <v>6440</v>
      </c>
      <c r="B1971" s="27" t="s">
        <v>2014</v>
      </c>
      <c r="D1971" s="28" t="s">
        <v>3875</v>
      </c>
      <c r="E1971" s="29" t="s">
        <v>21</v>
      </c>
      <c r="F1971" s="30">
        <v>1</v>
      </c>
      <c r="G1971" s="31">
        <v>161.07</v>
      </c>
      <c r="H1971" s="31">
        <f t="shared" si="149"/>
        <v>161.07</v>
      </c>
      <c r="I1971" s="170" t="s">
        <v>2842</v>
      </c>
      <c r="J1971" t="s">
        <v>2853</v>
      </c>
      <c r="K1971" s="188" t="s">
        <v>2853</v>
      </c>
    </row>
    <row r="1972" spans="1:11" x14ac:dyDescent="0.25">
      <c r="A1972" t="s">
        <v>6441</v>
      </c>
      <c r="B1972" s="27" t="s">
        <v>2015</v>
      </c>
      <c r="D1972" s="28" t="s">
        <v>3876</v>
      </c>
      <c r="E1972" s="29" t="s">
        <v>21</v>
      </c>
      <c r="F1972" s="30">
        <v>1</v>
      </c>
      <c r="G1972" s="31">
        <v>161.07</v>
      </c>
      <c r="H1972" s="31">
        <f t="shared" si="149"/>
        <v>161.07</v>
      </c>
      <c r="I1972" s="170" t="s">
        <v>2842</v>
      </c>
      <c r="J1972" t="s">
        <v>2853</v>
      </c>
      <c r="K1972" s="188" t="s">
        <v>2853</v>
      </c>
    </row>
    <row r="1973" spans="1:11" x14ac:dyDescent="0.25">
      <c r="A1973" t="s">
        <v>6442</v>
      </c>
      <c r="B1973" s="27" t="s">
        <v>2016</v>
      </c>
      <c r="D1973" s="28" t="s">
        <v>3877</v>
      </c>
      <c r="E1973" s="29" t="s">
        <v>563</v>
      </c>
      <c r="F1973" s="30">
        <v>1</v>
      </c>
      <c r="G1973" s="31">
        <v>161.07</v>
      </c>
      <c r="H1973" s="31">
        <f t="shared" si="149"/>
        <v>161.07</v>
      </c>
      <c r="I1973" s="170" t="s">
        <v>2842</v>
      </c>
      <c r="J1973" t="s">
        <v>2853</v>
      </c>
      <c r="K1973" s="188" t="s">
        <v>2853</v>
      </c>
    </row>
    <row r="1974" spans="1:11" x14ac:dyDescent="0.25">
      <c r="A1974" t="s">
        <v>6443</v>
      </c>
      <c r="B1974" s="27" t="s">
        <v>2017</v>
      </c>
      <c r="D1974" s="28" t="s">
        <v>3878</v>
      </c>
      <c r="E1974" s="29" t="s">
        <v>563</v>
      </c>
      <c r="F1974" s="30">
        <v>1</v>
      </c>
      <c r="G1974" s="31">
        <v>161.07</v>
      </c>
      <c r="H1974" s="31">
        <f t="shared" si="149"/>
        <v>161.07</v>
      </c>
      <c r="I1974" s="170" t="s">
        <v>2842</v>
      </c>
      <c r="J1974" t="s">
        <v>2853</v>
      </c>
      <c r="K1974" s="188" t="s">
        <v>2853</v>
      </c>
    </row>
    <row r="1975" spans="1:11" x14ac:dyDescent="0.25">
      <c r="A1975" t="s">
        <v>6444</v>
      </c>
      <c r="B1975" s="27" t="s">
        <v>2018</v>
      </c>
      <c r="D1975" s="28" t="s">
        <v>3879</v>
      </c>
      <c r="E1975" s="29" t="s">
        <v>563</v>
      </c>
      <c r="F1975" s="30">
        <v>1</v>
      </c>
      <c r="G1975" s="31">
        <v>161.07</v>
      </c>
      <c r="H1975" s="31">
        <f t="shared" si="149"/>
        <v>161.07</v>
      </c>
      <c r="I1975" s="170" t="s">
        <v>2842</v>
      </c>
      <c r="J1975" t="s">
        <v>2853</v>
      </c>
      <c r="K1975" s="188" t="s">
        <v>2853</v>
      </c>
    </row>
    <row r="1976" spans="1:11" x14ac:dyDescent="0.25">
      <c r="A1976" t="s">
        <v>6445</v>
      </c>
      <c r="B1976" s="27" t="s">
        <v>2019</v>
      </c>
      <c r="D1976" s="28" t="s">
        <v>3880</v>
      </c>
      <c r="E1976" s="29" t="s">
        <v>671</v>
      </c>
      <c r="F1976" s="30">
        <v>1</v>
      </c>
      <c r="G1976" s="31">
        <v>161.07</v>
      </c>
      <c r="H1976" s="31">
        <f t="shared" si="149"/>
        <v>161.07</v>
      </c>
      <c r="I1976" s="170" t="s">
        <v>2842</v>
      </c>
      <c r="J1976" t="s">
        <v>2853</v>
      </c>
      <c r="K1976" s="188" t="s">
        <v>2853</v>
      </c>
    </row>
    <row r="1977" spans="1:11" x14ac:dyDescent="0.25">
      <c r="A1977" t="s">
        <v>6446</v>
      </c>
      <c r="B1977" s="27" t="s">
        <v>2020</v>
      </c>
      <c r="D1977" s="28" t="s">
        <v>3881</v>
      </c>
      <c r="E1977" s="29" t="s">
        <v>671</v>
      </c>
      <c r="F1977" s="30">
        <v>1</v>
      </c>
      <c r="G1977" s="31">
        <v>161.07</v>
      </c>
      <c r="H1977" s="31">
        <f t="shared" si="149"/>
        <v>161.07</v>
      </c>
      <c r="I1977" s="170" t="s">
        <v>2842</v>
      </c>
      <c r="J1977" t="s">
        <v>2853</v>
      </c>
      <c r="K1977" s="188" t="s">
        <v>2853</v>
      </c>
    </row>
    <row r="1978" spans="1:11" x14ac:dyDescent="0.25">
      <c r="A1978" t="s">
        <v>6447</v>
      </c>
      <c r="B1978" s="27" t="s">
        <v>2021</v>
      </c>
      <c r="D1978" s="28" t="s">
        <v>3882</v>
      </c>
      <c r="E1978" s="29" t="s">
        <v>671</v>
      </c>
      <c r="F1978" s="30">
        <v>1</v>
      </c>
      <c r="G1978" s="31">
        <v>161.07</v>
      </c>
      <c r="H1978" s="31">
        <f t="shared" si="149"/>
        <v>161.07</v>
      </c>
      <c r="I1978" s="170" t="s">
        <v>2842</v>
      </c>
      <c r="J1978" t="s">
        <v>2853</v>
      </c>
      <c r="K1978" s="188" t="s">
        <v>2853</v>
      </c>
    </row>
    <row r="1979" spans="1:11" x14ac:dyDescent="0.25">
      <c r="A1979" t="s">
        <v>6448</v>
      </c>
      <c r="B1979" s="27" t="s">
        <v>2022</v>
      </c>
      <c r="D1979" s="28" t="s">
        <v>3883</v>
      </c>
      <c r="E1979" s="29" t="s">
        <v>21</v>
      </c>
      <c r="F1979" s="30">
        <v>1</v>
      </c>
      <c r="G1979" s="31">
        <v>180.89</v>
      </c>
      <c r="H1979" s="31">
        <f t="shared" si="149"/>
        <v>180.89</v>
      </c>
      <c r="I1979" s="170" t="s">
        <v>2842</v>
      </c>
      <c r="J1979" t="s">
        <v>2853</v>
      </c>
      <c r="K1979" s="188" t="s">
        <v>2853</v>
      </c>
    </row>
    <row r="1980" spans="1:11" x14ac:dyDescent="0.25">
      <c r="A1980" t="s">
        <v>6449</v>
      </c>
      <c r="B1980" s="27" t="s">
        <v>2023</v>
      </c>
      <c r="D1980" s="28" t="s">
        <v>3884</v>
      </c>
      <c r="E1980" s="29" t="s">
        <v>21</v>
      </c>
      <c r="F1980" s="30">
        <v>1</v>
      </c>
      <c r="G1980" s="31">
        <v>180.89</v>
      </c>
      <c r="H1980" s="31">
        <f t="shared" si="149"/>
        <v>180.89</v>
      </c>
      <c r="I1980" s="170" t="s">
        <v>2842</v>
      </c>
      <c r="J1980" t="s">
        <v>2853</v>
      </c>
      <c r="K1980" s="188" t="s">
        <v>2853</v>
      </c>
    </row>
    <row r="1981" spans="1:11" x14ac:dyDescent="0.25">
      <c r="A1981" t="s">
        <v>6450</v>
      </c>
      <c r="B1981" s="27" t="s">
        <v>2024</v>
      </c>
      <c r="D1981" s="28" t="s">
        <v>3885</v>
      </c>
      <c r="E1981" s="29" t="s">
        <v>21</v>
      </c>
      <c r="F1981" s="30">
        <v>1</v>
      </c>
      <c r="G1981" s="31">
        <v>180.89</v>
      </c>
      <c r="H1981" s="31">
        <f t="shared" si="149"/>
        <v>180.89</v>
      </c>
      <c r="I1981" s="170" t="s">
        <v>2842</v>
      </c>
      <c r="J1981" t="s">
        <v>2853</v>
      </c>
      <c r="K1981" s="188" t="s">
        <v>2853</v>
      </c>
    </row>
    <row r="1982" spans="1:11" x14ac:dyDescent="0.25">
      <c r="A1982" t="s">
        <v>6451</v>
      </c>
      <c r="B1982" s="27" t="s">
        <v>2025</v>
      </c>
      <c r="D1982" s="28" t="s">
        <v>3886</v>
      </c>
      <c r="E1982" s="29" t="s">
        <v>563</v>
      </c>
      <c r="F1982" s="30">
        <v>1</v>
      </c>
      <c r="G1982" s="31">
        <v>180.89</v>
      </c>
      <c r="H1982" s="31">
        <f t="shared" si="149"/>
        <v>180.89</v>
      </c>
      <c r="I1982" s="170" t="s">
        <v>2842</v>
      </c>
      <c r="J1982" t="s">
        <v>2853</v>
      </c>
      <c r="K1982" s="188" t="s">
        <v>2853</v>
      </c>
    </row>
    <row r="1983" spans="1:11" x14ac:dyDescent="0.25">
      <c r="A1983" t="s">
        <v>6452</v>
      </c>
      <c r="B1983" s="27" t="s">
        <v>2026</v>
      </c>
      <c r="D1983" s="28" t="s">
        <v>3887</v>
      </c>
      <c r="E1983" s="29" t="s">
        <v>563</v>
      </c>
      <c r="F1983" s="30">
        <v>1</v>
      </c>
      <c r="G1983" s="31">
        <v>180.89</v>
      </c>
      <c r="H1983" s="31">
        <f t="shared" si="149"/>
        <v>180.89</v>
      </c>
      <c r="I1983" s="170" t="s">
        <v>2842</v>
      </c>
      <c r="J1983" t="s">
        <v>2853</v>
      </c>
      <c r="K1983" s="188" t="s">
        <v>2853</v>
      </c>
    </row>
    <row r="1984" spans="1:11" x14ac:dyDescent="0.25">
      <c r="A1984" t="s">
        <v>6453</v>
      </c>
      <c r="B1984" s="27" t="s">
        <v>2027</v>
      </c>
      <c r="D1984" s="28" t="s">
        <v>3888</v>
      </c>
      <c r="E1984" s="29" t="s">
        <v>563</v>
      </c>
      <c r="F1984" s="30">
        <v>1</v>
      </c>
      <c r="G1984" s="31">
        <v>180.89</v>
      </c>
      <c r="H1984" s="31">
        <f t="shared" si="149"/>
        <v>180.89</v>
      </c>
      <c r="I1984" s="170" t="s">
        <v>2842</v>
      </c>
      <c r="J1984" t="s">
        <v>2853</v>
      </c>
      <c r="K1984" s="188" t="s">
        <v>2853</v>
      </c>
    </row>
    <row r="1985" spans="1:11" x14ac:dyDescent="0.25">
      <c r="A1985" t="s">
        <v>6454</v>
      </c>
      <c r="B1985" s="27" t="s">
        <v>2028</v>
      </c>
      <c r="D1985" s="28" t="s">
        <v>3889</v>
      </c>
      <c r="E1985" s="29" t="s">
        <v>671</v>
      </c>
      <c r="F1985" s="30">
        <v>1</v>
      </c>
      <c r="G1985" s="31">
        <v>180.89</v>
      </c>
      <c r="H1985" s="31">
        <f t="shared" si="149"/>
        <v>180.89</v>
      </c>
      <c r="I1985" s="170" t="s">
        <v>2842</v>
      </c>
      <c r="J1985" t="s">
        <v>2853</v>
      </c>
      <c r="K1985" s="188" t="s">
        <v>2853</v>
      </c>
    </row>
    <row r="1986" spans="1:11" x14ac:dyDescent="0.25">
      <c r="A1986" t="s">
        <v>6455</v>
      </c>
      <c r="B1986" s="27" t="s">
        <v>2029</v>
      </c>
      <c r="D1986" s="28" t="s">
        <v>3890</v>
      </c>
      <c r="E1986" s="29" t="s">
        <v>671</v>
      </c>
      <c r="F1986" s="30">
        <v>1</v>
      </c>
      <c r="G1986" s="31">
        <v>180.89</v>
      </c>
      <c r="H1986" s="31">
        <f t="shared" si="149"/>
        <v>180.89</v>
      </c>
      <c r="I1986" s="170" t="s">
        <v>2842</v>
      </c>
      <c r="J1986" t="s">
        <v>2853</v>
      </c>
      <c r="K1986" s="188" t="s">
        <v>2853</v>
      </c>
    </row>
    <row r="1987" spans="1:11" x14ac:dyDescent="0.25">
      <c r="A1987" t="s">
        <v>6456</v>
      </c>
      <c r="B1987" s="27" t="s">
        <v>2030</v>
      </c>
      <c r="D1987" s="28" t="s">
        <v>3891</v>
      </c>
      <c r="E1987" s="29" t="s">
        <v>671</v>
      </c>
      <c r="F1987" s="30">
        <v>1</v>
      </c>
      <c r="G1987" s="31">
        <v>180.89</v>
      </c>
      <c r="H1987" s="31">
        <f t="shared" si="149"/>
        <v>180.89</v>
      </c>
      <c r="I1987" s="170" t="s">
        <v>2842</v>
      </c>
      <c r="J1987" t="s">
        <v>2853</v>
      </c>
      <c r="K1987" s="188" t="s">
        <v>2853</v>
      </c>
    </row>
    <row r="1988" spans="1:11" x14ac:dyDescent="0.25">
      <c r="A1988" t="s">
        <v>6457</v>
      </c>
      <c r="B1988" s="27" t="s">
        <v>2031</v>
      </c>
      <c r="D1988" s="28" t="s">
        <v>3892</v>
      </c>
      <c r="E1988" s="29" t="s">
        <v>21</v>
      </c>
      <c r="F1988" s="30">
        <v>1</v>
      </c>
      <c r="G1988" s="31">
        <v>147.84</v>
      </c>
      <c r="H1988" s="31">
        <f t="shared" si="149"/>
        <v>147.84</v>
      </c>
      <c r="I1988" s="170" t="s">
        <v>2842</v>
      </c>
      <c r="J1988" t="s">
        <v>2853</v>
      </c>
      <c r="K1988" s="188" t="s">
        <v>2853</v>
      </c>
    </row>
    <row r="1989" spans="1:11" x14ac:dyDescent="0.25">
      <c r="A1989" t="s">
        <v>6458</v>
      </c>
      <c r="B1989" s="27" t="s">
        <v>2032</v>
      </c>
      <c r="D1989" s="28" t="s">
        <v>3893</v>
      </c>
      <c r="E1989" s="29" t="s">
        <v>21</v>
      </c>
      <c r="F1989" s="30">
        <v>1</v>
      </c>
      <c r="G1989" s="31">
        <v>147.84</v>
      </c>
      <c r="H1989" s="31">
        <f t="shared" si="149"/>
        <v>147.84</v>
      </c>
      <c r="I1989" s="170" t="s">
        <v>2842</v>
      </c>
      <c r="J1989" t="s">
        <v>2853</v>
      </c>
      <c r="K1989" s="188" t="s">
        <v>2853</v>
      </c>
    </row>
    <row r="1990" spans="1:11" x14ac:dyDescent="0.25">
      <c r="A1990" t="s">
        <v>6459</v>
      </c>
      <c r="B1990" s="27" t="s">
        <v>2033</v>
      </c>
      <c r="D1990" s="28" t="s">
        <v>3894</v>
      </c>
      <c r="E1990" s="29" t="s">
        <v>21</v>
      </c>
      <c r="F1990" s="30">
        <v>1</v>
      </c>
      <c r="G1990" s="31">
        <v>147.84</v>
      </c>
      <c r="H1990" s="31">
        <f t="shared" si="149"/>
        <v>147.84</v>
      </c>
      <c r="I1990" s="170" t="s">
        <v>2842</v>
      </c>
      <c r="J1990" t="s">
        <v>2853</v>
      </c>
      <c r="K1990" s="188" t="s">
        <v>2853</v>
      </c>
    </row>
    <row r="1991" spans="1:11" x14ac:dyDescent="0.25">
      <c r="A1991" t="s">
        <v>6460</v>
      </c>
      <c r="B1991" s="27" t="s">
        <v>2034</v>
      </c>
      <c r="D1991" s="28" t="s">
        <v>3895</v>
      </c>
      <c r="E1991" s="29" t="s">
        <v>563</v>
      </c>
      <c r="F1991" s="30">
        <v>1</v>
      </c>
      <c r="G1991" s="31">
        <v>147.84</v>
      </c>
      <c r="H1991" s="31">
        <f t="shared" si="149"/>
        <v>147.84</v>
      </c>
      <c r="I1991" s="170" t="s">
        <v>2842</v>
      </c>
      <c r="J1991" t="s">
        <v>2853</v>
      </c>
      <c r="K1991" s="188" t="s">
        <v>2853</v>
      </c>
    </row>
    <row r="1992" spans="1:11" x14ac:dyDescent="0.25">
      <c r="A1992" t="s">
        <v>6461</v>
      </c>
      <c r="B1992" s="27" t="s">
        <v>2035</v>
      </c>
      <c r="D1992" s="28" t="s">
        <v>3896</v>
      </c>
      <c r="E1992" s="29" t="s">
        <v>563</v>
      </c>
      <c r="F1992" s="30">
        <v>1</v>
      </c>
      <c r="G1992" s="31">
        <v>147.84</v>
      </c>
      <c r="H1992" s="31">
        <f t="shared" si="149"/>
        <v>147.84</v>
      </c>
      <c r="I1992" s="170" t="s">
        <v>2842</v>
      </c>
      <c r="J1992" t="s">
        <v>2853</v>
      </c>
      <c r="K1992" s="188" t="s">
        <v>2853</v>
      </c>
    </row>
    <row r="1993" spans="1:11" x14ac:dyDescent="0.25">
      <c r="A1993" t="s">
        <v>6462</v>
      </c>
      <c r="B1993" s="27" t="s">
        <v>2036</v>
      </c>
      <c r="D1993" s="28" t="s">
        <v>3897</v>
      </c>
      <c r="E1993" s="29" t="s">
        <v>563</v>
      </c>
      <c r="F1993" s="30">
        <v>1</v>
      </c>
      <c r="G1993" s="31">
        <v>147.84</v>
      </c>
      <c r="H1993" s="31">
        <f t="shared" si="149"/>
        <v>147.84</v>
      </c>
      <c r="I1993" s="170" t="s">
        <v>2842</v>
      </c>
      <c r="J1993" t="s">
        <v>2853</v>
      </c>
      <c r="K1993" s="188" t="s">
        <v>2853</v>
      </c>
    </row>
    <row r="1994" spans="1:11" x14ac:dyDescent="0.25">
      <c r="A1994" t="s">
        <v>6463</v>
      </c>
      <c r="B1994" s="27" t="s">
        <v>2037</v>
      </c>
      <c r="D1994" s="28" t="s">
        <v>3898</v>
      </c>
      <c r="E1994" s="29" t="s">
        <v>671</v>
      </c>
      <c r="F1994" s="30">
        <v>1</v>
      </c>
      <c r="G1994" s="31">
        <v>147.84</v>
      </c>
      <c r="H1994" s="31">
        <f t="shared" si="149"/>
        <v>147.84</v>
      </c>
      <c r="I1994" s="170" t="s">
        <v>2842</v>
      </c>
      <c r="J1994" t="s">
        <v>2853</v>
      </c>
      <c r="K1994" s="188" t="s">
        <v>2853</v>
      </c>
    </row>
    <row r="1995" spans="1:11" x14ac:dyDescent="0.25">
      <c r="A1995" t="s">
        <v>6464</v>
      </c>
      <c r="B1995" s="27" t="s">
        <v>2038</v>
      </c>
      <c r="D1995" s="28" t="s">
        <v>3899</v>
      </c>
      <c r="E1995" s="29" t="s">
        <v>671</v>
      </c>
      <c r="F1995" s="30">
        <v>1</v>
      </c>
      <c r="G1995" s="31">
        <v>147.84</v>
      </c>
      <c r="H1995" s="31">
        <f t="shared" si="149"/>
        <v>147.84</v>
      </c>
      <c r="I1995" s="170" t="s">
        <v>2842</v>
      </c>
      <c r="J1995" t="s">
        <v>2853</v>
      </c>
      <c r="K1995" s="188" t="s">
        <v>2853</v>
      </c>
    </row>
    <row r="1996" spans="1:11" x14ac:dyDescent="0.25">
      <c r="A1996" t="s">
        <v>6465</v>
      </c>
      <c r="B1996" s="27" t="s">
        <v>2039</v>
      </c>
      <c r="D1996" s="28" t="s">
        <v>3900</v>
      </c>
      <c r="E1996" s="29" t="s">
        <v>671</v>
      </c>
      <c r="F1996" s="30">
        <v>1</v>
      </c>
      <c r="G1996" s="31">
        <v>147.84</v>
      </c>
      <c r="H1996" s="31">
        <f t="shared" si="149"/>
        <v>147.84</v>
      </c>
      <c r="I1996" s="170" t="s">
        <v>2842</v>
      </c>
      <c r="J1996" t="s">
        <v>2853</v>
      </c>
      <c r="K1996" s="188" t="s">
        <v>2853</v>
      </c>
    </row>
    <row r="1997" spans="1:11" x14ac:dyDescent="0.25">
      <c r="A1997" t="s">
        <v>6466</v>
      </c>
      <c r="B1997" s="27" t="s">
        <v>2040</v>
      </c>
      <c r="D1997" s="28" t="s">
        <v>3901</v>
      </c>
      <c r="E1997" s="29" t="s">
        <v>21</v>
      </c>
      <c r="F1997" s="30">
        <v>1</v>
      </c>
      <c r="G1997" s="31">
        <v>167.67</v>
      </c>
      <c r="H1997" s="31">
        <f t="shared" si="149"/>
        <v>167.67</v>
      </c>
      <c r="I1997" s="170" t="s">
        <v>2842</v>
      </c>
      <c r="J1997" t="s">
        <v>2853</v>
      </c>
      <c r="K1997" s="188" t="s">
        <v>2853</v>
      </c>
    </row>
    <row r="1998" spans="1:11" x14ac:dyDescent="0.25">
      <c r="A1998" t="s">
        <v>6467</v>
      </c>
      <c r="B1998" s="27" t="s">
        <v>2041</v>
      </c>
      <c r="D1998" s="28" t="s">
        <v>3902</v>
      </c>
      <c r="E1998" s="29" t="s">
        <v>21</v>
      </c>
      <c r="F1998" s="30">
        <v>1</v>
      </c>
      <c r="G1998" s="31">
        <v>167.67</v>
      </c>
      <c r="H1998" s="31">
        <f t="shared" si="149"/>
        <v>167.67</v>
      </c>
      <c r="I1998" s="170" t="s">
        <v>2842</v>
      </c>
      <c r="J1998" t="s">
        <v>2853</v>
      </c>
      <c r="K1998" s="188" t="s">
        <v>2853</v>
      </c>
    </row>
    <row r="1999" spans="1:11" x14ac:dyDescent="0.25">
      <c r="A1999" t="s">
        <v>6468</v>
      </c>
      <c r="B1999" s="27" t="s">
        <v>2042</v>
      </c>
      <c r="D1999" s="28" t="s">
        <v>3903</v>
      </c>
      <c r="E1999" s="29" t="s">
        <v>21</v>
      </c>
      <c r="F1999" s="30">
        <v>1</v>
      </c>
      <c r="G1999" s="31">
        <v>167.67</v>
      </c>
      <c r="H1999" s="31">
        <f t="shared" si="149"/>
        <v>167.67</v>
      </c>
      <c r="I1999" s="170" t="s">
        <v>2842</v>
      </c>
      <c r="J1999" t="s">
        <v>2853</v>
      </c>
      <c r="K1999" s="188" t="s">
        <v>2853</v>
      </c>
    </row>
    <row r="2000" spans="1:11" x14ac:dyDescent="0.25">
      <c r="A2000" t="s">
        <v>6469</v>
      </c>
      <c r="B2000" s="27" t="s">
        <v>2043</v>
      </c>
      <c r="D2000" s="28" t="s">
        <v>3904</v>
      </c>
      <c r="E2000" s="29" t="s">
        <v>563</v>
      </c>
      <c r="F2000" s="30">
        <v>1</v>
      </c>
      <c r="G2000" s="31">
        <v>167.67</v>
      </c>
      <c r="H2000" s="31">
        <f t="shared" si="149"/>
        <v>167.67</v>
      </c>
      <c r="I2000" s="170" t="s">
        <v>2842</v>
      </c>
      <c r="J2000" t="s">
        <v>2853</v>
      </c>
      <c r="K2000" s="188" t="s">
        <v>2853</v>
      </c>
    </row>
    <row r="2001" spans="1:11" x14ac:dyDescent="0.25">
      <c r="A2001" t="s">
        <v>6470</v>
      </c>
      <c r="B2001" s="27" t="s">
        <v>2044</v>
      </c>
      <c r="D2001" s="28" t="s">
        <v>3905</v>
      </c>
      <c r="E2001" s="29" t="s">
        <v>563</v>
      </c>
      <c r="F2001" s="30">
        <v>1</v>
      </c>
      <c r="G2001" s="31">
        <v>167.67</v>
      </c>
      <c r="H2001" s="31">
        <f t="shared" si="149"/>
        <v>167.67</v>
      </c>
      <c r="I2001" s="170" t="s">
        <v>2842</v>
      </c>
      <c r="J2001" t="s">
        <v>2853</v>
      </c>
      <c r="K2001" s="188" t="s">
        <v>2853</v>
      </c>
    </row>
    <row r="2002" spans="1:11" x14ac:dyDescent="0.25">
      <c r="A2002" t="s">
        <v>6471</v>
      </c>
      <c r="B2002" s="27" t="s">
        <v>2045</v>
      </c>
      <c r="D2002" s="28" t="s">
        <v>3906</v>
      </c>
      <c r="E2002" s="29" t="s">
        <v>563</v>
      </c>
      <c r="F2002" s="30">
        <v>1</v>
      </c>
      <c r="G2002" s="31">
        <v>167.67</v>
      </c>
      <c r="H2002" s="31">
        <f t="shared" si="149"/>
        <v>167.67</v>
      </c>
      <c r="I2002" s="170" t="s">
        <v>2842</v>
      </c>
      <c r="J2002" t="s">
        <v>2853</v>
      </c>
      <c r="K2002" s="188" t="s">
        <v>2853</v>
      </c>
    </row>
    <row r="2003" spans="1:11" x14ac:dyDescent="0.25">
      <c r="A2003" t="s">
        <v>6472</v>
      </c>
      <c r="B2003" s="27" t="s">
        <v>2046</v>
      </c>
      <c r="D2003" s="28" t="s">
        <v>3907</v>
      </c>
      <c r="E2003" s="29" t="s">
        <v>671</v>
      </c>
      <c r="F2003" s="30">
        <v>1</v>
      </c>
      <c r="G2003" s="31">
        <v>167.67</v>
      </c>
      <c r="H2003" s="31">
        <f t="shared" si="149"/>
        <v>167.67</v>
      </c>
      <c r="I2003" s="170" t="s">
        <v>2842</v>
      </c>
      <c r="J2003" t="s">
        <v>2853</v>
      </c>
      <c r="K2003" s="188" t="s">
        <v>2853</v>
      </c>
    </row>
    <row r="2004" spans="1:11" x14ac:dyDescent="0.25">
      <c r="A2004" t="s">
        <v>6473</v>
      </c>
      <c r="B2004" s="27" t="s">
        <v>2047</v>
      </c>
      <c r="D2004" s="28" t="s">
        <v>3908</v>
      </c>
      <c r="E2004" s="29" t="s">
        <v>671</v>
      </c>
      <c r="F2004" s="30">
        <v>1</v>
      </c>
      <c r="G2004" s="31">
        <v>167.67</v>
      </c>
      <c r="H2004" s="31">
        <f t="shared" si="149"/>
        <v>167.67</v>
      </c>
      <c r="I2004" s="170" t="s">
        <v>2842</v>
      </c>
      <c r="J2004" t="s">
        <v>2853</v>
      </c>
      <c r="K2004" s="188" t="s">
        <v>2853</v>
      </c>
    </row>
    <row r="2005" spans="1:11" x14ac:dyDescent="0.25">
      <c r="A2005" t="s">
        <v>6474</v>
      </c>
      <c r="B2005" s="27" t="s">
        <v>2048</v>
      </c>
      <c r="D2005" s="28" t="s">
        <v>3909</v>
      </c>
      <c r="E2005" s="29" t="s">
        <v>671</v>
      </c>
      <c r="F2005" s="30">
        <v>1</v>
      </c>
      <c r="G2005" s="31">
        <v>167.67</v>
      </c>
      <c r="H2005" s="31">
        <f t="shared" si="149"/>
        <v>167.67</v>
      </c>
      <c r="I2005" s="170" t="s">
        <v>2842</v>
      </c>
      <c r="J2005" t="s">
        <v>2853</v>
      </c>
      <c r="K2005" s="188" t="s">
        <v>2853</v>
      </c>
    </row>
    <row r="2006" spans="1:11" x14ac:dyDescent="0.25">
      <c r="A2006" t="s">
        <v>6475</v>
      </c>
      <c r="B2006" s="27" t="s">
        <v>2049</v>
      </c>
      <c r="D2006" s="28" t="s">
        <v>3910</v>
      </c>
      <c r="E2006" s="29" t="s">
        <v>21</v>
      </c>
      <c r="F2006" s="30">
        <v>1</v>
      </c>
      <c r="G2006" s="31">
        <v>187.5</v>
      </c>
      <c r="H2006" s="31">
        <f t="shared" si="149"/>
        <v>187.5</v>
      </c>
      <c r="I2006" s="170" t="s">
        <v>2842</v>
      </c>
      <c r="J2006" t="s">
        <v>2853</v>
      </c>
      <c r="K2006" s="188" t="s">
        <v>2853</v>
      </c>
    </row>
    <row r="2007" spans="1:11" x14ac:dyDescent="0.25">
      <c r="A2007" t="s">
        <v>6476</v>
      </c>
      <c r="B2007" s="27" t="s">
        <v>2050</v>
      </c>
      <c r="D2007" s="28" t="s">
        <v>3911</v>
      </c>
      <c r="E2007" s="29" t="s">
        <v>21</v>
      </c>
      <c r="F2007" s="30">
        <v>1</v>
      </c>
      <c r="G2007" s="31">
        <v>187.5</v>
      </c>
      <c r="H2007" s="31">
        <f t="shared" si="149"/>
        <v>187.5</v>
      </c>
      <c r="I2007" s="170" t="s">
        <v>2842</v>
      </c>
      <c r="J2007" t="s">
        <v>2853</v>
      </c>
      <c r="K2007" s="188" t="s">
        <v>2853</v>
      </c>
    </row>
    <row r="2008" spans="1:11" x14ac:dyDescent="0.25">
      <c r="A2008" t="s">
        <v>6477</v>
      </c>
      <c r="B2008" s="27" t="s">
        <v>2051</v>
      </c>
      <c r="D2008" s="28" t="s">
        <v>3912</v>
      </c>
      <c r="E2008" s="29" t="s">
        <v>21</v>
      </c>
      <c r="F2008" s="30">
        <v>1</v>
      </c>
      <c r="G2008" s="31">
        <v>187.5</v>
      </c>
      <c r="H2008" s="31">
        <f t="shared" ref="H2008:H2071" si="150">+F2008*G2008</f>
        <v>187.5</v>
      </c>
      <c r="I2008" s="170" t="s">
        <v>2842</v>
      </c>
      <c r="J2008" t="s">
        <v>2853</v>
      </c>
      <c r="K2008" s="188" t="s">
        <v>2853</v>
      </c>
    </row>
    <row r="2009" spans="1:11" x14ac:dyDescent="0.25">
      <c r="A2009" t="s">
        <v>6478</v>
      </c>
      <c r="B2009" s="27" t="s">
        <v>2052</v>
      </c>
      <c r="D2009" s="28" t="s">
        <v>3913</v>
      </c>
      <c r="E2009" s="29" t="s">
        <v>563</v>
      </c>
      <c r="F2009" s="30">
        <v>1</v>
      </c>
      <c r="G2009" s="31">
        <v>187.5</v>
      </c>
      <c r="H2009" s="31">
        <f t="shared" si="150"/>
        <v>187.5</v>
      </c>
      <c r="I2009" s="170" t="s">
        <v>2842</v>
      </c>
      <c r="J2009" t="s">
        <v>2853</v>
      </c>
      <c r="K2009" s="188" t="s">
        <v>2853</v>
      </c>
    </row>
    <row r="2010" spans="1:11" x14ac:dyDescent="0.25">
      <c r="A2010" t="s">
        <v>6479</v>
      </c>
      <c r="B2010" s="27" t="s">
        <v>2053</v>
      </c>
      <c r="D2010" s="28" t="s">
        <v>3914</v>
      </c>
      <c r="E2010" s="29" t="s">
        <v>563</v>
      </c>
      <c r="F2010" s="30">
        <v>1</v>
      </c>
      <c r="G2010" s="31">
        <v>187.5</v>
      </c>
      <c r="H2010" s="31">
        <f t="shared" si="150"/>
        <v>187.5</v>
      </c>
      <c r="I2010" s="170" t="s">
        <v>2842</v>
      </c>
      <c r="J2010" t="s">
        <v>2853</v>
      </c>
      <c r="K2010" s="188" t="s">
        <v>2853</v>
      </c>
    </row>
    <row r="2011" spans="1:11" x14ac:dyDescent="0.25">
      <c r="A2011" t="s">
        <v>6480</v>
      </c>
      <c r="B2011" s="27" t="s">
        <v>2054</v>
      </c>
      <c r="D2011" s="28" t="s">
        <v>3915</v>
      </c>
      <c r="E2011" s="29" t="s">
        <v>563</v>
      </c>
      <c r="F2011" s="30">
        <v>1</v>
      </c>
      <c r="G2011" s="31">
        <v>187.5</v>
      </c>
      <c r="H2011" s="31">
        <f t="shared" si="150"/>
        <v>187.5</v>
      </c>
      <c r="I2011" s="170" t="s">
        <v>2842</v>
      </c>
      <c r="J2011" t="s">
        <v>2853</v>
      </c>
      <c r="K2011" s="188" t="s">
        <v>2853</v>
      </c>
    </row>
    <row r="2012" spans="1:11" x14ac:dyDescent="0.25">
      <c r="A2012" t="s">
        <v>6481</v>
      </c>
      <c r="B2012" s="27" t="s">
        <v>2055</v>
      </c>
      <c r="D2012" s="28" t="s">
        <v>3916</v>
      </c>
      <c r="E2012" s="29" t="s">
        <v>671</v>
      </c>
      <c r="F2012" s="30">
        <v>1</v>
      </c>
      <c r="G2012" s="31">
        <v>187.5</v>
      </c>
      <c r="H2012" s="31">
        <f t="shared" si="150"/>
        <v>187.5</v>
      </c>
      <c r="I2012" s="170" t="s">
        <v>2842</v>
      </c>
      <c r="J2012" t="s">
        <v>2853</v>
      </c>
      <c r="K2012" s="188" t="s">
        <v>2853</v>
      </c>
    </row>
    <row r="2013" spans="1:11" x14ac:dyDescent="0.25">
      <c r="A2013" t="s">
        <v>6482</v>
      </c>
      <c r="B2013" s="27" t="s">
        <v>2056</v>
      </c>
      <c r="D2013" s="28" t="s">
        <v>3917</v>
      </c>
      <c r="E2013" s="29" t="s">
        <v>671</v>
      </c>
      <c r="F2013" s="30">
        <v>1</v>
      </c>
      <c r="G2013" s="31">
        <v>187.5</v>
      </c>
      <c r="H2013" s="31">
        <f t="shared" si="150"/>
        <v>187.5</v>
      </c>
      <c r="I2013" s="170" t="s">
        <v>2842</v>
      </c>
      <c r="J2013" t="s">
        <v>2853</v>
      </c>
      <c r="K2013" s="188" t="s">
        <v>2853</v>
      </c>
    </row>
    <row r="2014" spans="1:11" x14ac:dyDescent="0.25">
      <c r="A2014" t="s">
        <v>6483</v>
      </c>
      <c r="B2014" s="27" t="s">
        <v>2057</v>
      </c>
      <c r="D2014" s="28" t="s">
        <v>3918</v>
      </c>
      <c r="E2014" s="29" t="s">
        <v>671</v>
      </c>
      <c r="F2014" s="30">
        <v>1</v>
      </c>
      <c r="G2014" s="31">
        <v>187.5</v>
      </c>
      <c r="H2014" s="31">
        <f t="shared" si="150"/>
        <v>187.5</v>
      </c>
      <c r="I2014" s="170" t="s">
        <v>2842</v>
      </c>
      <c r="J2014" t="s">
        <v>2853</v>
      </c>
      <c r="K2014" s="188" t="s">
        <v>2853</v>
      </c>
    </row>
    <row r="2015" spans="1:11" x14ac:dyDescent="0.25">
      <c r="A2015" t="s">
        <v>6484</v>
      </c>
      <c r="B2015" s="27" t="s">
        <v>2058</v>
      </c>
      <c r="D2015" s="28" t="s">
        <v>3919</v>
      </c>
      <c r="E2015" s="29" t="s">
        <v>21</v>
      </c>
      <c r="F2015" s="30">
        <v>1</v>
      </c>
      <c r="G2015" s="31">
        <v>207.33</v>
      </c>
      <c r="H2015" s="31">
        <f t="shared" si="150"/>
        <v>207.33</v>
      </c>
      <c r="I2015" s="170" t="s">
        <v>2842</v>
      </c>
      <c r="J2015" t="s">
        <v>2853</v>
      </c>
      <c r="K2015" s="188" t="s">
        <v>2853</v>
      </c>
    </row>
    <row r="2016" spans="1:11" x14ac:dyDescent="0.25">
      <c r="A2016" t="s">
        <v>6485</v>
      </c>
      <c r="B2016" s="27" t="s">
        <v>2059</v>
      </c>
      <c r="D2016" s="28" t="s">
        <v>3920</v>
      </c>
      <c r="E2016" s="29" t="s">
        <v>21</v>
      </c>
      <c r="F2016" s="30">
        <v>1</v>
      </c>
      <c r="G2016" s="31">
        <v>207.33</v>
      </c>
      <c r="H2016" s="31">
        <f t="shared" si="150"/>
        <v>207.33</v>
      </c>
      <c r="I2016" s="170" t="s">
        <v>2842</v>
      </c>
      <c r="J2016" t="s">
        <v>2853</v>
      </c>
      <c r="K2016" s="188" t="s">
        <v>2853</v>
      </c>
    </row>
    <row r="2017" spans="1:11" x14ac:dyDescent="0.25">
      <c r="A2017" t="s">
        <v>6486</v>
      </c>
      <c r="B2017" s="27" t="s">
        <v>2060</v>
      </c>
      <c r="D2017" s="28" t="s">
        <v>3921</v>
      </c>
      <c r="E2017" s="29" t="s">
        <v>21</v>
      </c>
      <c r="F2017" s="30">
        <v>1</v>
      </c>
      <c r="G2017" s="31">
        <v>207.33</v>
      </c>
      <c r="H2017" s="31">
        <f t="shared" si="150"/>
        <v>207.33</v>
      </c>
      <c r="I2017" s="170" t="s">
        <v>2842</v>
      </c>
      <c r="J2017" t="s">
        <v>2853</v>
      </c>
      <c r="K2017" s="188" t="s">
        <v>2853</v>
      </c>
    </row>
    <row r="2018" spans="1:11" x14ac:dyDescent="0.25">
      <c r="A2018" t="s">
        <v>6487</v>
      </c>
      <c r="B2018" s="27" t="s">
        <v>2061</v>
      </c>
      <c r="D2018" s="28" t="s">
        <v>3922</v>
      </c>
      <c r="E2018" s="29" t="s">
        <v>563</v>
      </c>
      <c r="F2018" s="30">
        <v>1</v>
      </c>
      <c r="G2018" s="31">
        <v>207.33</v>
      </c>
      <c r="H2018" s="31">
        <f t="shared" si="150"/>
        <v>207.33</v>
      </c>
      <c r="I2018" s="170" t="s">
        <v>2842</v>
      </c>
      <c r="J2018" t="s">
        <v>2853</v>
      </c>
      <c r="K2018" s="188" t="s">
        <v>2853</v>
      </c>
    </row>
    <row r="2019" spans="1:11" x14ac:dyDescent="0.25">
      <c r="A2019" t="s">
        <v>6488</v>
      </c>
      <c r="B2019" s="27" t="s">
        <v>2062</v>
      </c>
      <c r="D2019" s="28" t="s">
        <v>3923</v>
      </c>
      <c r="E2019" s="29" t="s">
        <v>563</v>
      </c>
      <c r="F2019" s="30">
        <v>1</v>
      </c>
      <c r="G2019" s="31">
        <v>207.33</v>
      </c>
      <c r="H2019" s="31">
        <f t="shared" si="150"/>
        <v>207.33</v>
      </c>
      <c r="I2019" s="170" t="s">
        <v>2842</v>
      </c>
      <c r="J2019" t="s">
        <v>2853</v>
      </c>
      <c r="K2019" s="188" t="s">
        <v>2853</v>
      </c>
    </row>
    <row r="2020" spans="1:11" x14ac:dyDescent="0.25">
      <c r="A2020" t="s">
        <v>6489</v>
      </c>
      <c r="B2020" s="27" t="s">
        <v>2063</v>
      </c>
      <c r="D2020" s="28" t="s">
        <v>3924</v>
      </c>
      <c r="E2020" s="29" t="s">
        <v>563</v>
      </c>
      <c r="F2020" s="30">
        <v>1</v>
      </c>
      <c r="G2020" s="31">
        <v>207.33</v>
      </c>
      <c r="H2020" s="31">
        <f t="shared" si="150"/>
        <v>207.33</v>
      </c>
      <c r="I2020" s="170" t="s">
        <v>2842</v>
      </c>
      <c r="J2020" t="s">
        <v>2853</v>
      </c>
      <c r="K2020" s="188" t="s">
        <v>2853</v>
      </c>
    </row>
    <row r="2021" spans="1:11" x14ac:dyDescent="0.25">
      <c r="A2021" t="s">
        <v>6490</v>
      </c>
      <c r="B2021" s="27" t="s">
        <v>2064</v>
      </c>
      <c r="D2021" s="28" t="s">
        <v>3925</v>
      </c>
      <c r="E2021" s="29" t="s">
        <v>671</v>
      </c>
      <c r="F2021" s="30">
        <v>1</v>
      </c>
      <c r="G2021" s="31">
        <v>207.33</v>
      </c>
      <c r="H2021" s="31">
        <f t="shared" si="150"/>
        <v>207.33</v>
      </c>
      <c r="I2021" s="170" t="s">
        <v>2842</v>
      </c>
      <c r="J2021" t="s">
        <v>2853</v>
      </c>
      <c r="K2021" s="188" t="s">
        <v>2853</v>
      </c>
    </row>
    <row r="2022" spans="1:11" x14ac:dyDescent="0.25">
      <c r="A2022" t="s">
        <v>6491</v>
      </c>
      <c r="B2022" s="27" t="s">
        <v>2065</v>
      </c>
      <c r="D2022" s="28" t="s">
        <v>3926</v>
      </c>
      <c r="E2022" s="29" t="s">
        <v>671</v>
      </c>
      <c r="F2022" s="30">
        <v>1</v>
      </c>
      <c r="G2022" s="31">
        <v>207.33</v>
      </c>
      <c r="H2022" s="31">
        <f t="shared" si="150"/>
        <v>207.33</v>
      </c>
      <c r="I2022" s="170" t="s">
        <v>2842</v>
      </c>
      <c r="J2022" t="s">
        <v>2853</v>
      </c>
      <c r="K2022" s="188" t="s">
        <v>2853</v>
      </c>
    </row>
    <row r="2023" spans="1:11" x14ac:dyDescent="0.25">
      <c r="A2023" t="s">
        <v>6492</v>
      </c>
      <c r="B2023" s="27" t="s">
        <v>2066</v>
      </c>
      <c r="D2023" s="28" t="s">
        <v>3927</v>
      </c>
      <c r="E2023" s="29" t="s">
        <v>671</v>
      </c>
      <c r="F2023" s="30">
        <v>1</v>
      </c>
      <c r="G2023" s="31">
        <v>207.33</v>
      </c>
      <c r="H2023" s="31">
        <f t="shared" si="150"/>
        <v>207.33</v>
      </c>
      <c r="I2023" s="170" t="s">
        <v>2842</v>
      </c>
      <c r="J2023" t="s">
        <v>2853</v>
      </c>
      <c r="K2023" s="188" t="s">
        <v>2853</v>
      </c>
    </row>
    <row r="2024" spans="1:11" x14ac:dyDescent="0.25">
      <c r="A2024" t="s">
        <v>6493</v>
      </c>
      <c r="B2024" s="27" t="s">
        <v>2067</v>
      </c>
      <c r="D2024" s="28" t="s">
        <v>3928</v>
      </c>
      <c r="E2024" s="29" t="s">
        <v>21</v>
      </c>
      <c r="F2024" s="30">
        <v>1</v>
      </c>
      <c r="G2024" s="31">
        <v>147.84</v>
      </c>
      <c r="H2024" s="31">
        <f t="shared" si="150"/>
        <v>147.84</v>
      </c>
      <c r="I2024" s="170" t="s">
        <v>2842</v>
      </c>
      <c r="J2024" t="s">
        <v>2853</v>
      </c>
      <c r="K2024" s="188" t="s">
        <v>2853</v>
      </c>
    </row>
    <row r="2025" spans="1:11" x14ac:dyDescent="0.25">
      <c r="A2025" t="s">
        <v>6494</v>
      </c>
      <c r="B2025" s="27" t="s">
        <v>2068</v>
      </c>
      <c r="D2025" s="28" t="s">
        <v>3929</v>
      </c>
      <c r="E2025" s="29" t="s">
        <v>21</v>
      </c>
      <c r="F2025" s="30">
        <v>1</v>
      </c>
      <c r="G2025" s="31">
        <v>147.84</v>
      </c>
      <c r="H2025" s="31">
        <f t="shared" si="150"/>
        <v>147.84</v>
      </c>
      <c r="I2025" s="170" t="s">
        <v>2842</v>
      </c>
      <c r="J2025" t="s">
        <v>2853</v>
      </c>
      <c r="K2025" s="188" t="s">
        <v>2853</v>
      </c>
    </row>
    <row r="2026" spans="1:11" x14ac:dyDescent="0.25">
      <c r="A2026" t="s">
        <v>6495</v>
      </c>
      <c r="B2026" s="27" t="s">
        <v>2069</v>
      </c>
      <c r="D2026" s="28" t="s">
        <v>3930</v>
      </c>
      <c r="E2026" s="29" t="s">
        <v>21</v>
      </c>
      <c r="F2026" s="30">
        <v>1</v>
      </c>
      <c r="G2026" s="31">
        <v>147.84</v>
      </c>
      <c r="H2026" s="31">
        <f t="shared" si="150"/>
        <v>147.84</v>
      </c>
      <c r="I2026" s="170" t="s">
        <v>2842</v>
      </c>
      <c r="J2026" t="s">
        <v>2853</v>
      </c>
      <c r="K2026" s="188" t="s">
        <v>2853</v>
      </c>
    </row>
    <row r="2027" spans="1:11" x14ac:dyDescent="0.25">
      <c r="A2027" t="s">
        <v>6496</v>
      </c>
      <c r="B2027" s="27" t="s">
        <v>2070</v>
      </c>
      <c r="D2027" s="28" t="s">
        <v>3931</v>
      </c>
      <c r="E2027" s="29" t="s">
        <v>563</v>
      </c>
      <c r="F2027" s="30">
        <v>1</v>
      </c>
      <c r="G2027" s="31">
        <v>147.84</v>
      </c>
      <c r="H2027" s="31">
        <f t="shared" si="150"/>
        <v>147.84</v>
      </c>
      <c r="I2027" s="170" t="s">
        <v>2842</v>
      </c>
      <c r="J2027" t="s">
        <v>2853</v>
      </c>
      <c r="K2027" s="188" t="s">
        <v>2853</v>
      </c>
    </row>
    <row r="2028" spans="1:11" x14ac:dyDescent="0.25">
      <c r="A2028" t="s">
        <v>6497</v>
      </c>
      <c r="B2028" s="27" t="s">
        <v>2071</v>
      </c>
      <c r="D2028" s="28" t="s">
        <v>3932</v>
      </c>
      <c r="E2028" s="29" t="s">
        <v>563</v>
      </c>
      <c r="F2028" s="30">
        <v>1</v>
      </c>
      <c r="G2028" s="31">
        <v>147.84</v>
      </c>
      <c r="H2028" s="31">
        <f t="shared" si="150"/>
        <v>147.84</v>
      </c>
      <c r="I2028" s="170" t="s">
        <v>2842</v>
      </c>
      <c r="J2028" t="s">
        <v>2853</v>
      </c>
      <c r="K2028" s="188" t="s">
        <v>2853</v>
      </c>
    </row>
    <row r="2029" spans="1:11" x14ac:dyDescent="0.25">
      <c r="A2029" t="s">
        <v>6498</v>
      </c>
      <c r="B2029" s="27" t="s">
        <v>2072</v>
      </c>
      <c r="D2029" s="28" t="s">
        <v>3933</v>
      </c>
      <c r="E2029" s="29" t="s">
        <v>563</v>
      </c>
      <c r="F2029" s="30">
        <v>1</v>
      </c>
      <c r="G2029" s="31">
        <v>147.84</v>
      </c>
      <c r="H2029" s="31">
        <f t="shared" si="150"/>
        <v>147.84</v>
      </c>
      <c r="I2029" s="170" t="s">
        <v>2842</v>
      </c>
      <c r="J2029" t="s">
        <v>2853</v>
      </c>
      <c r="K2029" s="188" t="s">
        <v>2853</v>
      </c>
    </row>
    <row r="2030" spans="1:11" x14ac:dyDescent="0.25">
      <c r="A2030" t="s">
        <v>6499</v>
      </c>
      <c r="B2030" s="27" t="s">
        <v>2073</v>
      </c>
      <c r="D2030" s="28" t="s">
        <v>3934</v>
      </c>
      <c r="E2030" s="29" t="s">
        <v>671</v>
      </c>
      <c r="F2030" s="30">
        <v>1</v>
      </c>
      <c r="G2030" s="31">
        <v>147.84</v>
      </c>
      <c r="H2030" s="31">
        <f t="shared" si="150"/>
        <v>147.84</v>
      </c>
      <c r="I2030" s="170" t="s">
        <v>2842</v>
      </c>
      <c r="J2030" t="s">
        <v>2853</v>
      </c>
      <c r="K2030" s="188" t="s">
        <v>2853</v>
      </c>
    </row>
    <row r="2031" spans="1:11" x14ac:dyDescent="0.25">
      <c r="A2031" t="s">
        <v>6500</v>
      </c>
      <c r="B2031" s="27" t="s">
        <v>2074</v>
      </c>
      <c r="D2031" s="28" t="s">
        <v>3935</v>
      </c>
      <c r="E2031" s="29" t="s">
        <v>671</v>
      </c>
      <c r="F2031" s="30">
        <v>1</v>
      </c>
      <c r="G2031" s="31">
        <v>147.84</v>
      </c>
      <c r="H2031" s="31">
        <f t="shared" si="150"/>
        <v>147.84</v>
      </c>
      <c r="I2031" s="170" t="s">
        <v>2842</v>
      </c>
      <c r="J2031" t="s">
        <v>2853</v>
      </c>
      <c r="K2031" s="188" t="s">
        <v>2853</v>
      </c>
    </row>
    <row r="2032" spans="1:11" x14ac:dyDescent="0.25">
      <c r="A2032" t="s">
        <v>6501</v>
      </c>
      <c r="B2032" s="27" t="s">
        <v>2075</v>
      </c>
      <c r="D2032" s="28" t="s">
        <v>3936</v>
      </c>
      <c r="E2032" s="29" t="s">
        <v>671</v>
      </c>
      <c r="F2032" s="30">
        <v>1</v>
      </c>
      <c r="G2032" s="31">
        <v>147.84</v>
      </c>
      <c r="H2032" s="31">
        <f t="shared" si="150"/>
        <v>147.84</v>
      </c>
      <c r="I2032" s="170" t="s">
        <v>2842</v>
      </c>
      <c r="J2032" t="s">
        <v>2853</v>
      </c>
      <c r="K2032" s="188" t="s">
        <v>2853</v>
      </c>
    </row>
    <row r="2033" spans="1:11" x14ac:dyDescent="0.25">
      <c r="A2033" t="s">
        <v>6502</v>
      </c>
      <c r="B2033" s="27" t="s">
        <v>2076</v>
      </c>
      <c r="D2033" s="28" t="s">
        <v>3937</v>
      </c>
      <c r="E2033" s="29" t="s">
        <v>21</v>
      </c>
      <c r="F2033" s="30">
        <v>1</v>
      </c>
      <c r="G2033" s="31">
        <v>187.5</v>
      </c>
      <c r="H2033" s="31">
        <f t="shared" si="150"/>
        <v>187.5</v>
      </c>
      <c r="I2033" s="170" t="s">
        <v>2842</v>
      </c>
      <c r="J2033" t="s">
        <v>2853</v>
      </c>
      <c r="K2033" s="188" t="s">
        <v>2853</v>
      </c>
    </row>
    <row r="2034" spans="1:11" x14ac:dyDescent="0.25">
      <c r="A2034" t="s">
        <v>6503</v>
      </c>
      <c r="B2034" s="27" t="s">
        <v>2077</v>
      </c>
      <c r="D2034" s="28" t="s">
        <v>3938</v>
      </c>
      <c r="E2034" s="29" t="s">
        <v>21</v>
      </c>
      <c r="F2034" s="30">
        <v>1</v>
      </c>
      <c r="G2034" s="31">
        <v>187.5</v>
      </c>
      <c r="H2034" s="31">
        <f t="shared" si="150"/>
        <v>187.5</v>
      </c>
      <c r="I2034" s="170" t="s">
        <v>2842</v>
      </c>
      <c r="J2034" t="s">
        <v>2853</v>
      </c>
      <c r="K2034" s="188" t="s">
        <v>2853</v>
      </c>
    </row>
    <row r="2035" spans="1:11" x14ac:dyDescent="0.25">
      <c r="A2035" t="s">
        <v>6504</v>
      </c>
      <c r="B2035" s="27" t="s">
        <v>2078</v>
      </c>
      <c r="D2035" s="28" t="s">
        <v>3939</v>
      </c>
      <c r="E2035" s="29" t="s">
        <v>21</v>
      </c>
      <c r="F2035" s="30">
        <v>1</v>
      </c>
      <c r="G2035" s="31">
        <v>187.5</v>
      </c>
      <c r="H2035" s="31">
        <f t="shared" si="150"/>
        <v>187.5</v>
      </c>
      <c r="I2035" s="170" t="s">
        <v>2842</v>
      </c>
      <c r="J2035" t="s">
        <v>2853</v>
      </c>
      <c r="K2035" s="188" t="s">
        <v>2853</v>
      </c>
    </row>
    <row r="2036" spans="1:11" x14ac:dyDescent="0.25">
      <c r="A2036" t="s">
        <v>6505</v>
      </c>
      <c r="B2036" s="27" t="s">
        <v>2079</v>
      </c>
      <c r="D2036" s="28" t="s">
        <v>3940</v>
      </c>
      <c r="E2036" s="29" t="s">
        <v>563</v>
      </c>
      <c r="F2036" s="30">
        <v>1</v>
      </c>
      <c r="G2036" s="31">
        <v>187.5</v>
      </c>
      <c r="H2036" s="31">
        <f t="shared" si="150"/>
        <v>187.5</v>
      </c>
      <c r="I2036" s="170" t="s">
        <v>2842</v>
      </c>
      <c r="J2036" t="s">
        <v>2853</v>
      </c>
      <c r="K2036" s="188" t="s">
        <v>2853</v>
      </c>
    </row>
    <row r="2037" spans="1:11" x14ac:dyDescent="0.25">
      <c r="A2037" t="s">
        <v>6506</v>
      </c>
      <c r="B2037" s="27" t="s">
        <v>2080</v>
      </c>
      <c r="D2037" s="28" t="s">
        <v>3941</v>
      </c>
      <c r="E2037" s="29" t="s">
        <v>563</v>
      </c>
      <c r="F2037" s="30">
        <v>1</v>
      </c>
      <c r="G2037" s="31">
        <v>187.5</v>
      </c>
      <c r="H2037" s="31">
        <f t="shared" si="150"/>
        <v>187.5</v>
      </c>
      <c r="I2037" s="170" t="s">
        <v>2842</v>
      </c>
      <c r="J2037" t="s">
        <v>2853</v>
      </c>
      <c r="K2037" s="188" t="s">
        <v>2853</v>
      </c>
    </row>
    <row r="2038" spans="1:11" x14ac:dyDescent="0.25">
      <c r="A2038" t="s">
        <v>6507</v>
      </c>
      <c r="B2038" s="27" t="s">
        <v>2081</v>
      </c>
      <c r="D2038" s="28" t="s">
        <v>3942</v>
      </c>
      <c r="E2038" s="29" t="s">
        <v>563</v>
      </c>
      <c r="F2038" s="30">
        <v>1</v>
      </c>
      <c r="G2038" s="31">
        <v>187.5</v>
      </c>
      <c r="H2038" s="31">
        <f t="shared" si="150"/>
        <v>187.5</v>
      </c>
      <c r="I2038" s="170" t="s">
        <v>2842</v>
      </c>
      <c r="J2038" t="s">
        <v>2853</v>
      </c>
      <c r="K2038" s="188" t="s">
        <v>2853</v>
      </c>
    </row>
    <row r="2039" spans="1:11" x14ac:dyDescent="0.25">
      <c r="A2039" t="s">
        <v>6508</v>
      </c>
      <c r="B2039" s="27" t="s">
        <v>2082</v>
      </c>
      <c r="D2039" s="28" t="s">
        <v>3943</v>
      </c>
      <c r="E2039" s="29" t="s">
        <v>671</v>
      </c>
      <c r="F2039" s="30">
        <v>1</v>
      </c>
      <c r="G2039" s="31">
        <v>187.5</v>
      </c>
      <c r="H2039" s="31">
        <f t="shared" si="150"/>
        <v>187.5</v>
      </c>
      <c r="I2039" s="170" t="s">
        <v>2842</v>
      </c>
      <c r="J2039" t="s">
        <v>2853</v>
      </c>
      <c r="K2039" s="188" t="s">
        <v>2853</v>
      </c>
    </row>
    <row r="2040" spans="1:11" x14ac:dyDescent="0.25">
      <c r="A2040" t="s">
        <v>6509</v>
      </c>
      <c r="B2040" s="27" t="s">
        <v>2083</v>
      </c>
      <c r="D2040" s="28" t="s">
        <v>3944</v>
      </c>
      <c r="E2040" s="29" t="s">
        <v>671</v>
      </c>
      <c r="F2040" s="30">
        <v>1</v>
      </c>
      <c r="G2040" s="31">
        <v>187.5</v>
      </c>
      <c r="H2040" s="31">
        <f t="shared" si="150"/>
        <v>187.5</v>
      </c>
      <c r="I2040" s="170" t="s">
        <v>2842</v>
      </c>
      <c r="J2040" t="s">
        <v>2853</v>
      </c>
      <c r="K2040" s="188" t="s">
        <v>2853</v>
      </c>
    </row>
    <row r="2041" spans="1:11" x14ac:dyDescent="0.25">
      <c r="A2041" t="s">
        <v>6510</v>
      </c>
      <c r="B2041" s="27" t="s">
        <v>2084</v>
      </c>
      <c r="D2041" s="28" t="s">
        <v>3945</v>
      </c>
      <c r="E2041" s="29" t="s">
        <v>671</v>
      </c>
      <c r="F2041" s="30">
        <v>1</v>
      </c>
      <c r="G2041" s="31">
        <v>187.5</v>
      </c>
      <c r="H2041" s="31">
        <f t="shared" si="150"/>
        <v>187.5</v>
      </c>
      <c r="I2041" s="170" t="s">
        <v>2842</v>
      </c>
      <c r="J2041" t="s">
        <v>2853</v>
      </c>
      <c r="K2041" s="188" t="s">
        <v>2853</v>
      </c>
    </row>
    <row r="2042" spans="1:11" x14ac:dyDescent="0.25">
      <c r="A2042" t="s">
        <v>6511</v>
      </c>
      <c r="B2042" s="27" t="s">
        <v>2085</v>
      </c>
      <c r="D2042" s="28" t="s">
        <v>3946</v>
      </c>
      <c r="E2042" s="29" t="s">
        <v>21</v>
      </c>
      <c r="F2042" s="30">
        <v>1</v>
      </c>
      <c r="G2042" s="31">
        <v>220.55</v>
      </c>
      <c r="H2042" s="31">
        <f t="shared" si="150"/>
        <v>220.55</v>
      </c>
      <c r="I2042" s="170" t="s">
        <v>2842</v>
      </c>
      <c r="J2042" t="s">
        <v>2853</v>
      </c>
      <c r="K2042" s="188" t="s">
        <v>2853</v>
      </c>
    </row>
    <row r="2043" spans="1:11" x14ac:dyDescent="0.25">
      <c r="A2043" t="s">
        <v>6512</v>
      </c>
      <c r="B2043" s="27" t="s">
        <v>2086</v>
      </c>
      <c r="D2043" s="28" t="s">
        <v>3947</v>
      </c>
      <c r="E2043" s="29" t="s">
        <v>21</v>
      </c>
      <c r="F2043" s="30">
        <v>1</v>
      </c>
      <c r="G2043" s="31">
        <v>220.55</v>
      </c>
      <c r="H2043" s="31">
        <f t="shared" si="150"/>
        <v>220.55</v>
      </c>
      <c r="I2043" s="170" t="s">
        <v>2842</v>
      </c>
      <c r="J2043" t="s">
        <v>2853</v>
      </c>
      <c r="K2043" s="188" t="s">
        <v>2853</v>
      </c>
    </row>
    <row r="2044" spans="1:11" x14ac:dyDescent="0.25">
      <c r="A2044" t="s">
        <v>6513</v>
      </c>
      <c r="B2044" s="27" t="s">
        <v>2087</v>
      </c>
      <c r="D2044" s="28" t="s">
        <v>3948</v>
      </c>
      <c r="E2044" s="29" t="s">
        <v>21</v>
      </c>
      <c r="F2044" s="30">
        <v>1</v>
      </c>
      <c r="G2044" s="31">
        <v>220.55</v>
      </c>
      <c r="H2044" s="31">
        <f t="shared" si="150"/>
        <v>220.55</v>
      </c>
      <c r="I2044" s="170" t="s">
        <v>2842</v>
      </c>
      <c r="J2044" t="s">
        <v>2853</v>
      </c>
      <c r="K2044" s="188" t="s">
        <v>2853</v>
      </c>
    </row>
    <row r="2045" spans="1:11" x14ac:dyDescent="0.25">
      <c r="A2045" t="s">
        <v>6514</v>
      </c>
      <c r="B2045" s="27" t="s">
        <v>2088</v>
      </c>
      <c r="D2045" s="28" t="s">
        <v>3949</v>
      </c>
      <c r="E2045" s="29" t="s">
        <v>563</v>
      </c>
      <c r="F2045" s="30">
        <v>1</v>
      </c>
      <c r="G2045" s="31">
        <v>220.55</v>
      </c>
      <c r="H2045" s="31">
        <f t="shared" si="150"/>
        <v>220.55</v>
      </c>
      <c r="I2045" s="170" t="s">
        <v>2842</v>
      </c>
      <c r="J2045" t="s">
        <v>2853</v>
      </c>
      <c r="K2045" s="188" t="s">
        <v>2853</v>
      </c>
    </row>
    <row r="2046" spans="1:11" x14ac:dyDescent="0.25">
      <c r="A2046" t="s">
        <v>6515</v>
      </c>
      <c r="B2046" s="27" t="s">
        <v>2089</v>
      </c>
      <c r="D2046" s="28" t="s">
        <v>3950</v>
      </c>
      <c r="E2046" s="29" t="s">
        <v>563</v>
      </c>
      <c r="F2046" s="30">
        <v>1</v>
      </c>
      <c r="G2046" s="31">
        <v>220.55</v>
      </c>
      <c r="H2046" s="31">
        <f t="shared" si="150"/>
        <v>220.55</v>
      </c>
      <c r="I2046" s="170" t="s">
        <v>2842</v>
      </c>
      <c r="J2046" t="s">
        <v>2853</v>
      </c>
      <c r="K2046" s="188" t="s">
        <v>2853</v>
      </c>
    </row>
    <row r="2047" spans="1:11" x14ac:dyDescent="0.25">
      <c r="A2047" t="s">
        <v>6516</v>
      </c>
      <c r="B2047" s="27" t="s">
        <v>2090</v>
      </c>
      <c r="D2047" s="28" t="s">
        <v>3951</v>
      </c>
      <c r="E2047" s="29" t="s">
        <v>563</v>
      </c>
      <c r="F2047" s="30">
        <v>1</v>
      </c>
      <c r="G2047" s="31">
        <v>220.55</v>
      </c>
      <c r="H2047" s="31">
        <f t="shared" si="150"/>
        <v>220.55</v>
      </c>
      <c r="I2047" s="170" t="s">
        <v>2842</v>
      </c>
      <c r="J2047" t="s">
        <v>2853</v>
      </c>
      <c r="K2047" s="188" t="s">
        <v>2853</v>
      </c>
    </row>
    <row r="2048" spans="1:11" x14ac:dyDescent="0.25">
      <c r="A2048" t="s">
        <v>6517</v>
      </c>
      <c r="B2048" s="27" t="s">
        <v>2091</v>
      </c>
      <c r="D2048" s="28" t="s">
        <v>3952</v>
      </c>
      <c r="E2048" s="29" t="s">
        <v>671</v>
      </c>
      <c r="F2048" s="30">
        <v>1</v>
      </c>
      <c r="G2048" s="31">
        <v>220.55</v>
      </c>
      <c r="H2048" s="31">
        <f t="shared" si="150"/>
        <v>220.55</v>
      </c>
      <c r="I2048" s="170" t="s">
        <v>2842</v>
      </c>
      <c r="J2048" t="s">
        <v>2853</v>
      </c>
      <c r="K2048" s="188" t="s">
        <v>2853</v>
      </c>
    </row>
    <row r="2049" spans="1:11" x14ac:dyDescent="0.25">
      <c r="A2049" t="s">
        <v>6518</v>
      </c>
      <c r="B2049" s="27" t="s">
        <v>2092</v>
      </c>
      <c r="D2049" s="28" t="s">
        <v>3953</v>
      </c>
      <c r="E2049" s="29" t="s">
        <v>671</v>
      </c>
      <c r="F2049" s="30">
        <v>1</v>
      </c>
      <c r="G2049" s="31">
        <v>220.55</v>
      </c>
      <c r="H2049" s="31">
        <f t="shared" si="150"/>
        <v>220.55</v>
      </c>
      <c r="I2049" s="170" t="s">
        <v>2842</v>
      </c>
      <c r="J2049" t="s">
        <v>2853</v>
      </c>
      <c r="K2049" s="188" t="s">
        <v>2853</v>
      </c>
    </row>
    <row r="2050" spans="1:11" x14ac:dyDescent="0.25">
      <c r="A2050" t="s">
        <v>6519</v>
      </c>
      <c r="B2050" s="27" t="s">
        <v>2093</v>
      </c>
      <c r="D2050" s="28" t="s">
        <v>3954</v>
      </c>
      <c r="E2050" s="29" t="s">
        <v>671</v>
      </c>
      <c r="F2050" s="30">
        <v>1</v>
      </c>
      <c r="G2050" s="31">
        <v>220.55</v>
      </c>
      <c r="H2050" s="31">
        <f t="shared" si="150"/>
        <v>220.55</v>
      </c>
      <c r="I2050" s="170" t="s">
        <v>2842</v>
      </c>
      <c r="J2050" t="s">
        <v>2853</v>
      </c>
      <c r="K2050" s="188" t="s">
        <v>2853</v>
      </c>
    </row>
    <row r="2051" spans="1:11" x14ac:dyDescent="0.25">
      <c r="A2051" t="s">
        <v>6520</v>
      </c>
      <c r="B2051" s="27" t="s">
        <v>2094</v>
      </c>
      <c r="D2051" s="28" t="s">
        <v>3955</v>
      </c>
      <c r="E2051" s="29" t="s">
        <v>21</v>
      </c>
      <c r="F2051" s="30">
        <v>1</v>
      </c>
      <c r="G2051" s="31">
        <v>260.23</v>
      </c>
      <c r="H2051" s="31">
        <f t="shared" si="150"/>
        <v>260.23</v>
      </c>
      <c r="I2051" s="170" t="s">
        <v>2842</v>
      </c>
      <c r="J2051" t="s">
        <v>2853</v>
      </c>
      <c r="K2051" s="188" t="s">
        <v>2853</v>
      </c>
    </row>
    <row r="2052" spans="1:11" x14ac:dyDescent="0.25">
      <c r="A2052" t="s">
        <v>6521</v>
      </c>
      <c r="B2052" s="27" t="s">
        <v>2095</v>
      </c>
      <c r="D2052" s="28" t="s">
        <v>3956</v>
      </c>
      <c r="E2052" s="29" t="s">
        <v>21</v>
      </c>
      <c r="F2052" s="30">
        <v>1</v>
      </c>
      <c r="G2052" s="31">
        <v>260.23</v>
      </c>
      <c r="H2052" s="31">
        <f t="shared" si="150"/>
        <v>260.23</v>
      </c>
      <c r="I2052" s="170" t="s">
        <v>2842</v>
      </c>
      <c r="J2052" t="s">
        <v>2853</v>
      </c>
      <c r="K2052" s="188" t="s">
        <v>2853</v>
      </c>
    </row>
    <row r="2053" spans="1:11" x14ac:dyDescent="0.25">
      <c r="A2053" t="s">
        <v>6522</v>
      </c>
      <c r="B2053" s="27" t="s">
        <v>2096</v>
      </c>
      <c r="D2053" s="28" t="s">
        <v>3957</v>
      </c>
      <c r="E2053" s="29" t="s">
        <v>21</v>
      </c>
      <c r="F2053" s="30">
        <v>1</v>
      </c>
      <c r="G2053" s="31">
        <v>260.23</v>
      </c>
      <c r="H2053" s="31">
        <f t="shared" si="150"/>
        <v>260.23</v>
      </c>
      <c r="I2053" s="170" t="s">
        <v>2842</v>
      </c>
      <c r="J2053" t="s">
        <v>2853</v>
      </c>
      <c r="K2053" s="188" t="s">
        <v>2853</v>
      </c>
    </row>
    <row r="2054" spans="1:11" x14ac:dyDescent="0.25">
      <c r="A2054" t="s">
        <v>6523</v>
      </c>
      <c r="B2054" s="27" t="s">
        <v>2097</v>
      </c>
      <c r="D2054" s="28" t="s">
        <v>3958</v>
      </c>
      <c r="E2054" s="29" t="s">
        <v>563</v>
      </c>
      <c r="F2054" s="30">
        <v>1</v>
      </c>
      <c r="G2054" s="31">
        <v>260.23</v>
      </c>
      <c r="H2054" s="31">
        <f t="shared" si="150"/>
        <v>260.23</v>
      </c>
      <c r="I2054" s="170" t="s">
        <v>2842</v>
      </c>
      <c r="J2054" t="s">
        <v>2853</v>
      </c>
      <c r="K2054" s="188" t="s">
        <v>2853</v>
      </c>
    </row>
    <row r="2055" spans="1:11" x14ac:dyDescent="0.25">
      <c r="A2055" t="s">
        <v>6524</v>
      </c>
      <c r="B2055" s="27" t="s">
        <v>2098</v>
      </c>
      <c r="D2055" s="28" t="s">
        <v>3959</v>
      </c>
      <c r="E2055" s="29" t="s">
        <v>563</v>
      </c>
      <c r="F2055" s="30">
        <v>1</v>
      </c>
      <c r="G2055" s="31">
        <v>260.23</v>
      </c>
      <c r="H2055" s="31">
        <f t="shared" si="150"/>
        <v>260.23</v>
      </c>
      <c r="I2055" s="170" t="s">
        <v>2842</v>
      </c>
      <c r="J2055" t="s">
        <v>2853</v>
      </c>
      <c r="K2055" s="188" t="s">
        <v>2853</v>
      </c>
    </row>
    <row r="2056" spans="1:11" x14ac:dyDescent="0.25">
      <c r="A2056" t="s">
        <v>6525</v>
      </c>
      <c r="B2056" s="27" t="s">
        <v>2099</v>
      </c>
      <c r="D2056" s="28" t="s">
        <v>3960</v>
      </c>
      <c r="E2056" s="29" t="s">
        <v>563</v>
      </c>
      <c r="F2056" s="30">
        <v>1</v>
      </c>
      <c r="G2056" s="31">
        <v>260.23</v>
      </c>
      <c r="H2056" s="31">
        <f t="shared" si="150"/>
        <v>260.23</v>
      </c>
      <c r="I2056" s="170" t="s">
        <v>2842</v>
      </c>
      <c r="J2056" t="s">
        <v>2853</v>
      </c>
      <c r="K2056" s="188" t="s">
        <v>2853</v>
      </c>
    </row>
    <row r="2057" spans="1:11" x14ac:dyDescent="0.25">
      <c r="A2057" t="s">
        <v>6526</v>
      </c>
      <c r="B2057" s="27" t="s">
        <v>2100</v>
      </c>
      <c r="D2057" s="28" t="s">
        <v>3961</v>
      </c>
      <c r="E2057" s="29" t="s">
        <v>671</v>
      </c>
      <c r="F2057" s="30">
        <v>1</v>
      </c>
      <c r="G2057" s="31">
        <v>260.23</v>
      </c>
      <c r="H2057" s="31">
        <f t="shared" si="150"/>
        <v>260.23</v>
      </c>
      <c r="I2057" s="170" t="s">
        <v>2842</v>
      </c>
      <c r="J2057" t="s">
        <v>2853</v>
      </c>
      <c r="K2057" s="188" t="s">
        <v>2853</v>
      </c>
    </row>
    <row r="2058" spans="1:11" x14ac:dyDescent="0.25">
      <c r="A2058" t="s">
        <v>6527</v>
      </c>
      <c r="B2058" s="27" t="s">
        <v>2101</v>
      </c>
      <c r="D2058" s="28" t="s">
        <v>3962</v>
      </c>
      <c r="E2058" s="29" t="s">
        <v>671</v>
      </c>
      <c r="F2058" s="30">
        <v>1</v>
      </c>
      <c r="G2058" s="31">
        <v>260.23</v>
      </c>
      <c r="H2058" s="31">
        <f t="shared" si="150"/>
        <v>260.23</v>
      </c>
      <c r="I2058" s="170" t="s">
        <v>2842</v>
      </c>
      <c r="J2058" t="s">
        <v>2853</v>
      </c>
      <c r="K2058" s="188" t="s">
        <v>2853</v>
      </c>
    </row>
    <row r="2059" spans="1:11" x14ac:dyDescent="0.25">
      <c r="A2059" t="s">
        <v>6528</v>
      </c>
      <c r="B2059" s="27" t="s">
        <v>2102</v>
      </c>
      <c r="D2059" s="28" t="s">
        <v>3963</v>
      </c>
      <c r="E2059" s="29" t="s">
        <v>671</v>
      </c>
      <c r="F2059" s="30">
        <v>1</v>
      </c>
      <c r="G2059" s="31">
        <v>260.23</v>
      </c>
      <c r="H2059" s="31">
        <f t="shared" si="150"/>
        <v>260.23</v>
      </c>
      <c r="I2059" s="170" t="s">
        <v>2842</v>
      </c>
      <c r="J2059" t="s">
        <v>2853</v>
      </c>
      <c r="K2059" s="188" t="s">
        <v>2853</v>
      </c>
    </row>
    <row r="2060" spans="1:11" x14ac:dyDescent="0.25">
      <c r="A2060" t="s">
        <v>6529</v>
      </c>
      <c r="B2060" s="27" t="s">
        <v>2103</v>
      </c>
      <c r="D2060" s="28" t="s">
        <v>3964</v>
      </c>
      <c r="E2060" s="29" t="s">
        <v>21</v>
      </c>
      <c r="F2060" s="30">
        <v>1</v>
      </c>
      <c r="G2060" s="31">
        <v>187.5</v>
      </c>
      <c r="H2060" s="31">
        <f t="shared" si="150"/>
        <v>187.5</v>
      </c>
      <c r="I2060" s="170" t="s">
        <v>2842</v>
      </c>
      <c r="J2060" t="s">
        <v>2853</v>
      </c>
      <c r="K2060" s="188" t="s">
        <v>2853</v>
      </c>
    </row>
    <row r="2061" spans="1:11" x14ac:dyDescent="0.25">
      <c r="A2061" t="s">
        <v>6530</v>
      </c>
      <c r="B2061" s="27" t="s">
        <v>2104</v>
      </c>
      <c r="D2061" s="28" t="s">
        <v>3965</v>
      </c>
      <c r="E2061" s="29" t="s">
        <v>21</v>
      </c>
      <c r="F2061" s="30">
        <v>1</v>
      </c>
      <c r="G2061" s="31">
        <v>187.5</v>
      </c>
      <c r="H2061" s="31">
        <f t="shared" si="150"/>
        <v>187.5</v>
      </c>
      <c r="I2061" s="170" t="s">
        <v>2842</v>
      </c>
      <c r="J2061" t="s">
        <v>2853</v>
      </c>
      <c r="K2061" s="188" t="s">
        <v>2853</v>
      </c>
    </row>
    <row r="2062" spans="1:11" x14ac:dyDescent="0.25">
      <c r="A2062" t="s">
        <v>6531</v>
      </c>
      <c r="B2062" s="27" t="s">
        <v>2105</v>
      </c>
      <c r="D2062" s="28" t="s">
        <v>3966</v>
      </c>
      <c r="E2062" s="29" t="s">
        <v>21</v>
      </c>
      <c r="F2062" s="30">
        <v>1</v>
      </c>
      <c r="G2062" s="31">
        <v>187.5</v>
      </c>
      <c r="H2062" s="31">
        <f t="shared" si="150"/>
        <v>187.5</v>
      </c>
      <c r="I2062" s="170" t="s">
        <v>2842</v>
      </c>
      <c r="J2062" t="s">
        <v>2853</v>
      </c>
      <c r="K2062" s="188" t="s">
        <v>2853</v>
      </c>
    </row>
    <row r="2063" spans="1:11" x14ac:dyDescent="0.25">
      <c r="A2063" t="s">
        <v>6532</v>
      </c>
      <c r="B2063" s="27" t="s">
        <v>2106</v>
      </c>
      <c r="D2063" s="28" t="s">
        <v>3967</v>
      </c>
      <c r="E2063" s="29" t="s">
        <v>563</v>
      </c>
      <c r="F2063" s="30">
        <v>1</v>
      </c>
      <c r="G2063" s="31">
        <v>187.5</v>
      </c>
      <c r="H2063" s="31">
        <f t="shared" si="150"/>
        <v>187.5</v>
      </c>
      <c r="I2063" s="170" t="s">
        <v>2842</v>
      </c>
      <c r="J2063" t="s">
        <v>2853</v>
      </c>
      <c r="K2063" s="188" t="s">
        <v>2853</v>
      </c>
    </row>
    <row r="2064" spans="1:11" x14ac:dyDescent="0.25">
      <c r="A2064" t="s">
        <v>6533</v>
      </c>
      <c r="B2064" s="27" t="s">
        <v>2107</v>
      </c>
      <c r="D2064" s="28" t="s">
        <v>3968</v>
      </c>
      <c r="E2064" s="29" t="s">
        <v>563</v>
      </c>
      <c r="F2064" s="30">
        <v>1</v>
      </c>
      <c r="G2064" s="31">
        <v>187.5</v>
      </c>
      <c r="H2064" s="31">
        <f t="shared" si="150"/>
        <v>187.5</v>
      </c>
      <c r="I2064" s="170" t="s">
        <v>2842</v>
      </c>
      <c r="J2064" t="s">
        <v>2853</v>
      </c>
      <c r="K2064" s="188" t="s">
        <v>2853</v>
      </c>
    </row>
    <row r="2065" spans="1:11" x14ac:dyDescent="0.25">
      <c r="A2065" t="s">
        <v>6534</v>
      </c>
      <c r="B2065" s="27" t="s">
        <v>2108</v>
      </c>
      <c r="D2065" s="28" t="s">
        <v>3969</v>
      </c>
      <c r="E2065" s="29" t="s">
        <v>563</v>
      </c>
      <c r="F2065" s="30">
        <v>1</v>
      </c>
      <c r="G2065" s="31">
        <v>187.5</v>
      </c>
      <c r="H2065" s="31">
        <f t="shared" si="150"/>
        <v>187.5</v>
      </c>
      <c r="I2065" s="170" t="s">
        <v>2842</v>
      </c>
      <c r="J2065" t="s">
        <v>2853</v>
      </c>
      <c r="K2065" s="188" t="s">
        <v>2853</v>
      </c>
    </row>
    <row r="2066" spans="1:11" x14ac:dyDescent="0.25">
      <c r="A2066" t="s">
        <v>6535</v>
      </c>
      <c r="B2066" s="27" t="s">
        <v>2109</v>
      </c>
      <c r="D2066" s="28" t="s">
        <v>3970</v>
      </c>
      <c r="E2066" s="29" t="s">
        <v>671</v>
      </c>
      <c r="F2066" s="30">
        <v>1</v>
      </c>
      <c r="G2066" s="31">
        <v>187.5</v>
      </c>
      <c r="H2066" s="31">
        <f t="shared" si="150"/>
        <v>187.5</v>
      </c>
      <c r="I2066" s="170" t="s">
        <v>2842</v>
      </c>
      <c r="J2066" t="s">
        <v>2853</v>
      </c>
      <c r="K2066" s="188" t="s">
        <v>2853</v>
      </c>
    </row>
    <row r="2067" spans="1:11" x14ac:dyDescent="0.25">
      <c r="A2067" t="s">
        <v>6536</v>
      </c>
      <c r="B2067" s="27" t="s">
        <v>2110</v>
      </c>
      <c r="D2067" s="28" t="s">
        <v>3971</v>
      </c>
      <c r="E2067" s="29" t="s">
        <v>671</v>
      </c>
      <c r="F2067" s="30">
        <v>1</v>
      </c>
      <c r="G2067" s="31">
        <v>187.5</v>
      </c>
      <c r="H2067" s="31">
        <f t="shared" si="150"/>
        <v>187.5</v>
      </c>
      <c r="I2067" s="170" t="s">
        <v>2842</v>
      </c>
      <c r="J2067" t="s">
        <v>2853</v>
      </c>
      <c r="K2067" s="188" t="s">
        <v>2853</v>
      </c>
    </row>
    <row r="2068" spans="1:11" x14ac:dyDescent="0.25">
      <c r="A2068" t="s">
        <v>6537</v>
      </c>
      <c r="B2068" s="27" t="s">
        <v>2111</v>
      </c>
      <c r="D2068" s="28" t="s">
        <v>3972</v>
      </c>
      <c r="E2068" s="29" t="s">
        <v>671</v>
      </c>
      <c r="F2068" s="30">
        <v>1</v>
      </c>
      <c r="G2068" s="31">
        <v>187.5</v>
      </c>
      <c r="H2068" s="31">
        <f t="shared" si="150"/>
        <v>187.5</v>
      </c>
      <c r="I2068" s="170" t="s">
        <v>2842</v>
      </c>
      <c r="J2068" t="s">
        <v>2853</v>
      </c>
      <c r="K2068" s="188" t="s">
        <v>2853</v>
      </c>
    </row>
    <row r="2069" spans="1:11" x14ac:dyDescent="0.25">
      <c r="A2069" t="s">
        <v>6538</v>
      </c>
      <c r="B2069" s="27" t="s">
        <v>2112</v>
      </c>
      <c r="D2069" s="28" t="s">
        <v>3973</v>
      </c>
      <c r="E2069" s="29" t="s">
        <v>21</v>
      </c>
      <c r="F2069" s="30">
        <v>1</v>
      </c>
      <c r="G2069" s="31">
        <v>220.55</v>
      </c>
      <c r="H2069" s="31">
        <f t="shared" si="150"/>
        <v>220.55</v>
      </c>
      <c r="I2069" s="170" t="s">
        <v>2842</v>
      </c>
      <c r="J2069" t="s">
        <v>2853</v>
      </c>
      <c r="K2069" s="188" t="s">
        <v>2853</v>
      </c>
    </row>
    <row r="2070" spans="1:11" x14ac:dyDescent="0.25">
      <c r="A2070" t="s">
        <v>6539</v>
      </c>
      <c r="B2070" s="27" t="s">
        <v>2113</v>
      </c>
      <c r="D2070" s="28" t="s">
        <v>3974</v>
      </c>
      <c r="E2070" s="29" t="s">
        <v>21</v>
      </c>
      <c r="F2070" s="30">
        <v>1</v>
      </c>
      <c r="G2070" s="31">
        <v>220.55</v>
      </c>
      <c r="H2070" s="31">
        <f t="shared" si="150"/>
        <v>220.55</v>
      </c>
      <c r="I2070" s="170" t="s">
        <v>2842</v>
      </c>
      <c r="J2070" t="s">
        <v>2853</v>
      </c>
      <c r="K2070" s="188" t="s">
        <v>2853</v>
      </c>
    </row>
    <row r="2071" spans="1:11" x14ac:dyDescent="0.25">
      <c r="A2071" t="s">
        <v>6540</v>
      </c>
      <c r="B2071" s="27" t="s">
        <v>2114</v>
      </c>
      <c r="D2071" s="28" t="s">
        <v>3975</v>
      </c>
      <c r="E2071" s="29" t="s">
        <v>21</v>
      </c>
      <c r="F2071" s="30">
        <v>1</v>
      </c>
      <c r="G2071" s="31">
        <v>220.55</v>
      </c>
      <c r="H2071" s="31">
        <f t="shared" si="150"/>
        <v>220.55</v>
      </c>
      <c r="I2071" s="170" t="s">
        <v>2842</v>
      </c>
      <c r="J2071" t="s">
        <v>2853</v>
      </c>
      <c r="K2071" s="188" t="s">
        <v>2853</v>
      </c>
    </row>
    <row r="2072" spans="1:11" x14ac:dyDescent="0.25">
      <c r="A2072" t="s">
        <v>6541</v>
      </c>
      <c r="B2072" s="27" t="s">
        <v>2115</v>
      </c>
      <c r="D2072" s="28" t="s">
        <v>3976</v>
      </c>
      <c r="E2072" s="29" t="s">
        <v>563</v>
      </c>
      <c r="F2072" s="30">
        <v>1</v>
      </c>
      <c r="G2072" s="31">
        <v>220.55</v>
      </c>
      <c r="H2072" s="31">
        <f t="shared" ref="H2072:H2135" si="151">+F2072*G2072</f>
        <v>220.55</v>
      </c>
      <c r="I2072" s="170" t="s">
        <v>2842</v>
      </c>
      <c r="J2072" t="s">
        <v>2853</v>
      </c>
      <c r="K2072" s="188" t="s">
        <v>2853</v>
      </c>
    </row>
    <row r="2073" spans="1:11" x14ac:dyDescent="0.25">
      <c r="A2073" t="s">
        <v>6542</v>
      </c>
      <c r="B2073" s="27" t="s">
        <v>2116</v>
      </c>
      <c r="D2073" s="28" t="s">
        <v>3977</v>
      </c>
      <c r="E2073" s="29" t="s">
        <v>563</v>
      </c>
      <c r="F2073" s="30">
        <v>1</v>
      </c>
      <c r="G2073" s="31">
        <v>220.55</v>
      </c>
      <c r="H2073" s="31">
        <f t="shared" si="151"/>
        <v>220.55</v>
      </c>
      <c r="I2073" s="170" t="s">
        <v>2842</v>
      </c>
      <c r="J2073" t="s">
        <v>2853</v>
      </c>
      <c r="K2073" s="188" t="s">
        <v>2853</v>
      </c>
    </row>
    <row r="2074" spans="1:11" x14ac:dyDescent="0.25">
      <c r="A2074" t="s">
        <v>6543</v>
      </c>
      <c r="B2074" s="27" t="s">
        <v>2117</v>
      </c>
      <c r="D2074" s="28" t="s">
        <v>3978</v>
      </c>
      <c r="E2074" s="29" t="s">
        <v>563</v>
      </c>
      <c r="F2074" s="30">
        <v>1</v>
      </c>
      <c r="G2074" s="31">
        <v>220.55</v>
      </c>
      <c r="H2074" s="31">
        <f t="shared" si="151"/>
        <v>220.55</v>
      </c>
      <c r="I2074" s="170" t="s">
        <v>2842</v>
      </c>
      <c r="J2074" t="s">
        <v>2853</v>
      </c>
      <c r="K2074" s="188" t="s">
        <v>2853</v>
      </c>
    </row>
    <row r="2075" spans="1:11" x14ac:dyDescent="0.25">
      <c r="A2075" t="s">
        <v>6544</v>
      </c>
      <c r="B2075" s="27" t="s">
        <v>2118</v>
      </c>
      <c r="D2075" s="28" t="s">
        <v>3979</v>
      </c>
      <c r="E2075" s="29" t="s">
        <v>671</v>
      </c>
      <c r="F2075" s="30">
        <v>1</v>
      </c>
      <c r="G2075" s="31">
        <v>220.55</v>
      </c>
      <c r="H2075" s="31">
        <f t="shared" si="151"/>
        <v>220.55</v>
      </c>
      <c r="I2075" s="170" t="s">
        <v>2842</v>
      </c>
      <c r="J2075" t="s">
        <v>2853</v>
      </c>
      <c r="K2075" s="188" t="s">
        <v>2853</v>
      </c>
    </row>
    <row r="2076" spans="1:11" x14ac:dyDescent="0.25">
      <c r="A2076" t="s">
        <v>6545</v>
      </c>
      <c r="B2076" s="27" t="s">
        <v>2119</v>
      </c>
      <c r="D2076" s="28" t="s">
        <v>3980</v>
      </c>
      <c r="E2076" s="29" t="s">
        <v>671</v>
      </c>
      <c r="F2076" s="30">
        <v>1</v>
      </c>
      <c r="G2076" s="31">
        <v>220.55</v>
      </c>
      <c r="H2076" s="31">
        <f t="shared" si="151"/>
        <v>220.55</v>
      </c>
      <c r="I2076" s="170" t="s">
        <v>2842</v>
      </c>
      <c r="J2076" t="s">
        <v>2853</v>
      </c>
      <c r="K2076" s="188" t="s">
        <v>2853</v>
      </c>
    </row>
    <row r="2077" spans="1:11" x14ac:dyDescent="0.25">
      <c r="A2077" t="s">
        <v>6546</v>
      </c>
      <c r="B2077" s="27" t="s">
        <v>2120</v>
      </c>
      <c r="D2077" s="28" t="s">
        <v>3981</v>
      </c>
      <c r="E2077" s="29" t="s">
        <v>671</v>
      </c>
      <c r="F2077" s="30">
        <v>1</v>
      </c>
      <c r="G2077" s="31">
        <v>220.55</v>
      </c>
      <c r="H2077" s="31">
        <f t="shared" si="151"/>
        <v>220.55</v>
      </c>
      <c r="I2077" s="170" t="s">
        <v>2842</v>
      </c>
      <c r="J2077" t="s">
        <v>2853</v>
      </c>
      <c r="K2077" s="188" t="s">
        <v>2853</v>
      </c>
    </row>
    <row r="2078" spans="1:11" x14ac:dyDescent="0.25">
      <c r="A2078" t="s">
        <v>6547</v>
      </c>
      <c r="B2078" s="27" t="s">
        <v>2121</v>
      </c>
      <c r="D2078" s="28" t="s">
        <v>3982</v>
      </c>
      <c r="E2078" s="29" t="s">
        <v>21</v>
      </c>
      <c r="F2078" s="30">
        <v>1</v>
      </c>
      <c r="G2078" s="31">
        <v>247</v>
      </c>
      <c r="H2078" s="31">
        <f t="shared" si="151"/>
        <v>247</v>
      </c>
      <c r="I2078" s="170" t="s">
        <v>2842</v>
      </c>
      <c r="J2078" t="s">
        <v>2853</v>
      </c>
      <c r="K2078" s="188" t="s">
        <v>2853</v>
      </c>
    </row>
    <row r="2079" spans="1:11" x14ac:dyDescent="0.25">
      <c r="A2079" t="s">
        <v>6548</v>
      </c>
      <c r="B2079" s="27" t="s">
        <v>2122</v>
      </c>
      <c r="D2079" s="28" t="s">
        <v>3983</v>
      </c>
      <c r="E2079" s="29" t="s">
        <v>21</v>
      </c>
      <c r="F2079" s="30">
        <v>1</v>
      </c>
      <c r="G2079" s="31">
        <v>247</v>
      </c>
      <c r="H2079" s="31">
        <f t="shared" si="151"/>
        <v>247</v>
      </c>
      <c r="I2079" s="170" t="s">
        <v>2842</v>
      </c>
      <c r="J2079" t="s">
        <v>2853</v>
      </c>
      <c r="K2079" s="188" t="s">
        <v>2853</v>
      </c>
    </row>
    <row r="2080" spans="1:11" x14ac:dyDescent="0.25">
      <c r="A2080" t="s">
        <v>6549</v>
      </c>
      <c r="B2080" s="27" t="s">
        <v>2123</v>
      </c>
      <c r="D2080" s="28" t="s">
        <v>3984</v>
      </c>
      <c r="E2080" s="29" t="s">
        <v>21</v>
      </c>
      <c r="F2080" s="30">
        <v>1</v>
      </c>
      <c r="G2080" s="31">
        <v>247</v>
      </c>
      <c r="H2080" s="31">
        <f t="shared" si="151"/>
        <v>247</v>
      </c>
      <c r="I2080" s="170" t="s">
        <v>2842</v>
      </c>
      <c r="J2080" t="s">
        <v>2853</v>
      </c>
      <c r="K2080" s="188" t="s">
        <v>2853</v>
      </c>
    </row>
    <row r="2081" spans="1:11" x14ac:dyDescent="0.25">
      <c r="A2081" t="s">
        <v>6550</v>
      </c>
      <c r="B2081" s="27" t="s">
        <v>2124</v>
      </c>
      <c r="D2081" s="28" t="s">
        <v>3985</v>
      </c>
      <c r="E2081" s="29" t="s">
        <v>563</v>
      </c>
      <c r="F2081" s="30">
        <v>1</v>
      </c>
      <c r="G2081" s="31">
        <v>247</v>
      </c>
      <c r="H2081" s="31">
        <f t="shared" si="151"/>
        <v>247</v>
      </c>
      <c r="I2081" s="170" t="s">
        <v>2842</v>
      </c>
      <c r="J2081" t="s">
        <v>2853</v>
      </c>
      <c r="K2081" s="188" t="s">
        <v>2853</v>
      </c>
    </row>
    <row r="2082" spans="1:11" x14ac:dyDescent="0.25">
      <c r="A2082" t="s">
        <v>6551</v>
      </c>
      <c r="B2082" s="27" t="s">
        <v>2125</v>
      </c>
      <c r="D2082" s="28" t="s">
        <v>3986</v>
      </c>
      <c r="E2082" s="29" t="s">
        <v>563</v>
      </c>
      <c r="F2082" s="30">
        <v>1</v>
      </c>
      <c r="G2082" s="31">
        <v>247</v>
      </c>
      <c r="H2082" s="31">
        <f t="shared" si="151"/>
        <v>247</v>
      </c>
      <c r="I2082" s="170" t="s">
        <v>2842</v>
      </c>
      <c r="J2082" t="s">
        <v>2853</v>
      </c>
      <c r="K2082" s="188" t="s">
        <v>2853</v>
      </c>
    </row>
    <row r="2083" spans="1:11" x14ac:dyDescent="0.25">
      <c r="A2083" t="s">
        <v>6552</v>
      </c>
      <c r="B2083" s="27" t="s">
        <v>2126</v>
      </c>
      <c r="D2083" s="28" t="s">
        <v>3987</v>
      </c>
      <c r="E2083" s="29" t="s">
        <v>563</v>
      </c>
      <c r="F2083" s="30">
        <v>1</v>
      </c>
      <c r="G2083" s="31">
        <v>247</v>
      </c>
      <c r="H2083" s="31">
        <f t="shared" si="151"/>
        <v>247</v>
      </c>
      <c r="I2083" s="170" t="s">
        <v>2842</v>
      </c>
      <c r="J2083" t="s">
        <v>2853</v>
      </c>
      <c r="K2083" s="188" t="s">
        <v>2853</v>
      </c>
    </row>
    <row r="2084" spans="1:11" x14ac:dyDescent="0.25">
      <c r="A2084" t="s">
        <v>6553</v>
      </c>
      <c r="B2084" s="27" t="s">
        <v>2127</v>
      </c>
      <c r="D2084" s="28" t="s">
        <v>3988</v>
      </c>
      <c r="E2084" s="29" t="s">
        <v>671</v>
      </c>
      <c r="F2084" s="30">
        <v>1</v>
      </c>
      <c r="G2084" s="31">
        <v>247</v>
      </c>
      <c r="H2084" s="31">
        <f t="shared" si="151"/>
        <v>247</v>
      </c>
      <c r="I2084" s="170" t="s">
        <v>2842</v>
      </c>
      <c r="J2084" t="s">
        <v>2853</v>
      </c>
      <c r="K2084" s="188" t="s">
        <v>2853</v>
      </c>
    </row>
    <row r="2085" spans="1:11" x14ac:dyDescent="0.25">
      <c r="A2085" t="s">
        <v>6554</v>
      </c>
      <c r="B2085" s="27" t="s">
        <v>2128</v>
      </c>
      <c r="D2085" s="28" t="s">
        <v>3989</v>
      </c>
      <c r="E2085" s="29" t="s">
        <v>671</v>
      </c>
      <c r="F2085" s="30">
        <v>1</v>
      </c>
      <c r="G2085" s="31">
        <v>247</v>
      </c>
      <c r="H2085" s="31">
        <f t="shared" si="151"/>
        <v>247</v>
      </c>
      <c r="I2085" s="170" t="s">
        <v>2842</v>
      </c>
      <c r="J2085" t="s">
        <v>2853</v>
      </c>
      <c r="K2085" s="188" t="s">
        <v>2853</v>
      </c>
    </row>
    <row r="2086" spans="1:11" x14ac:dyDescent="0.25">
      <c r="A2086" t="s">
        <v>6555</v>
      </c>
      <c r="B2086" s="27" t="s">
        <v>2129</v>
      </c>
      <c r="D2086" s="28" t="s">
        <v>3990</v>
      </c>
      <c r="E2086" s="29" t="s">
        <v>671</v>
      </c>
      <c r="F2086" s="30">
        <v>1</v>
      </c>
      <c r="G2086" s="31">
        <v>247</v>
      </c>
      <c r="H2086" s="31">
        <f t="shared" si="151"/>
        <v>247</v>
      </c>
      <c r="I2086" s="170" t="s">
        <v>2842</v>
      </c>
      <c r="J2086" t="s">
        <v>2853</v>
      </c>
      <c r="K2086" s="188" t="s">
        <v>2853</v>
      </c>
    </row>
    <row r="2087" spans="1:11" x14ac:dyDescent="0.25">
      <c r="A2087" t="s">
        <v>6556</v>
      </c>
      <c r="B2087" s="27" t="s">
        <v>2130</v>
      </c>
      <c r="D2087" s="28" t="s">
        <v>3991</v>
      </c>
      <c r="E2087" s="29" t="s">
        <v>21</v>
      </c>
      <c r="F2087" s="30">
        <v>1</v>
      </c>
      <c r="G2087" s="31">
        <v>280.06</v>
      </c>
      <c r="H2087" s="31">
        <f t="shared" si="151"/>
        <v>280.06</v>
      </c>
      <c r="I2087" s="170" t="s">
        <v>2842</v>
      </c>
      <c r="J2087" t="s">
        <v>2853</v>
      </c>
      <c r="K2087" s="188" t="s">
        <v>2853</v>
      </c>
    </row>
    <row r="2088" spans="1:11" x14ac:dyDescent="0.25">
      <c r="A2088" t="s">
        <v>6557</v>
      </c>
      <c r="B2088" s="27" t="s">
        <v>2131</v>
      </c>
      <c r="D2088" s="28" t="s">
        <v>3992</v>
      </c>
      <c r="E2088" s="29" t="s">
        <v>21</v>
      </c>
      <c r="F2088" s="30">
        <v>1</v>
      </c>
      <c r="G2088" s="31">
        <v>280.06</v>
      </c>
      <c r="H2088" s="31">
        <f t="shared" si="151"/>
        <v>280.06</v>
      </c>
      <c r="I2088" s="170" t="s">
        <v>2842</v>
      </c>
      <c r="J2088" t="s">
        <v>2853</v>
      </c>
      <c r="K2088" s="188" t="s">
        <v>2853</v>
      </c>
    </row>
    <row r="2089" spans="1:11" x14ac:dyDescent="0.25">
      <c r="A2089" t="s">
        <v>6558</v>
      </c>
      <c r="B2089" s="27" t="s">
        <v>2132</v>
      </c>
      <c r="D2089" s="28" t="s">
        <v>3993</v>
      </c>
      <c r="E2089" s="29" t="s">
        <v>21</v>
      </c>
      <c r="F2089" s="30">
        <v>1</v>
      </c>
      <c r="G2089" s="31">
        <v>280.06</v>
      </c>
      <c r="H2089" s="31">
        <f t="shared" si="151"/>
        <v>280.06</v>
      </c>
      <c r="I2089" s="170" t="s">
        <v>2842</v>
      </c>
      <c r="J2089" t="s">
        <v>2853</v>
      </c>
      <c r="K2089" s="188" t="s">
        <v>2853</v>
      </c>
    </row>
    <row r="2090" spans="1:11" x14ac:dyDescent="0.25">
      <c r="A2090" t="s">
        <v>6559</v>
      </c>
      <c r="B2090" s="27" t="s">
        <v>2133</v>
      </c>
      <c r="D2090" s="28" t="s">
        <v>3994</v>
      </c>
      <c r="E2090" s="29" t="s">
        <v>563</v>
      </c>
      <c r="F2090" s="30">
        <v>1</v>
      </c>
      <c r="G2090" s="31">
        <v>280.06</v>
      </c>
      <c r="H2090" s="31">
        <f t="shared" si="151"/>
        <v>280.06</v>
      </c>
      <c r="I2090" s="170" t="s">
        <v>2842</v>
      </c>
      <c r="J2090" t="s">
        <v>2853</v>
      </c>
      <c r="K2090" s="188" t="s">
        <v>2853</v>
      </c>
    </row>
    <row r="2091" spans="1:11" x14ac:dyDescent="0.25">
      <c r="A2091" t="s">
        <v>6560</v>
      </c>
      <c r="B2091" s="27" t="s">
        <v>2134</v>
      </c>
      <c r="D2091" s="28" t="s">
        <v>3995</v>
      </c>
      <c r="E2091" s="29" t="s">
        <v>563</v>
      </c>
      <c r="F2091" s="30">
        <v>1</v>
      </c>
      <c r="G2091" s="31">
        <v>280.06</v>
      </c>
      <c r="H2091" s="31">
        <f t="shared" si="151"/>
        <v>280.06</v>
      </c>
      <c r="I2091" s="170" t="s">
        <v>2842</v>
      </c>
      <c r="J2091" t="s">
        <v>2853</v>
      </c>
      <c r="K2091" s="188" t="s">
        <v>2853</v>
      </c>
    </row>
    <row r="2092" spans="1:11" x14ac:dyDescent="0.25">
      <c r="A2092" t="s">
        <v>6561</v>
      </c>
      <c r="B2092" s="27" t="s">
        <v>2135</v>
      </c>
      <c r="D2092" s="28" t="s">
        <v>3996</v>
      </c>
      <c r="E2092" s="29" t="s">
        <v>563</v>
      </c>
      <c r="F2092" s="30">
        <v>1</v>
      </c>
      <c r="G2092" s="31">
        <v>280.06</v>
      </c>
      <c r="H2092" s="31">
        <f t="shared" si="151"/>
        <v>280.06</v>
      </c>
      <c r="I2092" s="170" t="s">
        <v>2842</v>
      </c>
      <c r="J2092" t="s">
        <v>2853</v>
      </c>
      <c r="K2092" s="188" t="s">
        <v>2853</v>
      </c>
    </row>
    <row r="2093" spans="1:11" x14ac:dyDescent="0.25">
      <c r="A2093" t="s">
        <v>6562</v>
      </c>
      <c r="B2093" s="27" t="s">
        <v>2136</v>
      </c>
      <c r="D2093" s="28" t="s">
        <v>3997</v>
      </c>
      <c r="E2093" s="29" t="s">
        <v>671</v>
      </c>
      <c r="F2093" s="30">
        <v>1</v>
      </c>
      <c r="G2093" s="31">
        <v>280.06</v>
      </c>
      <c r="H2093" s="31">
        <f t="shared" si="151"/>
        <v>280.06</v>
      </c>
      <c r="I2093" s="170" t="s">
        <v>2842</v>
      </c>
      <c r="J2093" t="s">
        <v>2853</v>
      </c>
      <c r="K2093" s="188" t="s">
        <v>2853</v>
      </c>
    </row>
    <row r="2094" spans="1:11" x14ac:dyDescent="0.25">
      <c r="A2094" t="s">
        <v>6563</v>
      </c>
      <c r="B2094" s="27" t="s">
        <v>2137</v>
      </c>
      <c r="D2094" s="28" t="s">
        <v>3998</v>
      </c>
      <c r="E2094" s="29" t="s">
        <v>671</v>
      </c>
      <c r="F2094" s="30">
        <v>1</v>
      </c>
      <c r="G2094" s="31">
        <v>280.06</v>
      </c>
      <c r="H2094" s="31">
        <f t="shared" si="151"/>
        <v>280.06</v>
      </c>
      <c r="I2094" s="170" t="s">
        <v>2842</v>
      </c>
      <c r="J2094" t="s">
        <v>2853</v>
      </c>
      <c r="K2094" s="188" t="s">
        <v>2853</v>
      </c>
    </row>
    <row r="2095" spans="1:11" x14ac:dyDescent="0.25">
      <c r="A2095" t="s">
        <v>6564</v>
      </c>
      <c r="B2095" s="27" t="s">
        <v>2138</v>
      </c>
      <c r="D2095" s="28" t="s">
        <v>3999</v>
      </c>
      <c r="E2095" s="29" t="s">
        <v>671</v>
      </c>
      <c r="F2095" s="30">
        <v>1</v>
      </c>
      <c r="G2095" s="31">
        <v>280.06</v>
      </c>
      <c r="H2095" s="31">
        <f t="shared" si="151"/>
        <v>280.06</v>
      </c>
      <c r="I2095" s="170" t="s">
        <v>2842</v>
      </c>
      <c r="J2095" t="s">
        <v>2853</v>
      </c>
      <c r="K2095" s="188" t="s">
        <v>2853</v>
      </c>
    </row>
    <row r="2096" spans="1:11" x14ac:dyDescent="0.25">
      <c r="A2096" t="s">
        <v>6565</v>
      </c>
      <c r="B2096" s="27" t="s">
        <v>2139</v>
      </c>
      <c r="D2096" s="28" t="s">
        <v>4000</v>
      </c>
      <c r="E2096" s="29" t="s">
        <v>21</v>
      </c>
      <c r="F2096" s="30">
        <v>1</v>
      </c>
      <c r="G2096" s="31">
        <v>161.07</v>
      </c>
      <c r="H2096" s="31">
        <f t="shared" si="151"/>
        <v>161.07</v>
      </c>
      <c r="I2096" s="170" t="s">
        <v>2842</v>
      </c>
      <c r="J2096" t="s">
        <v>2853</v>
      </c>
      <c r="K2096" s="188" t="s">
        <v>2853</v>
      </c>
    </row>
    <row r="2097" spans="1:11" x14ac:dyDescent="0.25">
      <c r="A2097" t="s">
        <v>6566</v>
      </c>
      <c r="B2097" s="27" t="s">
        <v>2140</v>
      </c>
      <c r="D2097" s="28" t="s">
        <v>4001</v>
      </c>
      <c r="E2097" s="29" t="s">
        <v>21</v>
      </c>
      <c r="F2097" s="30">
        <v>1</v>
      </c>
      <c r="G2097" s="31">
        <v>161.07</v>
      </c>
      <c r="H2097" s="31">
        <f t="shared" si="151"/>
        <v>161.07</v>
      </c>
      <c r="I2097" s="170" t="s">
        <v>2842</v>
      </c>
      <c r="J2097" t="s">
        <v>2853</v>
      </c>
      <c r="K2097" s="188" t="s">
        <v>2853</v>
      </c>
    </row>
    <row r="2098" spans="1:11" x14ac:dyDescent="0.25">
      <c r="A2098" t="s">
        <v>6567</v>
      </c>
      <c r="B2098" s="27" t="s">
        <v>2141</v>
      </c>
      <c r="D2098" s="28" t="s">
        <v>4002</v>
      </c>
      <c r="E2098" s="29" t="s">
        <v>21</v>
      </c>
      <c r="F2098" s="30">
        <v>1</v>
      </c>
      <c r="G2098" s="31">
        <v>161.07</v>
      </c>
      <c r="H2098" s="31">
        <f t="shared" si="151"/>
        <v>161.07</v>
      </c>
      <c r="I2098" s="170" t="s">
        <v>2842</v>
      </c>
      <c r="J2098" t="s">
        <v>2853</v>
      </c>
      <c r="K2098" s="188" t="s">
        <v>2853</v>
      </c>
    </row>
    <row r="2099" spans="1:11" x14ac:dyDescent="0.25">
      <c r="A2099" t="s">
        <v>6568</v>
      </c>
      <c r="B2099" s="27" t="s">
        <v>2142</v>
      </c>
      <c r="D2099" s="28" t="s">
        <v>4003</v>
      </c>
      <c r="E2099" s="29" t="s">
        <v>563</v>
      </c>
      <c r="F2099" s="30">
        <v>1</v>
      </c>
      <c r="G2099" s="31">
        <v>161.07</v>
      </c>
      <c r="H2099" s="31">
        <f t="shared" si="151"/>
        <v>161.07</v>
      </c>
      <c r="I2099" s="170" t="s">
        <v>2842</v>
      </c>
      <c r="J2099" t="s">
        <v>2853</v>
      </c>
      <c r="K2099" s="188" t="s">
        <v>2853</v>
      </c>
    </row>
    <row r="2100" spans="1:11" x14ac:dyDescent="0.25">
      <c r="A2100" t="s">
        <v>6569</v>
      </c>
      <c r="B2100" s="27" t="s">
        <v>2143</v>
      </c>
      <c r="D2100" s="28" t="s">
        <v>4004</v>
      </c>
      <c r="E2100" s="29" t="s">
        <v>563</v>
      </c>
      <c r="F2100" s="30">
        <v>1</v>
      </c>
      <c r="G2100" s="31">
        <v>161.07</v>
      </c>
      <c r="H2100" s="31">
        <f t="shared" si="151"/>
        <v>161.07</v>
      </c>
      <c r="I2100" s="170" t="s">
        <v>2842</v>
      </c>
      <c r="J2100" t="s">
        <v>2853</v>
      </c>
      <c r="K2100" s="188" t="s">
        <v>2853</v>
      </c>
    </row>
    <row r="2101" spans="1:11" x14ac:dyDescent="0.25">
      <c r="A2101" t="s">
        <v>6570</v>
      </c>
      <c r="B2101" s="27" t="s">
        <v>2144</v>
      </c>
      <c r="D2101" s="28" t="s">
        <v>4005</v>
      </c>
      <c r="E2101" s="29" t="s">
        <v>563</v>
      </c>
      <c r="F2101" s="30">
        <v>1</v>
      </c>
      <c r="G2101" s="31">
        <v>161.07</v>
      </c>
      <c r="H2101" s="31">
        <f t="shared" si="151"/>
        <v>161.07</v>
      </c>
      <c r="I2101" s="170" t="s">
        <v>2842</v>
      </c>
      <c r="J2101" t="s">
        <v>2853</v>
      </c>
      <c r="K2101" s="188" t="s">
        <v>2853</v>
      </c>
    </row>
    <row r="2102" spans="1:11" x14ac:dyDescent="0.25">
      <c r="A2102" t="s">
        <v>6571</v>
      </c>
      <c r="B2102" s="27" t="s">
        <v>2145</v>
      </c>
      <c r="D2102" s="28" t="s">
        <v>4006</v>
      </c>
      <c r="E2102" s="29" t="s">
        <v>671</v>
      </c>
      <c r="F2102" s="30">
        <v>1</v>
      </c>
      <c r="G2102" s="31">
        <v>161.07</v>
      </c>
      <c r="H2102" s="31">
        <f t="shared" si="151"/>
        <v>161.07</v>
      </c>
      <c r="I2102" s="170" t="s">
        <v>2842</v>
      </c>
      <c r="J2102" t="s">
        <v>2853</v>
      </c>
      <c r="K2102" s="188" t="s">
        <v>2853</v>
      </c>
    </row>
    <row r="2103" spans="1:11" x14ac:dyDescent="0.25">
      <c r="A2103" t="s">
        <v>6572</v>
      </c>
      <c r="B2103" s="27" t="s">
        <v>2146</v>
      </c>
      <c r="D2103" s="28" t="s">
        <v>4007</v>
      </c>
      <c r="E2103" s="29" t="s">
        <v>671</v>
      </c>
      <c r="F2103" s="30">
        <v>1</v>
      </c>
      <c r="G2103" s="31">
        <v>161.07</v>
      </c>
      <c r="H2103" s="31">
        <f t="shared" si="151"/>
        <v>161.07</v>
      </c>
      <c r="I2103" s="170" t="s">
        <v>2842</v>
      </c>
      <c r="J2103" t="s">
        <v>2853</v>
      </c>
      <c r="K2103" s="188" t="s">
        <v>2853</v>
      </c>
    </row>
    <row r="2104" spans="1:11" x14ac:dyDescent="0.25">
      <c r="A2104" t="s">
        <v>6573</v>
      </c>
      <c r="B2104" s="27" t="s">
        <v>2147</v>
      </c>
      <c r="D2104" s="28" t="s">
        <v>4008</v>
      </c>
      <c r="E2104" s="29" t="s">
        <v>671</v>
      </c>
      <c r="F2104" s="30">
        <v>1</v>
      </c>
      <c r="G2104" s="31">
        <v>161.07</v>
      </c>
      <c r="H2104" s="31">
        <f t="shared" si="151"/>
        <v>161.07</v>
      </c>
      <c r="I2104" s="170" t="s">
        <v>2842</v>
      </c>
      <c r="J2104" t="s">
        <v>2853</v>
      </c>
      <c r="K2104" s="188" t="s">
        <v>2853</v>
      </c>
    </row>
    <row r="2105" spans="1:11" x14ac:dyDescent="0.25">
      <c r="A2105" t="s">
        <v>6574</v>
      </c>
      <c r="B2105" s="27" t="s">
        <v>2148</v>
      </c>
      <c r="D2105" s="28" t="s">
        <v>4009</v>
      </c>
      <c r="E2105" s="29" t="s">
        <v>21</v>
      </c>
      <c r="F2105" s="30">
        <v>1</v>
      </c>
      <c r="G2105" s="31">
        <v>187.5</v>
      </c>
      <c r="H2105" s="31">
        <f t="shared" si="151"/>
        <v>187.5</v>
      </c>
      <c r="I2105" s="170" t="s">
        <v>2842</v>
      </c>
      <c r="J2105" t="s">
        <v>2853</v>
      </c>
      <c r="K2105" s="188" t="s">
        <v>2853</v>
      </c>
    </row>
    <row r="2106" spans="1:11" x14ac:dyDescent="0.25">
      <c r="A2106" t="s">
        <v>6575</v>
      </c>
      <c r="B2106" s="27" t="s">
        <v>2149</v>
      </c>
      <c r="D2106" s="28" t="s">
        <v>4010</v>
      </c>
      <c r="E2106" s="29" t="s">
        <v>21</v>
      </c>
      <c r="F2106" s="30">
        <v>1</v>
      </c>
      <c r="G2106" s="31">
        <v>187.5</v>
      </c>
      <c r="H2106" s="31">
        <f t="shared" si="151"/>
        <v>187.5</v>
      </c>
      <c r="I2106" s="170" t="s">
        <v>2842</v>
      </c>
      <c r="J2106" t="s">
        <v>2853</v>
      </c>
      <c r="K2106" s="188" t="s">
        <v>2853</v>
      </c>
    </row>
    <row r="2107" spans="1:11" x14ac:dyDescent="0.25">
      <c r="A2107" t="s">
        <v>6576</v>
      </c>
      <c r="B2107" s="27" t="s">
        <v>2150</v>
      </c>
      <c r="D2107" s="28" t="s">
        <v>4011</v>
      </c>
      <c r="E2107" s="29" t="s">
        <v>21</v>
      </c>
      <c r="F2107" s="30">
        <v>1</v>
      </c>
      <c r="G2107" s="31">
        <v>187.5</v>
      </c>
      <c r="H2107" s="31">
        <f t="shared" si="151"/>
        <v>187.5</v>
      </c>
      <c r="I2107" s="170" t="s">
        <v>2842</v>
      </c>
      <c r="J2107" t="s">
        <v>2853</v>
      </c>
      <c r="K2107" s="188" t="s">
        <v>2853</v>
      </c>
    </row>
    <row r="2108" spans="1:11" x14ac:dyDescent="0.25">
      <c r="A2108" t="s">
        <v>6577</v>
      </c>
      <c r="B2108" s="27" t="s">
        <v>2151</v>
      </c>
      <c r="D2108" s="28" t="s">
        <v>4012</v>
      </c>
      <c r="E2108" s="29" t="s">
        <v>563</v>
      </c>
      <c r="F2108" s="30">
        <v>1</v>
      </c>
      <c r="G2108" s="31">
        <v>187.5</v>
      </c>
      <c r="H2108" s="31">
        <f t="shared" si="151"/>
        <v>187.5</v>
      </c>
      <c r="I2108" s="170" t="s">
        <v>2842</v>
      </c>
      <c r="J2108" t="s">
        <v>2853</v>
      </c>
      <c r="K2108" s="188" t="s">
        <v>2853</v>
      </c>
    </row>
    <row r="2109" spans="1:11" x14ac:dyDescent="0.25">
      <c r="A2109" t="s">
        <v>6578</v>
      </c>
      <c r="B2109" s="27" t="s">
        <v>2152</v>
      </c>
      <c r="D2109" s="28" t="s">
        <v>4013</v>
      </c>
      <c r="E2109" s="29" t="s">
        <v>563</v>
      </c>
      <c r="F2109" s="30">
        <v>1</v>
      </c>
      <c r="G2109" s="31">
        <v>187.5</v>
      </c>
      <c r="H2109" s="31">
        <f t="shared" si="151"/>
        <v>187.5</v>
      </c>
      <c r="I2109" s="170" t="s">
        <v>2842</v>
      </c>
      <c r="J2109" t="s">
        <v>2853</v>
      </c>
      <c r="K2109" s="188" t="s">
        <v>2853</v>
      </c>
    </row>
    <row r="2110" spans="1:11" x14ac:dyDescent="0.25">
      <c r="A2110" t="s">
        <v>6579</v>
      </c>
      <c r="B2110" s="27" t="s">
        <v>2153</v>
      </c>
      <c r="D2110" s="28" t="s">
        <v>4014</v>
      </c>
      <c r="E2110" s="29" t="s">
        <v>563</v>
      </c>
      <c r="F2110" s="30">
        <v>1</v>
      </c>
      <c r="G2110" s="31">
        <v>187.5</v>
      </c>
      <c r="H2110" s="31">
        <f t="shared" si="151"/>
        <v>187.5</v>
      </c>
      <c r="I2110" s="170" t="s">
        <v>2842</v>
      </c>
      <c r="J2110" t="s">
        <v>2853</v>
      </c>
      <c r="K2110" s="188" t="s">
        <v>2853</v>
      </c>
    </row>
    <row r="2111" spans="1:11" x14ac:dyDescent="0.25">
      <c r="A2111" t="s">
        <v>6580</v>
      </c>
      <c r="B2111" s="27" t="s">
        <v>2154</v>
      </c>
      <c r="D2111" s="28" t="s">
        <v>4015</v>
      </c>
      <c r="E2111" s="29" t="s">
        <v>671</v>
      </c>
      <c r="F2111" s="30">
        <v>1</v>
      </c>
      <c r="G2111" s="31">
        <v>187.5</v>
      </c>
      <c r="H2111" s="31">
        <f t="shared" si="151"/>
        <v>187.5</v>
      </c>
      <c r="I2111" s="170" t="s">
        <v>2842</v>
      </c>
      <c r="J2111" t="s">
        <v>2853</v>
      </c>
      <c r="K2111" s="188" t="s">
        <v>2853</v>
      </c>
    </row>
    <row r="2112" spans="1:11" x14ac:dyDescent="0.25">
      <c r="A2112" t="s">
        <v>6581</v>
      </c>
      <c r="B2112" s="27" t="s">
        <v>2155</v>
      </c>
      <c r="D2112" s="28" t="s">
        <v>4016</v>
      </c>
      <c r="E2112" s="29" t="s">
        <v>671</v>
      </c>
      <c r="F2112" s="30">
        <v>1</v>
      </c>
      <c r="G2112" s="31">
        <v>187.5</v>
      </c>
      <c r="H2112" s="31">
        <f t="shared" si="151"/>
        <v>187.5</v>
      </c>
      <c r="I2112" s="170" t="s">
        <v>2842</v>
      </c>
      <c r="J2112" t="s">
        <v>2853</v>
      </c>
      <c r="K2112" s="188" t="s">
        <v>2853</v>
      </c>
    </row>
    <row r="2113" spans="1:11" x14ac:dyDescent="0.25">
      <c r="A2113" t="s">
        <v>6582</v>
      </c>
      <c r="B2113" s="27" t="s">
        <v>2156</v>
      </c>
      <c r="D2113" s="28" t="s">
        <v>4017</v>
      </c>
      <c r="E2113" s="29" t="s">
        <v>671</v>
      </c>
      <c r="F2113" s="30">
        <v>1</v>
      </c>
      <c r="G2113" s="31">
        <v>187.5</v>
      </c>
      <c r="H2113" s="31">
        <f t="shared" si="151"/>
        <v>187.5</v>
      </c>
      <c r="I2113" s="170" t="s">
        <v>2842</v>
      </c>
      <c r="J2113" t="s">
        <v>2853</v>
      </c>
      <c r="K2113" s="188" t="s">
        <v>2853</v>
      </c>
    </row>
    <row r="2114" spans="1:11" x14ac:dyDescent="0.25">
      <c r="A2114" t="s">
        <v>6583</v>
      </c>
      <c r="B2114" s="27" t="s">
        <v>2157</v>
      </c>
      <c r="D2114" s="28" t="s">
        <v>4018</v>
      </c>
      <c r="E2114" s="29" t="s">
        <v>21</v>
      </c>
      <c r="F2114" s="30">
        <v>1</v>
      </c>
      <c r="G2114" s="31">
        <v>207.33</v>
      </c>
      <c r="H2114" s="31">
        <f t="shared" si="151"/>
        <v>207.33</v>
      </c>
      <c r="I2114" s="170" t="s">
        <v>2842</v>
      </c>
      <c r="J2114" t="s">
        <v>2853</v>
      </c>
      <c r="K2114" s="188" t="s">
        <v>2853</v>
      </c>
    </row>
    <row r="2115" spans="1:11" x14ac:dyDescent="0.25">
      <c r="A2115" t="s">
        <v>6584</v>
      </c>
      <c r="B2115" s="27" t="s">
        <v>2158</v>
      </c>
      <c r="D2115" s="28" t="s">
        <v>4019</v>
      </c>
      <c r="E2115" s="29" t="s">
        <v>21</v>
      </c>
      <c r="F2115" s="30">
        <v>1</v>
      </c>
      <c r="G2115" s="31">
        <v>207.33</v>
      </c>
      <c r="H2115" s="31">
        <f t="shared" si="151"/>
        <v>207.33</v>
      </c>
      <c r="I2115" s="170" t="s">
        <v>2842</v>
      </c>
      <c r="J2115" t="s">
        <v>2853</v>
      </c>
      <c r="K2115" s="188" t="s">
        <v>2853</v>
      </c>
    </row>
    <row r="2116" spans="1:11" x14ac:dyDescent="0.25">
      <c r="A2116" t="s">
        <v>6585</v>
      </c>
      <c r="B2116" s="27" t="s">
        <v>2159</v>
      </c>
      <c r="D2116" s="28" t="s">
        <v>4020</v>
      </c>
      <c r="E2116" s="29" t="s">
        <v>21</v>
      </c>
      <c r="F2116" s="30">
        <v>1</v>
      </c>
      <c r="G2116" s="31">
        <v>207.33</v>
      </c>
      <c r="H2116" s="31">
        <f t="shared" si="151"/>
        <v>207.33</v>
      </c>
      <c r="I2116" s="170" t="s">
        <v>2842</v>
      </c>
      <c r="J2116" t="s">
        <v>2853</v>
      </c>
      <c r="K2116" s="188" t="s">
        <v>2853</v>
      </c>
    </row>
    <row r="2117" spans="1:11" x14ac:dyDescent="0.25">
      <c r="A2117" t="s">
        <v>6586</v>
      </c>
      <c r="B2117" s="27" t="s">
        <v>2160</v>
      </c>
      <c r="D2117" s="28" t="s">
        <v>4021</v>
      </c>
      <c r="E2117" s="29" t="s">
        <v>563</v>
      </c>
      <c r="F2117" s="30">
        <v>1</v>
      </c>
      <c r="G2117" s="31">
        <v>207.33</v>
      </c>
      <c r="H2117" s="31">
        <f t="shared" si="151"/>
        <v>207.33</v>
      </c>
      <c r="I2117" s="170" t="s">
        <v>2842</v>
      </c>
      <c r="J2117" t="s">
        <v>2853</v>
      </c>
      <c r="K2117" s="188" t="s">
        <v>2853</v>
      </c>
    </row>
    <row r="2118" spans="1:11" x14ac:dyDescent="0.25">
      <c r="A2118" t="s">
        <v>6587</v>
      </c>
      <c r="B2118" s="27" t="s">
        <v>2161</v>
      </c>
      <c r="D2118" s="28" t="s">
        <v>4022</v>
      </c>
      <c r="E2118" s="29" t="s">
        <v>563</v>
      </c>
      <c r="F2118" s="30">
        <v>1</v>
      </c>
      <c r="G2118" s="31">
        <v>207.33</v>
      </c>
      <c r="H2118" s="31">
        <f t="shared" si="151"/>
        <v>207.33</v>
      </c>
      <c r="I2118" s="170" t="s">
        <v>2842</v>
      </c>
      <c r="J2118" t="s">
        <v>2853</v>
      </c>
      <c r="K2118" s="188" t="s">
        <v>2853</v>
      </c>
    </row>
    <row r="2119" spans="1:11" x14ac:dyDescent="0.25">
      <c r="A2119" t="s">
        <v>6588</v>
      </c>
      <c r="B2119" s="27" t="s">
        <v>2162</v>
      </c>
      <c r="D2119" s="28" t="s">
        <v>4023</v>
      </c>
      <c r="E2119" s="29" t="s">
        <v>563</v>
      </c>
      <c r="F2119" s="30">
        <v>1</v>
      </c>
      <c r="G2119" s="31">
        <v>207.33</v>
      </c>
      <c r="H2119" s="31">
        <f t="shared" si="151"/>
        <v>207.33</v>
      </c>
      <c r="I2119" s="170" t="s">
        <v>2842</v>
      </c>
      <c r="J2119" t="s">
        <v>2853</v>
      </c>
      <c r="K2119" s="188" t="s">
        <v>2853</v>
      </c>
    </row>
    <row r="2120" spans="1:11" x14ac:dyDescent="0.25">
      <c r="A2120" t="s">
        <v>6589</v>
      </c>
      <c r="B2120" s="27" t="s">
        <v>2163</v>
      </c>
      <c r="D2120" s="28" t="s">
        <v>4024</v>
      </c>
      <c r="E2120" s="29" t="s">
        <v>671</v>
      </c>
      <c r="F2120" s="30">
        <v>1</v>
      </c>
      <c r="G2120" s="31">
        <v>207.33</v>
      </c>
      <c r="H2120" s="31">
        <f t="shared" si="151"/>
        <v>207.33</v>
      </c>
      <c r="I2120" s="170" t="s">
        <v>2842</v>
      </c>
      <c r="J2120" t="s">
        <v>2853</v>
      </c>
      <c r="K2120" s="188" t="s">
        <v>2853</v>
      </c>
    </row>
    <row r="2121" spans="1:11" x14ac:dyDescent="0.25">
      <c r="A2121" t="s">
        <v>6590</v>
      </c>
      <c r="B2121" s="27" t="s">
        <v>2164</v>
      </c>
      <c r="D2121" s="28" t="s">
        <v>4025</v>
      </c>
      <c r="E2121" s="29" t="s">
        <v>671</v>
      </c>
      <c r="F2121" s="30">
        <v>1</v>
      </c>
      <c r="G2121" s="31">
        <v>207.33</v>
      </c>
      <c r="H2121" s="31">
        <f t="shared" si="151"/>
        <v>207.33</v>
      </c>
      <c r="I2121" s="170" t="s">
        <v>2842</v>
      </c>
      <c r="J2121" t="s">
        <v>2853</v>
      </c>
      <c r="K2121" s="188" t="s">
        <v>2853</v>
      </c>
    </row>
    <row r="2122" spans="1:11" x14ac:dyDescent="0.25">
      <c r="A2122" t="s">
        <v>6591</v>
      </c>
      <c r="B2122" s="27" t="s">
        <v>2165</v>
      </c>
      <c r="D2122" s="28" t="s">
        <v>4026</v>
      </c>
      <c r="E2122" s="29" t="s">
        <v>671</v>
      </c>
      <c r="F2122" s="30">
        <v>1</v>
      </c>
      <c r="G2122" s="31">
        <v>207.33</v>
      </c>
      <c r="H2122" s="31">
        <f t="shared" si="151"/>
        <v>207.33</v>
      </c>
      <c r="I2122" s="170" t="s">
        <v>2842</v>
      </c>
      <c r="J2122" t="s">
        <v>2853</v>
      </c>
      <c r="K2122" s="188" t="s">
        <v>2853</v>
      </c>
    </row>
    <row r="2123" spans="1:11" x14ac:dyDescent="0.25">
      <c r="A2123" t="s">
        <v>6592</v>
      </c>
      <c r="B2123" s="27" t="s">
        <v>2166</v>
      </c>
      <c r="D2123" s="28" t="s">
        <v>4027</v>
      </c>
      <c r="E2123" s="29" t="s">
        <v>21</v>
      </c>
      <c r="F2123" s="30">
        <v>1</v>
      </c>
      <c r="G2123" s="31">
        <v>233.78</v>
      </c>
      <c r="H2123" s="31">
        <f t="shared" si="151"/>
        <v>233.78</v>
      </c>
      <c r="I2123" s="170" t="s">
        <v>2842</v>
      </c>
      <c r="J2123" t="s">
        <v>2853</v>
      </c>
      <c r="K2123" s="188" t="s">
        <v>2853</v>
      </c>
    </row>
    <row r="2124" spans="1:11" x14ac:dyDescent="0.25">
      <c r="A2124" t="s">
        <v>6593</v>
      </c>
      <c r="B2124" s="27" t="s">
        <v>2167</v>
      </c>
      <c r="D2124" s="28" t="s">
        <v>4028</v>
      </c>
      <c r="E2124" s="29" t="s">
        <v>21</v>
      </c>
      <c r="F2124" s="30">
        <v>1</v>
      </c>
      <c r="G2124" s="31">
        <v>233.78</v>
      </c>
      <c r="H2124" s="31">
        <f t="shared" si="151"/>
        <v>233.78</v>
      </c>
      <c r="I2124" s="170" t="s">
        <v>2842</v>
      </c>
      <c r="J2124" t="s">
        <v>2853</v>
      </c>
      <c r="K2124" s="188" t="s">
        <v>2853</v>
      </c>
    </row>
    <row r="2125" spans="1:11" x14ac:dyDescent="0.25">
      <c r="A2125" t="s">
        <v>6594</v>
      </c>
      <c r="B2125" s="27" t="s">
        <v>2168</v>
      </c>
      <c r="D2125" s="28" t="s">
        <v>4029</v>
      </c>
      <c r="E2125" s="29" t="s">
        <v>21</v>
      </c>
      <c r="F2125" s="30">
        <v>1</v>
      </c>
      <c r="G2125" s="31">
        <v>233.78</v>
      </c>
      <c r="H2125" s="31">
        <f t="shared" si="151"/>
        <v>233.78</v>
      </c>
      <c r="I2125" s="170" t="s">
        <v>2842</v>
      </c>
      <c r="J2125" t="s">
        <v>2853</v>
      </c>
      <c r="K2125" s="188" t="s">
        <v>2853</v>
      </c>
    </row>
    <row r="2126" spans="1:11" x14ac:dyDescent="0.25">
      <c r="A2126" t="s">
        <v>6595</v>
      </c>
      <c r="B2126" s="27" t="s">
        <v>2169</v>
      </c>
      <c r="D2126" s="28" t="s">
        <v>4030</v>
      </c>
      <c r="E2126" s="29" t="s">
        <v>563</v>
      </c>
      <c r="F2126" s="30">
        <v>1</v>
      </c>
      <c r="G2126" s="31">
        <v>233.78</v>
      </c>
      <c r="H2126" s="31">
        <f t="shared" si="151"/>
        <v>233.78</v>
      </c>
      <c r="I2126" s="170" t="s">
        <v>2842</v>
      </c>
      <c r="J2126" t="s">
        <v>2853</v>
      </c>
      <c r="K2126" s="188" t="s">
        <v>2853</v>
      </c>
    </row>
    <row r="2127" spans="1:11" x14ac:dyDescent="0.25">
      <c r="A2127" t="s">
        <v>6596</v>
      </c>
      <c r="B2127" s="27" t="s">
        <v>2170</v>
      </c>
      <c r="D2127" s="28" t="s">
        <v>4031</v>
      </c>
      <c r="E2127" s="29" t="s">
        <v>563</v>
      </c>
      <c r="F2127" s="30">
        <v>1</v>
      </c>
      <c r="G2127" s="31">
        <v>233.78</v>
      </c>
      <c r="H2127" s="31">
        <f t="shared" si="151"/>
        <v>233.78</v>
      </c>
      <c r="I2127" s="170" t="s">
        <v>2842</v>
      </c>
      <c r="J2127" t="s">
        <v>2853</v>
      </c>
      <c r="K2127" s="188" t="s">
        <v>2853</v>
      </c>
    </row>
    <row r="2128" spans="1:11" x14ac:dyDescent="0.25">
      <c r="A2128" t="s">
        <v>6597</v>
      </c>
      <c r="B2128" s="27" t="s">
        <v>2171</v>
      </c>
      <c r="D2128" s="28" t="s">
        <v>4032</v>
      </c>
      <c r="E2128" s="29" t="s">
        <v>563</v>
      </c>
      <c r="F2128" s="30">
        <v>1</v>
      </c>
      <c r="G2128" s="31">
        <v>233.78</v>
      </c>
      <c r="H2128" s="31">
        <f t="shared" si="151"/>
        <v>233.78</v>
      </c>
      <c r="I2128" s="170" t="s">
        <v>2842</v>
      </c>
      <c r="J2128" t="s">
        <v>2853</v>
      </c>
      <c r="K2128" s="188" t="s">
        <v>2853</v>
      </c>
    </row>
    <row r="2129" spans="1:11" x14ac:dyDescent="0.25">
      <c r="A2129" t="s">
        <v>6598</v>
      </c>
      <c r="B2129" s="27" t="s">
        <v>2172</v>
      </c>
      <c r="D2129" s="28" t="s">
        <v>4033</v>
      </c>
      <c r="E2129" s="29" t="s">
        <v>671</v>
      </c>
      <c r="F2129" s="30">
        <v>1</v>
      </c>
      <c r="G2129" s="31">
        <v>233.78</v>
      </c>
      <c r="H2129" s="31">
        <f t="shared" si="151"/>
        <v>233.78</v>
      </c>
      <c r="I2129" s="170" t="s">
        <v>2842</v>
      </c>
      <c r="J2129" t="s">
        <v>2853</v>
      </c>
      <c r="K2129" s="188" t="s">
        <v>2853</v>
      </c>
    </row>
    <row r="2130" spans="1:11" x14ac:dyDescent="0.25">
      <c r="A2130" t="s">
        <v>6599</v>
      </c>
      <c r="B2130" s="27" t="s">
        <v>2173</v>
      </c>
      <c r="D2130" s="28" t="s">
        <v>4034</v>
      </c>
      <c r="E2130" s="29" t="s">
        <v>671</v>
      </c>
      <c r="F2130" s="30">
        <v>1</v>
      </c>
      <c r="G2130" s="31">
        <v>233.78</v>
      </c>
      <c r="H2130" s="31">
        <f t="shared" si="151"/>
        <v>233.78</v>
      </c>
      <c r="I2130" s="170" t="s">
        <v>2842</v>
      </c>
      <c r="J2130" t="s">
        <v>2853</v>
      </c>
      <c r="K2130" s="188" t="s">
        <v>2853</v>
      </c>
    </row>
    <row r="2131" spans="1:11" x14ac:dyDescent="0.25">
      <c r="A2131" t="s">
        <v>6600</v>
      </c>
      <c r="B2131" s="27" t="s">
        <v>2174</v>
      </c>
      <c r="D2131" s="28" t="s">
        <v>4035</v>
      </c>
      <c r="E2131" s="29" t="s">
        <v>671</v>
      </c>
      <c r="F2131" s="30">
        <v>1</v>
      </c>
      <c r="G2131" s="31">
        <v>233.78</v>
      </c>
      <c r="H2131" s="31">
        <f t="shared" si="151"/>
        <v>233.78</v>
      </c>
      <c r="I2131" s="170" t="s">
        <v>2842</v>
      </c>
      <c r="J2131" t="s">
        <v>2853</v>
      </c>
      <c r="K2131" s="188" t="s">
        <v>2853</v>
      </c>
    </row>
    <row r="2132" spans="1:11" x14ac:dyDescent="0.25">
      <c r="A2132" t="s">
        <v>6601</v>
      </c>
      <c r="B2132" s="27" t="s">
        <v>2175</v>
      </c>
      <c r="D2132" s="28" t="s">
        <v>4036</v>
      </c>
      <c r="E2132" s="29" t="s">
        <v>21</v>
      </c>
      <c r="F2132" s="30">
        <v>1</v>
      </c>
      <c r="G2132" s="31">
        <v>200.73</v>
      </c>
      <c r="H2132" s="31">
        <f t="shared" si="151"/>
        <v>200.73</v>
      </c>
      <c r="I2132" s="170" t="s">
        <v>2842</v>
      </c>
      <c r="J2132" t="s">
        <v>2853</v>
      </c>
      <c r="K2132" s="188" t="s">
        <v>2853</v>
      </c>
    </row>
    <row r="2133" spans="1:11" x14ac:dyDescent="0.25">
      <c r="A2133" t="s">
        <v>6602</v>
      </c>
      <c r="B2133" s="27" t="s">
        <v>2176</v>
      </c>
      <c r="D2133" s="28" t="s">
        <v>4037</v>
      </c>
      <c r="E2133" s="29" t="s">
        <v>21</v>
      </c>
      <c r="F2133" s="30">
        <v>1</v>
      </c>
      <c r="G2133" s="31">
        <v>200.73</v>
      </c>
      <c r="H2133" s="31">
        <f t="shared" si="151"/>
        <v>200.73</v>
      </c>
      <c r="I2133" s="170" t="s">
        <v>2842</v>
      </c>
      <c r="J2133" t="s">
        <v>2853</v>
      </c>
      <c r="K2133" s="188" t="s">
        <v>2853</v>
      </c>
    </row>
    <row r="2134" spans="1:11" x14ac:dyDescent="0.25">
      <c r="A2134" t="s">
        <v>6603</v>
      </c>
      <c r="B2134" s="27" t="s">
        <v>2177</v>
      </c>
      <c r="D2134" s="28" t="s">
        <v>4038</v>
      </c>
      <c r="E2134" s="29" t="s">
        <v>21</v>
      </c>
      <c r="F2134" s="30">
        <v>1</v>
      </c>
      <c r="G2134" s="31">
        <v>200.73</v>
      </c>
      <c r="H2134" s="31">
        <f t="shared" si="151"/>
        <v>200.73</v>
      </c>
      <c r="I2134" s="170" t="s">
        <v>2842</v>
      </c>
      <c r="J2134" t="s">
        <v>2853</v>
      </c>
      <c r="K2134" s="188" t="s">
        <v>2853</v>
      </c>
    </row>
    <row r="2135" spans="1:11" x14ac:dyDescent="0.25">
      <c r="A2135" t="s">
        <v>6604</v>
      </c>
      <c r="B2135" s="27" t="s">
        <v>2178</v>
      </c>
      <c r="D2135" s="28" t="s">
        <v>4039</v>
      </c>
      <c r="E2135" s="29" t="s">
        <v>563</v>
      </c>
      <c r="F2135" s="30">
        <v>1</v>
      </c>
      <c r="G2135" s="31">
        <v>200.73</v>
      </c>
      <c r="H2135" s="31">
        <f t="shared" si="151"/>
        <v>200.73</v>
      </c>
      <c r="I2135" s="170" t="s">
        <v>2842</v>
      </c>
      <c r="J2135" t="s">
        <v>2853</v>
      </c>
      <c r="K2135" s="188" t="s">
        <v>2853</v>
      </c>
    </row>
    <row r="2136" spans="1:11" x14ac:dyDescent="0.25">
      <c r="A2136" t="s">
        <v>6605</v>
      </c>
      <c r="B2136" s="27" t="s">
        <v>2179</v>
      </c>
      <c r="D2136" s="28" t="s">
        <v>4040</v>
      </c>
      <c r="E2136" s="29" t="s">
        <v>563</v>
      </c>
      <c r="F2136" s="30">
        <v>1</v>
      </c>
      <c r="G2136" s="31">
        <v>200.73</v>
      </c>
      <c r="H2136" s="31">
        <f t="shared" ref="H2136:H2199" si="152">+F2136*G2136</f>
        <v>200.73</v>
      </c>
      <c r="I2136" s="170" t="s">
        <v>2842</v>
      </c>
      <c r="J2136" t="s">
        <v>2853</v>
      </c>
      <c r="K2136" s="188" t="s">
        <v>2853</v>
      </c>
    </row>
    <row r="2137" spans="1:11" x14ac:dyDescent="0.25">
      <c r="A2137" t="s">
        <v>6606</v>
      </c>
      <c r="B2137" s="27" t="s">
        <v>2180</v>
      </c>
      <c r="D2137" s="28" t="s">
        <v>4041</v>
      </c>
      <c r="E2137" s="29" t="s">
        <v>563</v>
      </c>
      <c r="F2137" s="30">
        <v>1</v>
      </c>
      <c r="G2137" s="31">
        <v>200.73</v>
      </c>
      <c r="H2137" s="31">
        <f t="shared" si="152"/>
        <v>200.73</v>
      </c>
      <c r="I2137" s="170" t="s">
        <v>2842</v>
      </c>
      <c r="J2137" t="s">
        <v>2853</v>
      </c>
      <c r="K2137" s="188" t="s">
        <v>2853</v>
      </c>
    </row>
    <row r="2138" spans="1:11" x14ac:dyDescent="0.25">
      <c r="A2138" t="s">
        <v>6607</v>
      </c>
      <c r="B2138" s="27" t="s">
        <v>2181</v>
      </c>
      <c r="D2138" s="28" t="s">
        <v>4042</v>
      </c>
      <c r="E2138" s="29" t="s">
        <v>671</v>
      </c>
      <c r="F2138" s="30">
        <v>1</v>
      </c>
      <c r="G2138" s="31">
        <v>200.73</v>
      </c>
      <c r="H2138" s="31">
        <f t="shared" si="152"/>
        <v>200.73</v>
      </c>
      <c r="I2138" s="170" t="s">
        <v>2842</v>
      </c>
      <c r="J2138" t="s">
        <v>2853</v>
      </c>
      <c r="K2138" s="188" t="s">
        <v>2853</v>
      </c>
    </row>
    <row r="2139" spans="1:11" x14ac:dyDescent="0.25">
      <c r="A2139" t="s">
        <v>6608</v>
      </c>
      <c r="B2139" s="27" t="s">
        <v>2182</v>
      </c>
      <c r="D2139" s="28" t="s">
        <v>4043</v>
      </c>
      <c r="E2139" s="29" t="s">
        <v>671</v>
      </c>
      <c r="F2139" s="30">
        <v>1</v>
      </c>
      <c r="G2139" s="31">
        <v>200.73</v>
      </c>
      <c r="H2139" s="31">
        <f t="shared" si="152"/>
        <v>200.73</v>
      </c>
      <c r="I2139" s="170" t="s">
        <v>2842</v>
      </c>
      <c r="J2139" t="s">
        <v>2853</v>
      </c>
      <c r="K2139" s="188" t="s">
        <v>2853</v>
      </c>
    </row>
    <row r="2140" spans="1:11" x14ac:dyDescent="0.25">
      <c r="A2140" t="s">
        <v>6609</v>
      </c>
      <c r="B2140" s="27" t="s">
        <v>2183</v>
      </c>
      <c r="D2140" s="28" t="s">
        <v>4044</v>
      </c>
      <c r="E2140" s="29" t="s">
        <v>671</v>
      </c>
      <c r="F2140" s="30">
        <v>1</v>
      </c>
      <c r="G2140" s="31">
        <v>200.73</v>
      </c>
      <c r="H2140" s="31">
        <f t="shared" si="152"/>
        <v>200.73</v>
      </c>
      <c r="I2140" s="170" t="s">
        <v>2842</v>
      </c>
      <c r="J2140" t="s">
        <v>2853</v>
      </c>
      <c r="K2140" s="188" t="s">
        <v>2853</v>
      </c>
    </row>
    <row r="2141" spans="1:11" x14ac:dyDescent="0.25">
      <c r="A2141" t="s">
        <v>6610</v>
      </c>
      <c r="B2141" s="27" t="s">
        <v>2184</v>
      </c>
      <c r="D2141" s="28" t="s">
        <v>4045</v>
      </c>
      <c r="E2141" s="29" t="s">
        <v>21</v>
      </c>
      <c r="F2141" s="30">
        <v>1</v>
      </c>
      <c r="G2141" s="31">
        <v>240.39</v>
      </c>
      <c r="H2141" s="31">
        <f t="shared" si="152"/>
        <v>240.39</v>
      </c>
      <c r="I2141" s="170" t="s">
        <v>2842</v>
      </c>
      <c r="J2141" t="s">
        <v>2853</v>
      </c>
      <c r="K2141" s="188" t="s">
        <v>2853</v>
      </c>
    </row>
    <row r="2142" spans="1:11" x14ac:dyDescent="0.25">
      <c r="A2142" t="s">
        <v>6611</v>
      </c>
      <c r="B2142" s="27" t="s">
        <v>2185</v>
      </c>
      <c r="D2142" s="28" t="s">
        <v>4046</v>
      </c>
      <c r="E2142" s="29" t="s">
        <v>21</v>
      </c>
      <c r="F2142" s="30">
        <v>1</v>
      </c>
      <c r="G2142" s="31">
        <v>240.39</v>
      </c>
      <c r="H2142" s="31">
        <f t="shared" si="152"/>
        <v>240.39</v>
      </c>
      <c r="I2142" s="170" t="s">
        <v>2842</v>
      </c>
      <c r="J2142" t="s">
        <v>2853</v>
      </c>
      <c r="K2142" s="188" t="s">
        <v>2853</v>
      </c>
    </row>
    <row r="2143" spans="1:11" x14ac:dyDescent="0.25">
      <c r="A2143" t="s">
        <v>6612</v>
      </c>
      <c r="B2143" s="27" t="s">
        <v>2186</v>
      </c>
      <c r="D2143" s="28" t="s">
        <v>4047</v>
      </c>
      <c r="E2143" s="29" t="s">
        <v>21</v>
      </c>
      <c r="F2143" s="30">
        <v>1</v>
      </c>
      <c r="G2143" s="31">
        <v>240.39</v>
      </c>
      <c r="H2143" s="31">
        <f t="shared" si="152"/>
        <v>240.39</v>
      </c>
      <c r="I2143" s="170" t="s">
        <v>2842</v>
      </c>
      <c r="J2143" t="s">
        <v>2853</v>
      </c>
      <c r="K2143" s="188" t="s">
        <v>2853</v>
      </c>
    </row>
    <row r="2144" spans="1:11" x14ac:dyDescent="0.25">
      <c r="A2144" t="s">
        <v>6613</v>
      </c>
      <c r="B2144" s="27" t="s">
        <v>2187</v>
      </c>
      <c r="D2144" s="28" t="s">
        <v>4048</v>
      </c>
      <c r="E2144" s="29" t="s">
        <v>563</v>
      </c>
      <c r="F2144" s="30">
        <v>1</v>
      </c>
      <c r="G2144" s="31">
        <v>240.39</v>
      </c>
      <c r="H2144" s="31">
        <f t="shared" si="152"/>
        <v>240.39</v>
      </c>
      <c r="I2144" s="170" t="s">
        <v>2842</v>
      </c>
      <c r="J2144" t="s">
        <v>2853</v>
      </c>
      <c r="K2144" s="188" t="s">
        <v>2853</v>
      </c>
    </row>
    <row r="2145" spans="1:11" x14ac:dyDescent="0.25">
      <c r="A2145" t="s">
        <v>6614</v>
      </c>
      <c r="B2145" s="27" t="s">
        <v>2188</v>
      </c>
      <c r="D2145" s="28" t="s">
        <v>4049</v>
      </c>
      <c r="E2145" s="29" t="s">
        <v>563</v>
      </c>
      <c r="F2145" s="30">
        <v>1</v>
      </c>
      <c r="G2145" s="31">
        <v>240.39</v>
      </c>
      <c r="H2145" s="31">
        <f t="shared" si="152"/>
        <v>240.39</v>
      </c>
      <c r="I2145" s="170" t="s">
        <v>2842</v>
      </c>
      <c r="J2145" t="s">
        <v>2853</v>
      </c>
      <c r="K2145" s="188" t="s">
        <v>2853</v>
      </c>
    </row>
    <row r="2146" spans="1:11" x14ac:dyDescent="0.25">
      <c r="A2146" t="s">
        <v>6615</v>
      </c>
      <c r="B2146" s="27" t="s">
        <v>2189</v>
      </c>
      <c r="D2146" s="28" t="s">
        <v>4050</v>
      </c>
      <c r="E2146" s="29" t="s">
        <v>563</v>
      </c>
      <c r="F2146" s="30">
        <v>1</v>
      </c>
      <c r="G2146" s="31">
        <v>240.39</v>
      </c>
      <c r="H2146" s="31">
        <f t="shared" si="152"/>
        <v>240.39</v>
      </c>
      <c r="I2146" s="170" t="s">
        <v>2842</v>
      </c>
      <c r="J2146" t="s">
        <v>2853</v>
      </c>
      <c r="K2146" s="188" t="s">
        <v>2853</v>
      </c>
    </row>
    <row r="2147" spans="1:11" x14ac:dyDescent="0.25">
      <c r="A2147" t="s">
        <v>6616</v>
      </c>
      <c r="B2147" s="27" t="s">
        <v>2190</v>
      </c>
      <c r="D2147" s="28" t="s">
        <v>4051</v>
      </c>
      <c r="E2147" s="29" t="s">
        <v>671</v>
      </c>
      <c r="F2147" s="30">
        <v>1</v>
      </c>
      <c r="G2147" s="31">
        <v>240.39</v>
      </c>
      <c r="H2147" s="31">
        <f t="shared" si="152"/>
        <v>240.39</v>
      </c>
      <c r="I2147" s="170" t="s">
        <v>2842</v>
      </c>
      <c r="J2147" t="s">
        <v>2853</v>
      </c>
      <c r="K2147" s="188" t="s">
        <v>2853</v>
      </c>
    </row>
    <row r="2148" spans="1:11" x14ac:dyDescent="0.25">
      <c r="A2148" t="s">
        <v>6617</v>
      </c>
      <c r="B2148" s="27" t="s">
        <v>2191</v>
      </c>
      <c r="D2148" s="28" t="s">
        <v>4052</v>
      </c>
      <c r="E2148" s="29" t="s">
        <v>671</v>
      </c>
      <c r="F2148" s="30">
        <v>1</v>
      </c>
      <c r="G2148" s="31">
        <v>240.39</v>
      </c>
      <c r="H2148" s="31">
        <f t="shared" si="152"/>
        <v>240.39</v>
      </c>
      <c r="I2148" s="170" t="s">
        <v>2842</v>
      </c>
      <c r="J2148" t="s">
        <v>2853</v>
      </c>
      <c r="K2148" s="188" t="s">
        <v>2853</v>
      </c>
    </row>
    <row r="2149" spans="1:11" x14ac:dyDescent="0.25">
      <c r="A2149" t="s">
        <v>6618</v>
      </c>
      <c r="B2149" s="27" t="s">
        <v>2192</v>
      </c>
      <c r="D2149" s="28" t="s">
        <v>4053</v>
      </c>
      <c r="E2149" s="29" t="s">
        <v>671</v>
      </c>
      <c r="F2149" s="30">
        <v>1</v>
      </c>
      <c r="G2149" s="31">
        <v>240.39</v>
      </c>
      <c r="H2149" s="31">
        <f t="shared" si="152"/>
        <v>240.39</v>
      </c>
      <c r="I2149" s="170" t="s">
        <v>2842</v>
      </c>
      <c r="J2149" t="s">
        <v>2853</v>
      </c>
      <c r="K2149" s="188" t="s">
        <v>2853</v>
      </c>
    </row>
    <row r="2150" spans="1:11" x14ac:dyDescent="0.25">
      <c r="A2150" t="s">
        <v>6619</v>
      </c>
      <c r="B2150" s="27" t="s">
        <v>2193</v>
      </c>
      <c r="D2150" s="28" t="s">
        <v>4054</v>
      </c>
      <c r="E2150" s="29" t="s">
        <v>21</v>
      </c>
      <c r="F2150" s="30">
        <v>1</v>
      </c>
      <c r="G2150" s="31">
        <v>128.01</v>
      </c>
      <c r="H2150" s="31">
        <f t="shared" si="152"/>
        <v>128.01</v>
      </c>
      <c r="I2150" s="170" t="s">
        <v>2842</v>
      </c>
      <c r="J2150" t="s">
        <v>2853</v>
      </c>
      <c r="K2150" s="188" t="s">
        <v>2853</v>
      </c>
    </row>
    <row r="2151" spans="1:11" x14ac:dyDescent="0.25">
      <c r="A2151" t="s">
        <v>6620</v>
      </c>
      <c r="B2151" s="27" t="s">
        <v>2194</v>
      </c>
      <c r="D2151" s="28" t="s">
        <v>4055</v>
      </c>
      <c r="E2151" s="29" t="s">
        <v>21</v>
      </c>
      <c r="F2151" s="30">
        <v>1</v>
      </c>
      <c r="G2151" s="31">
        <v>128.01</v>
      </c>
      <c r="H2151" s="31">
        <f t="shared" si="152"/>
        <v>128.01</v>
      </c>
      <c r="I2151" s="170" t="s">
        <v>2842</v>
      </c>
      <c r="J2151" t="s">
        <v>2853</v>
      </c>
      <c r="K2151" s="188" t="s">
        <v>2853</v>
      </c>
    </row>
    <row r="2152" spans="1:11" x14ac:dyDescent="0.25">
      <c r="A2152" t="s">
        <v>6621</v>
      </c>
      <c r="B2152" s="27" t="s">
        <v>2195</v>
      </c>
      <c r="D2152" s="28" t="s">
        <v>4056</v>
      </c>
      <c r="E2152" s="29" t="s">
        <v>21</v>
      </c>
      <c r="F2152" s="30">
        <v>1</v>
      </c>
      <c r="G2152" s="31">
        <v>128.01</v>
      </c>
      <c r="H2152" s="31">
        <f t="shared" si="152"/>
        <v>128.01</v>
      </c>
      <c r="I2152" s="170" t="s">
        <v>2842</v>
      </c>
      <c r="J2152" t="s">
        <v>2853</v>
      </c>
      <c r="K2152" s="188" t="s">
        <v>2853</v>
      </c>
    </row>
    <row r="2153" spans="1:11" x14ac:dyDescent="0.25">
      <c r="A2153" t="s">
        <v>6622</v>
      </c>
      <c r="B2153" s="27" t="s">
        <v>2196</v>
      </c>
      <c r="D2153" s="28" t="s">
        <v>4057</v>
      </c>
      <c r="E2153" s="29" t="s">
        <v>563</v>
      </c>
      <c r="F2153" s="30">
        <v>1</v>
      </c>
      <c r="G2153" s="31">
        <v>128.01</v>
      </c>
      <c r="H2153" s="31">
        <f t="shared" si="152"/>
        <v>128.01</v>
      </c>
      <c r="I2153" s="170" t="s">
        <v>2842</v>
      </c>
      <c r="J2153" t="s">
        <v>2853</v>
      </c>
      <c r="K2153" s="188" t="s">
        <v>2853</v>
      </c>
    </row>
    <row r="2154" spans="1:11" x14ac:dyDescent="0.25">
      <c r="A2154" t="s">
        <v>6623</v>
      </c>
      <c r="B2154" s="27" t="s">
        <v>2197</v>
      </c>
      <c r="D2154" s="28" t="s">
        <v>4058</v>
      </c>
      <c r="E2154" s="29" t="s">
        <v>563</v>
      </c>
      <c r="F2154" s="30">
        <v>1</v>
      </c>
      <c r="G2154" s="31">
        <v>128.01</v>
      </c>
      <c r="H2154" s="31">
        <f t="shared" si="152"/>
        <v>128.01</v>
      </c>
      <c r="I2154" s="170" t="s">
        <v>2842</v>
      </c>
      <c r="J2154" t="s">
        <v>2853</v>
      </c>
      <c r="K2154" s="188" t="s">
        <v>2853</v>
      </c>
    </row>
    <row r="2155" spans="1:11" x14ac:dyDescent="0.25">
      <c r="A2155" t="s">
        <v>6624</v>
      </c>
      <c r="B2155" s="27" t="s">
        <v>2198</v>
      </c>
      <c r="D2155" s="28" t="s">
        <v>4059</v>
      </c>
      <c r="E2155" s="29" t="s">
        <v>563</v>
      </c>
      <c r="F2155" s="30">
        <v>1</v>
      </c>
      <c r="G2155" s="31">
        <v>128.01</v>
      </c>
      <c r="H2155" s="31">
        <f t="shared" si="152"/>
        <v>128.01</v>
      </c>
      <c r="I2155" s="170" t="s">
        <v>2842</v>
      </c>
      <c r="J2155" t="s">
        <v>2853</v>
      </c>
      <c r="K2155" s="188" t="s">
        <v>2853</v>
      </c>
    </row>
    <row r="2156" spans="1:11" x14ac:dyDescent="0.25">
      <c r="A2156" t="s">
        <v>6625</v>
      </c>
      <c r="B2156" s="27" t="s">
        <v>2199</v>
      </c>
      <c r="D2156" s="28" t="s">
        <v>4060</v>
      </c>
      <c r="E2156" s="29" t="s">
        <v>671</v>
      </c>
      <c r="F2156" s="30">
        <v>1</v>
      </c>
      <c r="G2156" s="31">
        <v>128.01</v>
      </c>
      <c r="H2156" s="31">
        <f t="shared" si="152"/>
        <v>128.01</v>
      </c>
      <c r="I2156" s="170" t="s">
        <v>2842</v>
      </c>
      <c r="J2156" t="s">
        <v>2853</v>
      </c>
      <c r="K2156" s="188" t="s">
        <v>2853</v>
      </c>
    </row>
    <row r="2157" spans="1:11" x14ac:dyDescent="0.25">
      <c r="A2157" t="s">
        <v>6626</v>
      </c>
      <c r="B2157" s="27" t="s">
        <v>2200</v>
      </c>
      <c r="D2157" s="28" t="s">
        <v>4061</v>
      </c>
      <c r="E2157" s="29" t="s">
        <v>671</v>
      </c>
      <c r="F2157" s="30">
        <v>1</v>
      </c>
      <c r="G2157" s="31">
        <v>128.01</v>
      </c>
      <c r="H2157" s="31">
        <f t="shared" si="152"/>
        <v>128.01</v>
      </c>
      <c r="I2157" s="170" t="s">
        <v>2842</v>
      </c>
      <c r="J2157" t="s">
        <v>2853</v>
      </c>
      <c r="K2157" s="188" t="s">
        <v>2853</v>
      </c>
    </row>
    <row r="2158" spans="1:11" x14ac:dyDescent="0.25">
      <c r="A2158" t="s">
        <v>6627</v>
      </c>
      <c r="B2158" s="27" t="s">
        <v>2201</v>
      </c>
      <c r="D2158" s="28" t="s">
        <v>4062</v>
      </c>
      <c r="E2158" s="29" t="s">
        <v>671</v>
      </c>
      <c r="F2158" s="30">
        <v>1</v>
      </c>
      <c r="G2158" s="31">
        <v>128.01</v>
      </c>
      <c r="H2158" s="31">
        <f t="shared" si="152"/>
        <v>128.01</v>
      </c>
      <c r="I2158" s="170" t="s">
        <v>2842</v>
      </c>
      <c r="J2158" t="s">
        <v>2853</v>
      </c>
      <c r="K2158" s="188" t="s">
        <v>2853</v>
      </c>
    </row>
    <row r="2159" spans="1:11" x14ac:dyDescent="0.25">
      <c r="A2159" t="s">
        <v>6628</v>
      </c>
      <c r="B2159" s="27" t="s">
        <v>2202</v>
      </c>
      <c r="D2159" s="28" t="s">
        <v>4063</v>
      </c>
      <c r="E2159" s="29" t="s">
        <v>21</v>
      </c>
      <c r="F2159" s="30">
        <v>1</v>
      </c>
      <c r="G2159" s="31">
        <v>147.84</v>
      </c>
      <c r="H2159" s="31">
        <f t="shared" si="152"/>
        <v>147.84</v>
      </c>
      <c r="I2159" s="170" t="s">
        <v>2842</v>
      </c>
      <c r="J2159" t="s">
        <v>2853</v>
      </c>
      <c r="K2159" s="188" t="s">
        <v>2853</v>
      </c>
    </row>
    <row r="2160" spans="1:11" x14ac:dyDescent="0.25">
      <c r="A2160" t="s">
        <v>6629</v>
      </c>
      <c r="B2160" s="27" t="s">
        <v>2203</v>
      </c>
      <c r="D2160" s="28" t="s">
        <v>4064</v>
      </c>
      <c r="E2160" s="29" t="s">
        <v>21</v>
      </c>
      <c r="F2160" s="30">
        <v>1</v>
      </c>
      <c r="G2160" s="31">
        <v>147.84</v>
      </c>
      <c r="H2160" s="31">
        <f t="shared" si="152"/>
        <v>147.84</v>
      </c>
      <c r="I2160" s="170" t="s">
        <v>2842</v>
      </c>
      <c r="J2160" t="s">
        <v>2853</v>
      </c>
      <c r="K2160" s="188" t="s">
        <v>2853</v>
      </c>
    </row>
    <row r="2161" spans="1:11" x14ac:dyDescent="0.25">
      <c r="A2161" t="s">
        <v>6630</v>
      </c>
      <c r="B2161" s="27" t="s">
        <v>2204</v>
      </c>
      <c r="D2161" s="28" t="s">
        <v>4065</v>
      </c>
      <c r="E2161" s="29" t="s">
        <v>21</v>
      </c>
      <c r="F2161" s="30">
        <v>1</v>
      </c>
      <c r="G2161" s="31">
        <v>147.84</v>
      </c>
      <c r="H2161" s="31">
        <f t="shared" si="152"/>
        <v>147.84</v>
      </c>
      <c r="I2161" s="170" t="s">
        <v>2842</v>
      </c>
      <c r="J2161" t="s">
        <v>2853</v>
      </c>
      <c r="K2161" s="188" t="s">
        <v>2853</v>
      </c>
    </row>
    <row r="2162" spans="1:11" x14ac:dyDescent="0.25">
      <c r="A2162" t="s">
        <v>6631</v>
      </c>
      <c r="B2162" s="27" t="s">
        <v>2205</v>
      </c>
      <c r="D2162" s="28" t="s">
        <v>4066</v>
      </c>
      <c r="E2162" s="29" t="s">
        <v>563</v>
      </c>
      <c r="F2162" s="30">
        <v>1</v>
      </c>
      <c r="G2162" s="31">
        <v>147.84</v>
      </c>
      <c r="H2162" s="31">
        <f t="shared" si="152"/>
        <v>147.84</v>
      </c>
      <c r="I2162" s="170" t="s">
        <v>2842</v>
      </c>
      <c r="J2162" t="s">
        <v>2853</v>
      </c>
      <c r="K2162" s="188" t="s">
        <v>2853</v>
      </c>
    </row>
    <row r="2163" spans="1:11" x14ac:dyDescent="0.25">
      <c r="A2163" t="s">
        <v>6632</v>
      </c>
      <c r="B2163" s="27" t="s">
        <v>2206</v>
      </c>
      <c r="D2163" s="28" t="s">
        <v>4067</v>
      </c>
      <c r="E2163" s="29" t="s">
        <v>563</v>
      </c>
      <c r="F2163" s="30">
        <v>1</v>
      </c>
      <c r="G2163" s="31">
        <v>147.84</v>
      </c>
      <c r="H2163" s="31">
        <f t="shared" si="152"/>
        <v>147.84</v>
      </c>
      <c r="I2163" s="170" t="s">
        <v>2842</v>
      </c>
      <c r="J2163" t="s">
        <v>2853</v>
      </c>
      <c r="K2163" s="188" t="s">
        <v>2853</v>
      </c>
    </row>
    <row r="2164" spans="1:11" x14ac:dyDescent="0.25">
      <c r="A2164" t="s">
        <v>6633</v>
      </c>
      <c r="B2164" s="27" t="s">
        <v>2207</v>
      </c>
      <c r="D2164" s="28" t="s">
        <v>4068</v>
      </c>
      <c r="E2164" s="29" t="s">
        <v>563</v>
      </c>
      <c r="F2164" s="30">
        <v>1</v>
      </c>
      <c r="G2164" s="31">
        <v>147.84</v>
      </c>
      <c r="H2164" s="31">
        <f t="shared" si="152"/>
        <v>147.84</v>
      </c>
      <c r="I2164" s="170" t="s">
        <v>2842</v>
      </c>
      <c r="J2164" t="s">
        <v>2853</v>
      </c>
      <c r="K2164" s="188" t="s">
        <v>2853</v>
      </c>
    </row>
    <row r="2165" spans="1:11" x14ac:dyDescent="0.25">
      <c r="A2165" t="s">
        <v>6634</v>
      </c>
      <c r="B2165" s="27" t="s">
        <v>2208</v>
      </c>
      <c r="D2165" s="28" t="s">
        <v>4069</v>
      </c>
      <c r="E2165" s="29" t="s">
        <v>671</v>
      </c>
      <c r="F2165" s="30">
        <v>1</v>
      </c>
      <c r="G2165" s="31">
        <v>147.84</v>
      </c>
      <c r="H2165" s="31">
        <f t="shared" si="152"/>
        <v>147.84</v>
      </c>
      <c r="I2165" s="170" t="s">
        <v>2842</v>
      </c>
      <c r="J2165" t="s">
        <v>2853</v>
      </c>
      <c r="K2165" s="188" t="s">
        <v>2853</v>
      </c>
    </row>
    <row r="2166" spans="1:11" x14ac:dyDescent="0.25">
      <c r="A2166" t="s">
        <v>6635</v>
      </c>
      <c r="B2166" s="27" t="s">
        <v>2209</v>
      </c>
      <c r="D2166" s="28" t="s">
        <v>4070</v>
      </c>
      <c r="E2166" s="29" t="s">
        <v>671</v>
      </c>
      <c r="F2166" s="30">
        <v>1</v>
      </c>
      <c r="G2166" s="31">
        <v>147.84</v>
      </c>
      <c r="H2166" s="31">
        <f t="shared" si="152"/>
        <v>147.84</v>
      </c>
      <c r="I2166" s="170" t="s">
        <v>2842</v>
      </c>
      <c r="J2166" t="s">
        <v>2853</v>
      </c>
      <c r="K2166" s="188" t="s">
        <v>2853</v>
      </c>
    </row>
    <row r="2167" spans="1:11" x14ac:dyDescent="0.25">
      <c r="A2167" t="s">
        <v>6636</v>
      </c>
      <c r="B2167" s="27" t="s">
        <v>2210</v>
      </c>
      <c r="D2167" s="28" t="s">
        <v>4071</v>
      </c>
      <c r="E2167" s="29" t="s">
        <v>671</v>
      </c>
      <c r="F2167" s="30">
        <v>1</v>
      </c>
      <c r="G2167" s="31">
        <v>147.84</v>
      </c>
      <c r="H2167" s="31">
        <f t="shared" si="152"/>
        <v>147.84</v>
      </c>
      <c r="I2167" s="170" t="s">
        <v>2842</v>
      </c>
      <c r="J2167" t="s">
        <v>2853</v>
      </c>
      <c r="K2167" s="188" t="s">
        <v>2853</v>
      </c>
    </row>
    <row r="2168" spans="1:11" x14ac:dyDescent="0.25">
      <c r="A2168" t="s">
        <v>6637</v>
      </c>
      <c r="B2168" s="27" t="s">
        <v>2211</v>
      </c>
      <c r="D2168" s="28" t="s">
        <v>4072</v>
      </c>
      <c r="E2168" s="29" t="s">
        <v>21</v>
      </c>
      <c r="F2168" s="30">
        <v>1</v>
      </c>
      <c r="G2168" s="31">
        <v>161.07</v>
      </c>
      <c r="H2168" s="31">
        <f t="shared" si="152"/>
        <v>161.07</v>
      </c>
      <c r="I2168" s="170" t="s">
        <v>2842</v>
      </c>
      <c r="J2168" t="s">
        <v>2853</v>
      </c>
      <c r="K2168" s="188" t="s">
        <v>2853</v>
      </c>
    </row>
    <row r="2169" spans="1:11" x14ac:dyDescent="0.25">
      <c r="A2169" t="s">
        <v>6638</v>
      </c>
      <c r="B2169" s="27" t="s">
        <v>2212</v>
      </c>
      <c r="D2169" s="28" t="s">
        <v>4073</v>
      </c>
      <c r="E2169" s="29" t="s">
        <v>21</v>
      </c>
      <c r="F2169" s="30">
        <v>1</v>
      </c>
      <c r="G2169" s="31">
        <v>161.07</v>
      </c>
      <c r="H2169" s="31">
        <f t="shared" si="152"/>
        <v>161.07</v>
      </c>
      <c r="I2169" s="170" t="s">
        <v>2842</v>
      </c>
      <c r="J2169" t="s">
        <v>2853</v>
      </c>
      <c r="K2169" s="188" t="s">
        <v>2853</v>
      </c>
    </row>
    <row r="2170" spans="1:11" x14ac:dyDescent="0.25">
      <c r="A2170" t="s">
        <v>6639</v>
      </c>
      <c r="B2170" s="27" t="s">
        <v>2213</v>
      </c>
      <c r="D2170" s="28" t="s">
        <v>4074</v>
      </c>
      <c r="E2170" s="29" t="s">
        <v>21</v>
      </c>
      <c r="F2170" s="30">
        <v>1</v>
      </c>
      <c r="G2170" s="31">
        <v>161.07</v>
      </c>
      <c r="H2170" s="31">
        <f t="shared" si="152"/>
        <v>161.07</v>
      </c>
      <c r="I2170" s="170" t="s">
        <v>2842</v>
      </c>
      <c r="J2170" t="s">
        <v>2853</v>
      </c>
      <c r="K2170" s="188" t="s">
        <v>2853</v>
      </c>
    </row>
    <row r="2171" spans="1:11" x14ac:dyDescent="0.25">
      <c r="A2171" t="s">
        <v>6640</v>
      </c>
      <c r="B2171" s="27" t="s">
        <v>2214</v>
      </c>
      <c r="D2171" s="28" t="s">
        <v>4075</v>
      </c>
      <c r="E2171" s="29" t="s">
        <v>563</v>
      </c>
      <c r="F2171" s="30">
        <v>1</v>
      </c>
      <c r="G2171" s="31">
        <v>161.07</v>
      </c>
      <c r="H2171" s="31">
        <f t="shared" si="152"/>
        <v>161.07</v>
      </c>
      <c r="I2171" s="170" t="s">
        <v>2842</v>
      </c>
      <c r="J2171" t="s">
        <v>2853</v>
      </c>
      <c r="K2171" s="188" t="s">
        <v>2853</v>
      </c>
    </row>
    <row r="2172" spans="1:11" x14ac:dyDescent="0.25">
      <c r="A2172" t="s">
        <v>6641</v>
      </c>
      <c r="B2172" s="27" t="s">
        <v>2215</v>
      </c>
      <c r="D2172" s="28" t="s">
        <v>4076</v>
      </c>
      <c r="E2172" s="29" t="s">
        <v>563</v>
      </c>
      <c r="F2172" s="30">
        <v>1</v>
      </c>
      <c r="G2172" s="31">
        <v>161.07</v>
      </c>
      <c r="H2172" s="31">
        <f t="shared" si="152"/>
        <v>161.07</v>
      </c>
      <c r="I2172" s="170" t="s">
        <v>2842</v>
      </c>
      <c r="J2172" t="s">
        <v>2853</v>
      </c>
      <c r="K2172" s="188" t="s">
        <v>2853</v>
      </c>
    </row>
    <row r="2173" spans="1:11" x14ac:dyDescent="0.25">
      <c r="A2173" t="s">
        <v>6642</v>
      </c>
      <c r="B2173" s="27" t="s">
        <v>2216</v>
      </c>
      <c r="D2173" s="28" t="s">
        <v>4077</v>
      </c>
      <c r="E2173" s="29" t="s">
        <v>563</v>
      </c>
      <c r="F2173" s="30">
        <v>1</v>
      </c>
      <c r="G2173" s="31">
        <v>161.07</v>
      </c>
      <c r="H2173" s="31">
        <f t="shared" si="152"/>
        <v>161.07</v>
      </c>
      <c r="I2173" s="170" t="s">
        <v>2842</v>
      </c>
      <c r="J2173" t="s">
        <v>2853</v>
      </c>
      <c r="K2173" s="188" t="s">
        <v>2853</v>
      </c>
    </row>
    <row r="2174" spans="1:11" x14ac:dyDescent="0.25">
      <c r="A2174" t="s">
        <v>6643</v>
      </c>
      <c r="B2174" s="27" t="s">
        <v>2217</v>
      </c>
      <c r="D2174" s="28" t="s">
        <v>4078</v>
      </c>
      <c r="E2174" s="29" t="s">
        <v>671</v>
      </c>
      <c r="F2174" s="30">
        <v>1</v>
      </c>
      <c r="G2174" s="31">
        <v>161.07</v>
      </c>
      <c r="H2174" s="31">
        <f t="shared" si="152"/>
        <v>161.07</v>
      </c>
      <c r="I2174" s="170" t="s">
        <v>2842</v>
      </c>
      <c r="J2174" t="s">
        <v>2853</v>
      </c>
      <c r="K2174" s="188" t="s">
        <v>2853</v>
      </c>
    </row>
    <row r="2175" spans="1:11" x14ac:dyDescent="0.25">
      <c r="A2175" t="s">
        <v>6644</v>
      </c>
      <c r="B2175" s="27" t="s">
        <v>2218</v>
      </c>
      <c r="D2175" s="28" t="s">
        <v>4079</v>
      </c>
      <c r="E2175" s="29" t="s">
        <v>671</v>
      </c>
      <c r="F2175" s="30">
        <v>1</v>
      </c>
      <c r="G2175" s="31">
        <v>161.07</v>
      </c>
      <c r="H2175" s="31">
        <f t="shared" si="152"/>
        <v>161.07</v>
      </c>
      <c r="I2175" s="170" t="s">
        <v>2842</v>
      </c>
      <c r="J2175" t="s">
        <v>2853</v>
      </c>
      <c r="K2175" s="188" t="s">
        <v>2853</v>
      </c>
    </row>
    <row r="2176" spans="1:11" x14ac:dyDescent="0.25">
      <c r="A2176" t="s">
        <v>6645</v>
      </c>
      <c r="B2176" s="27" t="s">
        <v>2219</v>
      </c>
      <c r="D2176" s="28" t="s">
        <v>4080</v>
      </c>
      <c r="E2176" s="29" t="s">
        <v>671</v>
      </c>
      <c r="F2176" s="30">
        <v>1</v>
      </c>
      <c r="G2176" s="31">
        <v>161.07</v>
      </c>
      <c r="H2176" s="31">
        <f t="shared" si="152"/>
        <v>161.07</v>
      </c>
      <c r="I2176" s="170" t="s">
        <v>2842</v>
      </c>
      <c r="J2176" t="s">
        <v>2853</v>
      </c>
      <c r="K2176" s="188" t="s">
        <v>2853</v>
      </c>
    </row>
    <row r="2177" spans="1:11" x14ac:dyDescent="0.25">
      <c r="A2177" t="s">
        <v>6646</v>
      </c>
      <c r="B2177" s="27" t="s">
        <v>2220</v>
      </c>
      <c r="D2177" s="28" t="s">
        <v>4081</v>
      </c>
      <c r="E2177" s="29" t="s">
        <v>21</v>
      </c>
      <c r="F2177" s="30">
        <v>1</v>
      </c>
      <c r="G2177" s="31">
        <v>180.89</v>
      </c>
      <c r="H2177" s="31">
        <f t="shared" si="152"/>
        <v>180.89</v>
      </c>
      <c r="I2177" s="170" t="s">
        <v>2842</v>
      </c>
      <c r="J2177" t="s">
        <v>2853</v>
      </c>
      <c r="K2177" s="188" t="s">
        <v>2853</v>
      </c>
    </row>
    <row r="2178" spans="1:11" x14ac:dyDescent="0.25">
      <c r="A2178" t="s">
        <v>6647</v>
      </c>
      <c r="B2178" s="27" t="s">
        <v>2221</v>
      </c>
      <c r="D2178" s="28" t="s">
        <v>4082</v>
      </c>
      <c r="E2178" s="29" t="s">
        <v>21</v>
      </c>
      <c r="F2178" s="30">
        <v>1</v>
      </c>
      <c r="G2178" s="31">
        <v>180.89</v>
      </c>
      <c r="H2178" s="31">
        <f t="shared" si="152"/>
        <v>180.89</v>
      </c>
      <c r="I2178" s="170" t="s">
        <v>2842</v>
      </c>
      <c r="J2178" t="s">
        <v>2853</v>
      </c>
      <c r="K2178" s="188" t="s">
        <v>2853</v>
      </c>
    </row>
    <row r="2179" spans="1:11" x14ac:dyDescent="0.25">
      <c r="A2179" t="s">
        <v>6648</v>
      </c>
      <c r="B2179" s="27" t="s">
        <v>2222</v>
      </c>
      <c r="D2179" s="28" t="s">
        <v>4083</v>
      </c>
      <c r="E2179" s="29" t="s">
        <v>21</v>
      </c>
      <c r="F2179" s="30">
        <v>1</v>
      </c>
      <c r="G2179" s="31">
        <v>180.89</v>
      </c>
      <c r="H2179" s="31">
        <f t="shared" si="152"/>
        <v>180.89</v>
      </c>
      <c r="I2179" s="170" t="s">
        <v>2842</v>
      </c>
      <c r="J2179" t="s">
        <v>2853</v>
      </c>
      <c r="K2179" s="188" t="s">
        <v>2853</v>
      </c>
    </row>
    <row r="2180" spans="1:11" x14ac:dyDescent="0.25">
      <c r="A2180" t="s">
        <v>6649</v>
      </c>
      <c r="B2180" s="27" t="s">
        <v>2223</v>
      </c>
      <c r="D2180" s="28" t="s">
        <v>4084</v>
      </c>
      <c r="E2180" s="29" t="s">
        <v>563</v>
      </c>
      <c r="F2180" s="30">
        <v>1</v>
      </c>
      <c r="G2180" s="31">
        <v>180.89</v>
      </c>
      <c r="H2180" s="31">
        <f t="shared" si="152"/>
        <v>180.89</v>
      </c>
      <c r="I2180" s="170" t="s">
        <v>2842</v>
      </c>
      <c r="J2180" t="s">
        <v>2853</v>
      </c>
      <c r="K2180" s="188" t="s">
        <v>2853</v>
      </c>
    </row>
    <row r="2181" spans="1:11" x14ac:dyDescent="0.25">
      <c r="A2181" t="s">
        <v>6650</v>
      </c>
      <c r="B2181" s="27" t="s">
        <v>2224</v>
      </c>
      <c r="D2181" s="28" t="s">
        <v>4085</v>
      </c>
      <c r="E2181" s="29" t="s">
        <v>563</v>
      </c>
      <c r="F2181" s="30">
        <v>1</v>
      </c>
      <c r="G2181" s="31">
        <v>180.89</v>
      </c>
      <c r="H2181" s="31">
        <f t="shared" si="152"/>
        <v>180.89</v>
      </c>
      <c r="I2181" s="170" t="s">
        <v>2842</v>
      </c>
      <c r="J2181" t="s">
        <v>2853</v>
      </c>
      <c r="K2181" s="188" t="s">
        <v>2853</v>
      </c>
    </row>
    <row r="2182" spans="1:11" x14ac:dyDescent="0.25">
      <c r="A2182" t="s">
        <v>6651</v>
      </c>
      <c r="B2182" s="27" t="s">
        <v>2225</v>
      </c>
      <c r="D2182" s="28" t="s">
        <v>4086</v>
      </c>
      <c r="E2182" s="29" t="s">
        <v>563</v>
      </c>
      <c r="F2182" s="30">
        <v>1</v>
      </c>
      <c r="G2182" s="31">
        <v>180.89</v>
      </c>
      <c r="H2182" s="31">
        <f t="shared" si="152"/>
        <v>180.89</v>
      </c>
      <c r="I2182" s="170" t="s">
        <v>2842</v>
      </c>
      <c r="J2182" t="s">
        <v>2853</v>
      </c>
      <c r="K2182" s="188" t="s">
        <v>2853</v>
      </c>
    </row>
    <row r="2183" spans="1:11" x14ac:dyDescent="0.25">
      <c r="A2183" t="s">
        <v>6652</v>
      </c>
      <c r="B2183" s="27" t="s">
        <v>2226</v>
      </c>
      <c r="D2183" s="28" t="s">
        <v>4087</v>
      </c>
      <c r="E2183" s="29" t="s">
        <v>671</v>
      </c>
      <c r="F2183" s="30">
        <v>1</v>
      </c>
      <c r="G2183" s="31">
        <v>180.89</v>
      </c>
      <c r="H2183" s="31">
        <f t="shared" si="152"/>
        <v>180.89</v>
      </c>
      <c r="I2183" s="170" t="s">
        <v>2842</v>
      </c>
      <c r="J2183" t="s">
        <v>2853</v>
      </c>
      <c r="K2183" s="188" t="s">
        <v>2853</v>
      </c>
    </row>
    <row r="2184" spans="1:11" x14ac:dyDescent="0.25">
      <c r="A2184" t="s">
        <v>6653</v>
      </c>
      <c r="B2184" s="27" t="s">
        <v>2227</v>
      </c>
      <c r="D2184" s="28" t="s">
        <v>4088</v>
      </c>
      <c r="E2184" s="29" t="s">
        <v>671</v>
      </c>
      <c r="F2184" s="30">
        <v>1</v>
      </c>
      <c r="G2184" s="31">
        <v>180.89</v>
      </c>
      <c r="H2184" s="31">
        <f t="shared" si="152"/>
        <v>180.89</v>
      </c>
      <c r="I2184" s="170" t="s">
        <v>2842</v>
      </c>
      <c r="J2184" t="s">
        <v>2853</v>
      </c>
      <c r="K2184" s="188" t="s">
        <v>2853</v>
      </c>
    </row>
    <row r="2185" spans="1:11" x14ac:dyDescent="0.25">
      <c r="A2185" t="s">
        <v>6654</v>
      </c>
      <c r="B2185" s="27" t="s">
        <v>2228</v>
      </c>
      <c r="D2185" s="28" t="s">
        <v>4089</v>
      </c>
      <c r="E2185" s="29" t="s">
        <v>671</v>
      </c>
      <c r="F2185" s="30">
        <v>1</v>
      </c>
      <c r="G2185" s="31">
        <v>180.89</v>
      </c>
      <c r="H2185" s="31">
        <f t="shared" si="152"/>
        <v>180.89</v>
      </c>
      <c r="I2185" s="170" t="s">
        <v>2842</v>
      </c>
      <c r="J2185" t="s">
        <v>2853</v>
      </c>
      <c r="K2185" s="188" t="s">
        <v>2853</v>
      </c>
    </row>
    <row r="2186" spans="1:11" x14ac:dyDescent="0.25">
      <c r="A2186" t="s">
        <v>6655</v>
      </c>
      <c r="B2186" s="27" t="s">
        <v>2229</v>
      </c>
      <c r="D2186" s="28" t="s">
        <v>4090</v>
      </c>
      <c r="E2186" s="29" t="s">
        <v>21</v>
      </c>
      <c r="F2186" s="30">
        <v>1</v>
      </c>
      <c r="G2186" s="31">
        <v>161.07</v>
      </c>
      <c r="H2186" s="31">
        <f t="shared" si="152"/>
        <v>161.07</v>
      </c>
      <c r="I2186" s="170" t="s">
        <v>2842</v>
      </c>
      <c r="J2186" t="s">
        <v>2853</v>
      </c>
      <c r="K2186" s="188" t="s">
        <v>2853</v>
      </c>
    </row>
    <row r="2187" spans="1:11" x14ac:dyDescent="0.25">
      <c r="A2187" t="s">
        <v>6656</v>
      </c>
      <c r="B2187" s="27" t="s">
        <v>2230</v>
      </c>
      <c r="D2187" s="28" t="s">
        <v>4091</v>
      </c>
      <c r="E2187" s="29" t="s">
        <v>21</v>
      </c>
      <c r="F2187" s="30">
        <v>1</v>
      </c>
      <c r="G2187" s="31">
        <v>161.07</v>
      </c>
      <c r="H2187" s="31">
        <f t="shared" si="152"/>
        <v>161.07</v>
      </c>
      <c r="I2187" s="170" t="s">
        <v>2842</v>
      </c>
      <c r="J2187" t="s">
        <v>2853</v>
      </c>
      <c r="K2187" s="188" t="s">
        <v>2853</v>
      </c>
    </row>
    <row r="2188" spans="1:11" x14ac:dyDescent="0.25">
      <c r="A2188" t="s">
        <v>6657</v>
      </c>
      <c r="B2188" s="27" t="s">
        <v>2231</v>
      </c>
      <c r="D2188" s="28" t="s">
        <v>4092</v>
      </c>
      <c r="E2188" s="29" t="s">
        <v>21</v>
      </c>
      <c r="F2188" s="30">
        <v>1</v>
      </c>
      <c r="G2188" s="31">
        <v>161.07</v>
      </c>
      <c r="H2188" s="31">
        <f t="shared" si="152"/>
        <v>161.07</v>
      </c>
      <c r="I2188" s="170" t="s">
        <v>2842</v>
      </c>
      <c r="J2188" t="s">
        <v>2853</v>
      </c>
      <c r="K2188" s="188" t="s">
        <v>2853</v>
      </c>
    </row>
    <row r="2189" spans="1:11" x14ac:dyDescent="0.25">
      <c r="A2189" t="s">
        <v>6658</v>
      </c>
      <c r="B2189" s="27" t="s">
        <v>2232</v>
      </c>
      <c r="D2189" s="28" t="s">
        <v>4093</v>
      </c>
      <c r="E2189" s="29" t="s">
        <v>563</v>
      </c>
      <c r="F2189" s="30">
        <v>1</v>
      </c>
      <c r="G2189" s="31">
        <v>161.07</v>
      </c>
      <c r="H2189" s="31">
        <f t="shared" si="152"/>
        <v>161.07</v>
      </c>
      <c r="I2189" s="170" t="s">
        <v>2842</v>
      </c>
      <c r="J2189" t="s">
        <v>2853</v>
      </c>
      <c r="K2189" s="188" t="s">
        <v>2853</v>
      </c>
    </row>
    <row r="2190" spans="1:11" x14ac:dyDescent="0.25">
      <c r="A2190" t="s">
        <v>6659</v>
      </c>
      <c r="B2190" s="27" t="s">
        <v>2233</v>
      </c>
      <c r="D2190" s="28" t="s">
        <v>4094</v>
      </c>
      <c r="E2190" s="29" t="s">
        <v>563</v>
      </c>
      <c r="F2190" s="30">
        <v>1</v>
      </c>
      <c r="G2190" s="31">
        <v>161.07</v>
      </c>
      <c r="H2190" s="31">
        <f t="shared" si="152"/>
        <v>161.07</v>
      </c>
      <c r="I2190" s="170" t="s">
        <v>2842</v>
      </c>
      <c r="J2190" t="s">
        <v>2853</v>
      </c>
      <c r="K2190" s="188" t="s">
        <v>2853</v>
      </c>
    </row>
    <row r="2191" spans="1:11" x14ac:dyDescent="0.25">
      <c r="A2191" t="s">
        <v>6660</v>
      </c>
      <c r="B2191" s="27" t="s">
        <v>2234</v>
      </c>
      <c r="D2191" s="28" t="s">
        <v>4095</v>
      </c>
      <c r="E2191" s="29" t="s">
        <v>563</v>
      </c>
      <c r="F2191" s="30">
        <v>1</v>
      </c>
      <c r="G2191" s="31">
        <v>161.07</v>
      </c>
      <c r="H2191" s="31">
        <f t="shared" si="152"/>
        <v>161.07</v>
      </c>
      <c r="I2191" s="170" t="s">
        <v>2842</v>
      </c>
      <c r="J2191" t="s">
        <v>2853</v>
      </c>
      <c r="K2191" s="188" t="s">
        <v>2853</v>
      </c>
    </row>
    <row r="2192" spans="1:11" x14ac:dyDescent="0.25">
      <c r="A2192" t="s">
        <v>6661</v>
      </c>
      <c r="B2192" s="27" t="s">
        <v>2235</v>
      </c>
      <c r="D2192" s="28" t="s">
        <v>4096</v>
      </c>
      <c r="E2192" s="29" t="s">
        <v>671</v>
      </c>
      <c r="F2192" s="30">
        <v>1</v>
      </c>
      <c r="G2192" s="31">
        <v>161.07</v>
      </c>
      <c r="H2192" s="31">
        <f t="shared" si="152"/>
        <v>161.07</v>
      </c>
      <c r="I2192" s="170" t="s">
        <v>2842</v>
      </c>
      <c r="J2192" t="s">
        <v>2853</v>
      </c>
      <c r="K2192" s="188" t="s">
        <v>2853</v>
      </c>
    </row>
    <row r="2193" spans="1:11" x14ac:dyDescent="0.25">
      <c r="A2193" t="s">
        <v>6662</v>
      </c>
      <c r="B2193" s="27" t="s">
        <v>2236</v>
      </c>
      <c r="D2193" s="28" t="s">
        <v>4097</v>
      </c>
      <c r="E2193" s="29" t="s">
        <v>671</v>
      </c>
      <c r="F2193" s="30">
        <v>1</v>
      </c>
      <c r="G2193" s="31">
        <v>161.07</v>
      </c>
      <c r="H2193" s="31">
        <f t="shared" si="152"/>
        <v>161.07</v>
      </c>
      <c r="I2193" s="170" t="s">
        <v>2842</v>
      </c>
      <c r="J2193" t="s">
        <v>2853</v>
      </c>
      <c r="K2193" s="188" t="s">
        <v>2853</v>
      </c>
    </row>
    <row r="2194" spans="1:11" x14ac:dyDescent="0.25">
      <c r="A2194" t="s">
        <v>6663</v>
      </c>
      <c r="B2194" s="27" t="s">
        <v>2237</v>
      </c>
      <c r="D2194" s="28" t="s">
        <v>4098</v>
      </c>
      <c r="E2194" s="29" t="s">
        <v>671</v>
      </c>
      <c r="F2194" s="30">
        <v>1</v>
      </c>
      <c r="G2194" s="31">
        <v>161.07</v>
      </c>
      <c r="H2194" s="31">
        <f t="shared" si="152"/>
        <v>161.07</v>
      </c>
      <c r="I2194" s="170" t="s">
        <v>2842</v>
      </c>
      <c r="J2194" t="s">
        <v>2853</v>
      </c>
      <c r="K2194" s="188" t="s">
        <v>2853</v>
      </c>
    </row>
    <row r="2195" spans="1:11" x14ac:dyDescent="0.25">
      <c r="A2195" t="s">
        <v>6664</v>
      </c>
      <c r="B2195" s="27" t="s">
        <v>2238</v>
      </c>
      <c r="D2195" s="28" t="s">
        <v>4099</v>
      </c>
      <c r="E2195" s="29" t="s">
        <v>21</v>
      </c>
      <c r="F2195" s="30">
        <v>1</v>
      </c>
      <c r="G2195" s="31">
        <v>180.89</v>
      </c>
      <c r="H2195" s="31">
        <f t="shared" si="152"/>
        <v>180.89</v>
      </c>
      <c r="I2195" s="170" t="s">
        <v>2842</v>
      </c>
      <c r="J2195" t="s">
        <v>2853</v>
      </c>
      <c r="K2195" s="188" t="s">
        <v>2853</v>
      </c>
    </row>
    <row r="2196" spans="1:11" x14ac:dyDescent="0.25">
      <c r="A2196" t="s">
        <v>6665</v>
      </c>
      <c r="B2196" s="27" t="s">
        <v>2239</v>
      </c>
      <c r="D2196" s="28" t="s">
        <v>4100</v>
      </c>
      <c r="E2196" s="29" t="s">
        <v>21</v>
      </c>
      <c r="F2196" s="30">
        <v>1</v>
      </c>
      <c r="G2196" s="31">
        <v>180.89</v>
      </c>
      <c r="H2196" s="31">
        <f t="shared" si="152"/>
        <v>180.89</v>
      </c>
      <c r="I2196" s="170" t="s">
        <v>2842</v>
      </c>
      <c r="J2196" t="s">
        <v>2853</v>
      </c>
      <c r="K2196" s="188" t="s">
        <v>2853</v>
      </c>
    </row>
    <row r="2197" spans="1:11" x14ac:dyDescent="0.25">
      <c r="A2197" t="s">
        <v>6666</v>
      </c>
      <c r="B2197" s="27" t="s">
        <v>2240</v>
      </c>
      <c r="D2197" s="28" t="s">
        <v>4101</v>
      </c>
      <c r="E2197" s="29" t="s">
        <v>21</v>
      </c>
      <c r="F2197" s="30">
        <v>1</v>
      </c>
      <c r="G2197" s="31">
        <v>180.89</v>
      </c>
      <c r="H2197" s="31">
        <f t="shared" si="152"/>
        <v>180.89</v>
      </c>
      <c r="I2197" s="170" t="s">
        <v>2842</v>
      </c>
      <c r="J2197" t="s">
        <v>2853</v>
      </c>
      <c r="K2197" s="188" t="s">
        <v>2853</v>
      </c>
    </row>
    <row r="2198" spans="1:11" x14ac:dyDescent="0.25">
      <c r="A2198" t="s">
        <v>6667</v>
      </c>
      <c r="B2198" s="27" t="s">
        <v>2241</v>
      </c>
      <c r="D2198" s="28" t="s">
        <v>4102</v>
      </c>
      <c r="E2198" s="29" t="s">
        <v>563</v>
      </c>
      <c r="F2198" s="30">
        <v>1</v>
      </c>
      <c r="G2198" s="31">
        <v>180.89</v>
      </c>
      <c r="H2198" s="31">
        <f t="shared" si="152"/>
        <v>180.89</v>
      </c>
      <c r="I2198" s="170" t="s">
        <v>2842</v>
      </c>
      <c r="J2198" t="s">
        <v>2853</v>
      </c>
      <c r="K2198" s="188" t="s">
        <v>2853</v>
      </c>
    </row>
    <row r="2199" spans="1:11" x14ac:dyDescent="0.25">
      <c r="A2199" t="s">
        <v>6668</v>
      </c>
      <c r="B2199" s="27" t="s">
        <v>2242</v>
      </c>
      <c r="D2199" s="28" t="s">
        <v>4103</v>
      </c>
      <c r="E2199" s="29" t="s">
        <v>563</v>
      </c>
      <c r="F2199" s="30">
        <v>1</v>
      </c>
      <c r="G2199" s="31">
        <v>180.89</v>
      </c>
      <c r="H2199" s="31">
        <f t="shared" si="152"/>
        <v>180.89</v>
      </c>
      <c r="I2199" s="170" t="s">
        <v>2842</v>
      </c>
      <c r="J2199" t="s">
        <v>2853</v>
      </c>
      <c r="K2199" s="188" t="s">
        <v>2853</v>
      </c>
    </row>
    <row r="2200" spans="1:11" x14ac:dyDescent="0.25">
      <c r="A2200" t="s">
        <v>6669</v>
      </c>
      <c r="B2200" s="27" t="s">
        <v>2243</v>
      </c>
      <c r="D2200" s="28" t="s">
        <v>4104</v>
      </c>
      <c r="E2200" s="29" t="s">
        <v>563</v>
      </c>
      <c r="F2200" s="30">
        <v>1</v>
      </c>
      <c r="G2200" s="31">
        <v>180.89</v>
      </c>
      <c r="H2200" s="31">
        <f t="shared" ref="H2200:H2263" si="153">+F2200*G2200</f>
        <v>180.89</v>
      </c>
      <c r="I2200" s="170" t="s">
        <v>2842</v>
      </c>
      <c r="J2200" t="s">
        <v>2853</v>
      </c>
      <c r="K2200" s="188" t="s">
        <v>2853</v>
      </c>
    </row>
    <row r="2201" spans="1:11" x14ac:dyDescent="0.25">
      <c r="A2201" t="s">
        <v>6670</v>
      </c>
      <c r="B2201" s="27" t="s">
        <v>2244</v>
      </c>
      <c r="D2201" s="28" t="s">
        <v>4105</v>
      </c>
      <c r="E2201" s="29" t="s">
        <v>671</v>
      </c>
      <c r="F2201" s="30">
        <v>1</v>
      </c>
      <c r="G2201" s="31">
        <v>180.89</v>
      </c>
      <c r="H2201" s="31">
        <f t="shared" si="153"/>
        <v>180.89</v>
      </c>
      <c r="I2201" s="170" t="s">
        <v>2842</v>
      </c>
      <c r="J2201" t="s">
        <v>2853</v>
      </c>
      <c r="K2201" s="188" t="s">
        <v>2853</v>
      </c>
    </row>
    <row r="2202" spans="1:11" x14ac:dyDescent="0.25">
      <c r="A2202" t="s">
        <v>6671</v>
      </c>
      <c r="B2202" s="27" t="s">
        <v>2245</v>
      </c>
      <c r="D2202" s="28" t="s">
        <v>4106</v>
      </c>
      <c r="E2202" s="29" t="s">
        <v>671</v>
      </c>
      <c r="F2202" s="30">
        <v>1</v>
      </c>
      <c r="G2202" s="31">
        <v>180.89</v>
      </c>
      <c r="H2202" s="31">
        <f t="shared" si="153"/>
        <v>180.89</v>
      </c>
      <c r="I2202" s="170" t="s">
        <v>2842</v>
      </c>
      <c r="J2202" t="s">
        <v>2853</v>
      </c>
      <c r="K2202" s="188" t="s">
        <v>2853</v>
      </c>
    </row>
    <row r="2203" spans="1:11" x14ac:dyDescent="0.25">
      <c r="A2203" t="s">
        <v>6672</v>
      </c>
      <c r="B2203" s="27" t="s">
        <v>2246</v>
      </c>
      <c r="D2203" s="28" t="s">
        <v>4107</v>
      </c>
      <c r="E2203" s="29" t="s">
        <v>671</v>
      </c>
      <c r="F2203" s="30">
        <v>1</v>
      </c>
      <c r="G2203" s="31">
        <v>180.89</v>
      </c>
      <c r="H2203" s="31">
        <f t="shared" si="153"/>
        <v>180.89</v>
      </c>
      <c r="I2203" s="170" t="s">
        <v>2842</v>
      </c>
      <c r="J2203" t="s">
        <v>2853</v>
      </c>
      <c r="K2203" s="188" t="s">
        <v>2853</v>
      </c>
    </row>
    <row r="2204" spans="1:11" x14ac:dyDescent="0.25">
      <c r="A2204" t="s">
        <v>6673</v>
      </c>
      <c r="B2204" s="27" t="s">
        <v>2247</v>
      </c>
      <c r="D2204" s="28" t="s">
        <v>4108</v>
      </c>
      <c r="E2204" s="29" t="s">
        <v>21</v>
      </c>
      <c r="F2204" s="30">
        <v>1</v>
      </c>
      <c r="G2204" s="31">
        <v>200.73</v>
      </c>
      <c r="H2204" s="31">
        <f t="shared" si="153"/>
        <v>200.73</v>
      </c>
      <c r="I2204" s="170" t="s">
        <v>2842</v>
      </c>
      <c r="J2204" t="s">
        <v>2853</v>
      </c>
      <c r="K2204" s="188" t="s">
        <v>2853</v>
      </c>
    </row>
    <row r="2205" spans="1:11" x14ac:dyDescent="0.25">
      <c r="A2205" t="s">
        <v>6674</v>
      </c>
      <c r="B2205" s="27" t="s">
        <v>2248</v>
      </c>
      <c r="D2205" s="28" t="s">
        <v>4109</v>
      </c>
      <c r="E2205" s="29" t="s">
        <v>21</v>
      </c>
      <c r="F2205" s="30">
        <v>1</v>
      </c>
      <c r="G2205" s="31">
        <v>200.73</v>
      </c>
      <c r="H2205" s="31">
        <f t="shared" si="153"/>
        <v>200.73</v>
      </c>
      <c r="I2205" s="170" t="s">
        <v>2842</v>
      </c>
      <c r="J2205" t="s">
        <v>2853</v>
      </c>
      <c r="K2205" s="188" t="s">
        <v>2853</v>
      </c>
    </row>
    <row r="2206" spans="1:11" x14ac:dyDescent="0.25">
      <c r="A2206" t="s">
        <v>6675</v>
      </c>
      <c r="B2206" s="27" t="s">
        <v>2249</v>
      </c>
      <c r="D2206" s="28" t="s">
        <v>4110</v>
      </c>
      <c r="E2206" s="29" t="s">
        <v>21</v>
      </c>
      <c r="F2206" s="30">
        <v>1</v>
      </c>
      <c r="G2206" s="31">
        <v>200.73</v>
      </c>
      <c r="H2206" s="31">
        <f t="shared" si="153"/>
        <v>200.73</v>
      </c>
      <c r="I2206" s="170" t="s">
        <v>2842</v>
      </c>
      <c r="J2206" t="s">
        <v>2853</v>
      </c>
      <c r="K2206" s="188" t="s">
        <v>2853</v>
      </c>
    </row>
    <row r="2207" spans="1:11" x14ac:dyDescent="0.25">
      <c r="A2207" t="s">
        <v>6676</v>
      </c>
      <c r="B2207" s="27" t="s">
        <v>2250</v>
      </c>
      <c r="D2207" s="28" t="s">
        <v>4111</v>
      </c>
      <c r="E2207" s="29" t="s">
        <v>563</v>
      </c>
      <c r="F2207" s="30">
        <v>1</v>
      </c>
      <c r="G2207" s="31">
        <v>200.73</v>
      </c>
      <c r="H2207" s="31">
        <f t="shared" si="153"/>
        <v>200.73</v>
      </c>
      <c r="I2207" s="170" t="s">
        <v>2842</v>
      </c>
      <c r="J2207" t="s">
        <v>2853</v>
      </c>
      <c r="K2207" s="188" t="s">
        <v>2853</v>
      </c>
    </row>
    <row r="2208" spans="1:11" x14ac:dyDescent="0.25">
      <c r="A2208" t="s">
        <v>6677</v>
      </c>
      <c r="B2208" s="27" t="s">
        <v>2251</v>
      </c>
      <c r="D2208" s="28" t="s">
        <v>4112</v>
      </c>
      <c r="E2208" s="29" t="s">
        <v>563</v>
      </c>
      <c r="F2208" s="30">
        <v>1</v>
      </c>
      <c r="G2208" s="31">
        <v>200.73</v>
      </c>
      <c r="H2208" s="31">
        <f t="shared" si="153"/>
        <v>200.73</v>
      </c>
      <c r="I2208" s="170" t="s">
        <v>2842</v>
      </c>
      <c r="J2208" t="s">
        <v>2853</v>
      </c>
      <c r="K2208" s="188" t="s">
        <v>2853</v>
      </c>
    </row>
    <row r="2209" spans="1:11" x14ac:dyDescent="0.25">
      <c r="A2209" t="s">
        <v>6678</v>
      </c>
      <c r="B2209" s="27" t="s">
        <v>2252</v>
      </c>
      <c r="D2209" s="28" t="s">
        <v>4113</v>
      </c>
      <c r="E2209" s="29" t="s">
        <v>563</v>
      </c>
      <c r="F2209" s="30">
        <v>1</v>
      </c>
      <c r="G2209" s="31">
        <v>200.73</v>
      </c>
      <c r="H2209" s="31">
        <f t="shared" si="153"/>
        <v>200.73</v>
      </c>
      <c r="I2209" s="170" t="s">
        <v>2842</v>
      </c>
      <c r="J2209" t="s">
        <v>2853</v>
      </c>
      <c r="K2209" s="188" t="s">
        <v>2853</v>
      </c>
    </row>
    <row r="2210" spans="1:11" x14ac:dyDescent="0.25">
      <c r="A2210" t="s">
        <v>6679</v>
      </c>
      <c r="B2210" s="27" t="s">
        <v>2253</v>
      </c>
      <c r="D2210" s="28" t="s">
        <v>4114</v>
      </c>
      <c r="E2210" s="29" t="s">
        <v>671</v>
      </c>
      <c r="F2210" s="30">
        <v>1</v>
      </c>
      <c r="G2210" s="31">
        <v>200.73</v>
      </c>
      <c r="H2210" s="31">
        <f t="shared" si="153"/>
        <v>200.73</v>
      </c>
      <c r="I2210" s="170" t="s">
        <v>2842</v>
      </c>
      <c r="J2210" t="s">
        <v>2853</v>
      </c>
      <c r="K2210" s="188" t="s">
        <v>2853</v>
      </c>
    </row>
    <row r="2211" spans="1:11" x14ac:dyDescent="0.25">
      <c r="A2211" t="s">
        <v>6680</v>
      </c>
      <c r="B2211" s="27" t="s">
        <v>2254</v>
      </c>
      <c r="D2211" s="28" t="s">
        <v>4115</v>
      </c>
      <c r="E2211" s="29" t="s">
        <v>671</v>
      </c>
      <c r="F2211" s="30">
        <v>1</v>
      </c>
      <c r="G2211" s="31">
        <v>200.73</v>
      </c>
      <c r="H2211" s="31">
        <f t="shared" si="153"/>
        <v>200.73</v>
      </c>
      <c r="I2211" s="170" t="s">
        <v>2842</v>
      </c>
      <c r="J2211" t="s">
        <v>2853</v>
      </c>
      <c r="K2211" s="188" t="s">
        <v>2853</v>
      </c>
    </row>
    <row r="2212" spans="1:11" x14ac:dyDescent="0.25">
      <c r="A2212" t="s">
        <v>6681</v>
      </c>
      <c r="B2212" s="27" t="s">
        <v>2255</v>
      </c>
      <c r="D2212" s="28" t="s">
        <v>4116</v>
      </c>
      <c r="E2212" s="29" t="s">
        <v>671</v>
      </c>
      <c r="F2212" s="30">
        <v>1</v>
      </c>
      <c r="G2212" s="31">
        <v>200.73</v>
      </c>
      <c r="H2212" s="31">
        <f t="shared" si="153"/>
        <v>200.73</v>
      </c>
      <c r="I2212" s="170" t="s">
        <v>2842</v>
      </c>
      <c r="J2212" t="s">
        <v>2853</v>
      </c>
      <c r="K2212" s="188" t="s">
        <v>2853</v>
      </c>
    </row>
    <row r="2213" spans="1:11" x14ac:dyDescent="0.25">
      <c r="A2213" t="s">
        <v>6682</v>
      </c>
      <c r="B2213" s="27" t="s">
        <v>2256</v>
      </c>
      <c r="D2213" s="28" t="s">
        <v>4117</v>
      </c>
      <c r="E2213" s="29" t="s">
        <v>21</v>
      </c>
      <c r="F2213" s="30">
        <v>1</v>
      </c>
      <c r="G2213" s="31">
        <v>220.55</v>
      </c>
      <c r="H2213" s="31">
        <f t="shared" si="153"/>
        <v>220.55</v>
      </c>
      <c r="I2213" s="170" t="s">
        <v>2842</v>
      </c>
      <c r="J2213" t="s">
        <v>2853</v>
      </c>
      <c r="K2213" s="188" t="s">
        <v>2853</v>
      </c>
    </row>
    <row r="2214" spans="1:11" x14ac:dyDescent="0.25">
      <c r="A2214" t="s">
        <v>6683</v>
      </c>
      <c r="B2214" s="27" t="s">
        <v>2257</v>
      </c>
      <c r="D2214" s="28" t="s">
        <v>4118</v>
      </c>
      <c r="E2214" s="29" t="s">
        <v>21</v>
      </c>
      <c r="F2214" s="30">
        <v>1</v>
      </c>
      <c r="G2214" s="31">
        <v>220.55</v>
      </c>
      <c r="H2214" s="31">
        <f t="shared" si="153"/>
        <v>220.55</v>
      </c>
      <c r="I2214" s="170" t="s">
        <v>2842</v>
      </c>
      <c r="J2214" t="s">
        <v>2853</v>
      </c>
      <c r="K2214" s="188" t="s">
        <v>2853</v>
      </c>
    </row>
    <row r="2215" spans="1:11" x14ac:dyDescent="0.25">
      <c r="A2215" t="s">
        <v>6684</v>
      </c>
      <c r="B2215" s="27" t="s">
        <v>2258</v>
      </c>
      <c r="D2215" s="28" t="s">
        <v>4119</v>
      </c>
      <c r="E2215" s="29" t="s">
        <v>21</v>
      </c>
      <c r="F2215" s="30">
        <v>1</v>
      </c>
      <c r="G2215" s="31">
        <v>220.55</v>
      </c>
      <c r="H2215" s="31">
        <f t="shared" si="153"/>
        <v>220.55</v>
      </c>
      <c r="I2215" s="170" t="s">
        <v>2842</v>
      </c>
      <c r="J2215" t="s">
        <v>2853</v>
      </c>
      <c r="K2215" s="188" t="s">
        <v>2853</v>
      </c>
    </row>
    <row r="2216" spans="1:11" x14ac:dyDescent="0.25">
      <c r="A2216" t="s">
        <v>6685</v>
      </c>
      <c r="B2216" s="27" t="s">
        <v>2259</v>
      </c>
      <c r="D2216" s="28" t="s">
        <v>4120</v>
      </c>
      <c r="E2216" s="29" t="s">
        <v>563</v>
      </c>
      <c r="F2216" s="30">
        <v>1</v>
      </c>
      <c r="G2216" s="31">
        <v>220.55</v>
      </c>
      <c r="H2216" s="31">
        <f t="shared" si="153"/>
        <v>220.55</v>
      </c>
      <c r="I2216" s="170" t="s">
        <v>2842</v>
      </c>
      <c r="J2216" t="s">
        <v>2853</v>
      </c>
      <c r="K2216" s="188" t="s">
        <v>2853</v>
      </c>
    </row>
    <row r="2217" spans="1:11" x14ac:dyDescent="0.25">
      <c r="A2217" t="s">
        <v>6686</v>
      </c>
      <c r="B2217" s="27" t="s">
        <v>2260</v>
      </c>
      <c r="D2217" s="28" t="s">
        <v>4121</v>
      </c>
      <c r="E2217" s="29" t="s">
        <v>563</v>
      </c>
      <c r="F2217" s="30">
        <v>1</v>
      </c>
      <c r="G2217" s="31">
        <v>220.55</v>
      </c>
      <c r="H2217" s="31">
        <f t="shared" si="153"/>
        <v>220.55</v>
      </c>
      <c r="I2217" s="170" t="s">
        <v>2842</v>
      </c>
      <c r="J2217" t="s">
        <v>2853</v>
      </c>
      <c r="K2217" s="188" t="s">
        <v>2853</v>
      </c>
    </row>
    <row r="2218" spans="1:11" x14ac:dyDescent="0.25">
      <c r="A2218" t="s">
        <v>6687</v>
      </c>
      <c r="B2218" s="27" t="s">
        <v>2261</v>
      </c>
      <c r="D2218" s="28" t="s">
        <v>4122</v>
      </c>
      <c r="E2218" s="29" t="s">
        <v>563</v>
      </c>
      <c r="F2218" s="30">
        <v>1</v>
      </c>
      <c r="G2218" s="31">
        <v>220.55</v>
      </c>
      <c r="H2218" s="31">
        <f t="shared" si="153"/>
        <v>220.55</v>
      </c>
      <c r="I2218" s="170" t="s">
        <v>2842</v>
      </c>
      <c r="J2218" t="s">
        <v>2853</v>
      </c>
      <c r="K2218" s="188" t="s">
        <v>2853</v>
      </c>
    </row>
    <row r="2219" spans="1:11" x14ac:dyDescent="0.25">
      <c r="A2219" t="s">
        <v>6688</v>
      </c>
      <c r="B2219" s="27" t="s">
        <v>2262</v>
      </c>
      <c r="D2219" s="28" t="s">
        <v>4123</v>
      </c>
      <c r="E2219" s="29" t="s">
        <v>671</v>
      </c>
      <c r="F2219" s="30">
        <v>1</v>
      </c>
      <c r="G2219" s="31">
        <v>220.55</v>
      </c>
      <c r="H2219" s="31">
        <f t="shared" si="153"/>
        <v>220.55</v>
      </c>
      <c r="I2219" s="170" t="s">
        <v>2842</v>
      </c>
      <c r="J2219" t="s">
        <v>2853</v>
      </c>
      <c r="K2219" s="188" t="s">
        <v>2853</v>
      </c>
    </row>
    <row r="2220" spans="1:11" x14ac:dyDescent="0.25">
      <c r="A2220" t="s">
        <v>6689</v>
      </c>
      <c r="B2220" s="27" t="s">
        <v>2263</v>
      </c>
      <c r="D2220" s="28" t="s">
        <v>4124</v>
      </c>
      <c r="E2220" s="29" t="s">
        <v>671</v>
      </c>
      <c r="F2220" s="30">
        <v>1</v>
      </c>
      <c r="G2220" s="31">
        <v>220.55</v>
      </c>
      <c r="H2220" s="31">
        <f t="shared" si="153"/>
        <v>220.55</v>
      </c>
      <c r="I2220" s="170" t="s">
        <v>2842</v>
      </c>
      <c r="J2220" t="s">
        <v>2853</v>
      </c>
      <c r="K2220" s="188" t="s">
        <v>2853</v>
      </c>
    </row>
    <row r="2221" spans="1:11" x14ac:dyDescent="0.25">
      <c r="A2221" t="s">
        <v>6690</v>
      </c>
      <c r="B2221" s="27" t="s">
        <v>2264</v>
      </c>
      <c r="D2221" s="28" t="s">
        <v>4125</v>
      </c>
      <c r="E2221" s="29" t="s">
        <v>671</v>
      </c>
      <c r="F2221" s="30">
        <v>1</v>
      </c>
      <c r="G2221" s="31">
        <v>220.55</v>
      </c>
      <c r="H2221" s="31">
        <f t="shared" si="153"/>
        <v>220.55</v>
      </c>
      <c r="I2221" s="170" t="s">
        <v>2842</v>
      </c>
      <c r="J2221" t="s">
        <v>2853</v>
      </c>
      <c r="K2221" s="188" t="s">
        <v>2853</v>
      </c>
    </row>
    <row r="2222" spans="1:11" x14ac:dyDescent="0.25">
      <c r="A2222" t="s">
        <v>6691</v>
      </c>
      <c r="B2222" s="27" t="s">
        <v>2265</v>
      </c>
      <c r="D2222" s="28" t="s">
        <v>4126</v>
      </c>
      <c r="E2222" s="29" t="s">
        <v>21</v>
      </c>
      <c r="F2222" s="30">
        <v>1</v>
      </c>
      <c r="G2222" s="31">
        <v>167.67</v>
      </c>
      <c r="H2222" s="31">
        <f t="shared" si="153"/>
        <v>167.67</v>
      </c>
      <c r="I2222" s="170" t="s">
        <v>2842</v>
      </c>
      <c r="J2222" t="s">
        <v>2853</v>
      </c>
      <c r="K2222" s="188" t="s">
        <v>2853</v>
      </c>
    </row>
    <row r="2223" spans="1:11" x14ac:dyDescent="0.25">
      <c r="A2223" t="s">
        <v>6692</v>
      </c>
      <c r="B2223" s="27" t="s">
        <v>2266</v>
      </c>
      <c r="D2223" s="28" t="s">
        <v>4127</v>
      </c>
      <c r="E2223" s="29" t="s">
        <v>21</v>
      </c>
      <c r="F2223" s="30">
        <v>1</v>
      </c>
      <c r="G2223" s="31">
        <v>167.67</v>
      </c>
      <c r="H2223" s="31">
        <f t="shared" si="153"/>
        <v>167.67</v>
      </c>
      <c r="I2223" s="170" t="s">
        <v>2842</v>
      </c>
      <c r="J2223" t="s">
        <v>2853</v>
      </c>
      <c r="K2223" s="188" t="s">
        <v>2853</v>
      </c>
    </row>
    <row r="2224" spans="1:11" x14ac:dyDescent="0.25">
      <c r="A2224" t="s">
        <v>6693</v>
      </c>
      <c r="B2224" s="27" t="s">
        <v>2267</v>
      </c>
      <c r="D2224" s="28" t="s">
        <v>4128</v>
      </c>
      <c r="E2224" s="29" t="s">
        <v>21</v>
      </c>
      <c r="F2224" s="30">
        <v>1</v>
      </c>
      <c r="G2224" s="31">
        <v>167.67</v>
      </c>
      <c r="H2224" s="31">
        <f t="shared" si="153"/>
        <v>167.67</v>
      </c>
      <c r="I2224" s="170" t="s">
        <v>2842</v>
      </c>
      <c r="J2224" t="s">
        <v>2853</v>
      </c>
      <c r="K2224" s="188" t="s">
        <v>2853</v>
      </c>
    </row>
    <row r="2225" spans="1:11" x14ac:dyDescent="0.25">
      <c r="A2225" t="s">
        <v>6694</v>
      </c>
      <c r="B2225" s="27" t="s">
        <v>2268</v>
      </c>
      <c r="D2225" s="28" t="s">
        <v>4129</v>
      </c>
      <c r="E2225" s="29" t="s">
        <v>563</v>
      </c>
      <c r="F2225" s="30">
        <v>1</v>
      </c>
      <c r="G2225" s="31">
        <v>167.67</v>
      </c>
      <c r="H2225" s="31">
        <f t="shared" si="153"/>
        <v>167.67</v>
      </c>
      <c r="I2225" s="170" t="s">
        <v>2842</v>
      </c>
      <c r="J2225" t="s">
        <v>2853</v>
      </c>
      <c r="K2225" s="188" t="s">
        <v>2853</v>
      </c>
    </row>
    <row r="2226" spans="1:11" x14ac:dyDescent="0.25">
      <c r="A2226" t="s">
        <v>6695</v>
      </c>
      <c r="B2226" s="27" t="s">
        <v>2269</v>
      </c>
      <c r="D2226" s="28" t="s">
        <v>4130</v>
      </c>
      <c r="E2226" s="29" t="s">
        <v>563</v>
      </c>
      <c r="F2226" s="30">
        <v>1</v>
      </c>
      <c r="G2226" s="31">
        <v>167.67</v>
      </c>
      <c r="H2226" s="31">
        <f t="shared" si="153"/>
        <v>167.67</v>
      </c>
      <c r="I2226" s="170" t="s">
        <v>2842</v>
      </c>
      <c r="J2226" t="s">
        <v>2853</v>
      </c>
      <c r="K2226" s="188" t="s">
        <v>2853</v>
      </c>
    </row>
    <row r="2227" spans="1:11" x14ac:dyDescent="0.25">
      <c r="A2227" t="s">
        <v>6696</v>
      </c>
      <c r="B2227" s="27" t="s">
        <v>2270</v>
      </c>
      <c r="D2227" s="28" t="s">
        <v>4131</v>
      </c>
      <c r="E2227" s="29" t="s">
        <v>563</v>
      </c>
      <c r="F2227" s="30">
        <v>1</v>
      </c>
      <c r="G2227" s="31">
        <v>167.67</v>
      </c>
      <c r="H2227" s="31">
        <f t="shared" si="153"/>
        <v>167.67</v>
      </c>
      <c r="I2227" s="170" t="s">
        <v>2842</v>
      </c>
      <c r="J2227" t="s">
        <v>2853</v>
      </c>
      <c r="K2227" s="188" t="s">
        <v>2853</v>
      </c>
    </row>
    <row r="2228" spans="1:11" x14ac:dyDescent="0.25">
      <c r="A2228" t="s">
        <v>6697</v>
      </c>
      <c r="B2228" s="27" t="s">
        <v>2271</v>
      </c>
      <c r="D2228" s="28" t="s">
        <v>4132</v>
      </c>
      <c r="E2228" s="29" t="s">
        <v>671</v>
      </c>
      <c r="F2228" s="30">
        <v>1</v>
      </c>
      <c r="G2228" s="31">
        <v>167.67</v>
      </c>
      <c r="H2228" s="31">
        <f t="shared" si="153"/>
        <v>167.67</v>
      </c>
      <c r="I2228" s="170" t="s">
        <v>2842</v>
      </c>
      <c r="J2228" t="s">
        <v>2853</v>
      </c>
      <c r="K2228" s="188" t="s">
        <v>2853</v>
      </c>
    </row>
    <row r="2229" spans="1:11" x14ac:dyDescent="0.25">
      <c r="A2229" t="s">
        <v>6698</v>
      </c>
      <c r="B2229" s="27" t="s">
        <v>2272</v>
      </c>
      <c r="D2229" s="28" t="s">
        <v>4133</v>
      </c>
      <c r="E2229" s="29" t="s">
        <v>671</v>
      </c>
      <c r="F2229" s="30">
        <v>1</v>
      </c>
      <c r="G2229" s="31">
        <v>167.67</v>
      </c>
      <c r="H2229" s="31">
        <f t="shared" si="153"/>
        <v>167.67</v>
      </c>
      <c r="I2229" s="170" t="s">
        <v>2842</v>
      </c>
      <c r="J2229" t="s">
        <v>2853</v>
      </c>
      <c r="K2229" s="188" t="s">
        <v>2853</v>
      </c>
    </row>
    <row r="2230" spans="1:11" x14ac:dyDescent="0.25">
      <c r="A2230" t="s">
        <v>6699</v>
      </c>
      <c r="B2230" s="27" t="s">
        <v>2273</v>
      </c>
      <c r="D2230" s="28" t="s">
        <v>4134</v>
      </c>
      <c r="E2230" s="29" t="s">
        <v>671</v>
      </c>
      <c r="F2230" s="30">
        <v>1</v>
      </c>
      <c r="G2230" s="31">
        <v>167.67</v>
      </c>
      <c r="H2230" s="31">
        <f t="shared" si="153"/>
        <v>167.67</v>
      </c>
      <c r="I2230" s="170" t="s">
        <v>2842</v>
      </c>
      <c r="J2230" t="s">
        <v>2853</v>
      </c>
      <c r="K2230" s="188" t="s">
        <v>2853</v>
      </c>
    </row>
    <row r="2231" spans="1:11" x14ac:dyDescent="0.25">
      <c r="A2231" t="s">
        <v>6700</v>
      </c>
      <c r="B2231" s="27" t="s">
        <v>2274</v>
      </c>
      <c r="D2231" s="28" t="s">
        <v>4135</v>
      </c>
      <c r="E2231" s="29" t="s">
        <v>21</v>
      </c>
      <c r="F2231" s="30">
        <v>1</v>
      </c>
      <c r="G2231" s="31">
        <v>187.5</v>
      </c>
      <c r="H2231" s="31">
        <f t="shared" si="153"/>
        <v>187.5</v>
      </c>
      <c r="I2231" s="170" t="s">
        <v>2842</v>
      </c>
      <c r="J2231" t="s">
        <v>2853</v>
      </c>
      <c r="K2231" s="188" t="s">
        <v>2853</v>
      </c>
    </row>
    <row r="2232" spans="1:11" x14ac:dyDescent="0.25">
      <c r="A2232" t="s">
        <v>6701</v>
      </c>
      <c r="B2232" s="27" t="s">
        <v>2275</v>
      </c>
      <c r="D2232" s="28" t="s">
        <v>4136</v>
      </c>
      <c r="E2232" s="29" t="s">
        <v>21</v>
      </c>
      <c r="F2232" s="30">
        <v>1</v>
      </c>
      <c r="G2232" s="31">
        <v>187.5</v>
      </c>
      <c r="H2232" s="31">
        <f t="shared" si="153"/>
        <v>187.5</v>
      </c>
      <c r="I2232" s="170" t="s">
        <v>2842</v>
      </c>
      <c r="J2232" t="s">
        <v>2853</v>
      </c>
      <c r="K2232" s="188" t="s">
        <v>2853</v>
      </c>
    </row>
    <row r="2233" spans="1:11" x14ac:dyDescent="0.25">
      <c r="A2233" t="s">
        <v>6702</v>
      </c>
      <c r="B2233" s="27" t="s">
        <v>2276</v>
      </c>
      <c r="D2233" s="28" t="s">
        <v>4137</v>
      </c>
      <c r="E2233" s="29" t="s">
        <v>21</v>
      </c>
      <c r="F2233" s="30">
        <v>1</v>
      </c>
      <c r="G2233" s="31">
        <v>187.5</v>
      </c>
      <c r="H2233" s="31">
        <f t="shared" si="153"/>
        <v>187.5</v>
      </c>
      <c r="I2233" s="170" t="s">
        <v>2842</v>
      </c>
      <c r="J2233" t="s">
        <v>2853</v>
      </c>
      <c r="K2233" s="188" t="s">
        <v>2853</v>
      </c>
    </row>
    <row r="2234" spans="1:11" x14ac:dyDescent="0.25">
      <c r="A2234" t="s">
        <v>6703</v>
      </c>
      <c r="B2234" s="27" t="s">
        <v>2277</v>
      </c>
      <c r="D2234" s="28" t="s">
        <v>4138</v>
      </c>
      <c r="E2234" s="29" t="s">
        <v>563</v>
      </c>
      <c r="F2234" s="30">
        <v>1</v>
      </c>
      <c r="G2234" s="31">
        <v>187.5</v>
      </c>
      <c r="H2234" s="31">
        <f t="shared" si="153"/>
        <v>187.5</v>
      </c>
      <c r="I2234" s="170" t="s">
        <v>2842</v>
      </c>
      <c r="J2234" t="s">
        <v>2853</v>
      </c>
      <c r="K2234" s="188" t="s">
        <v>2853</v>
      </c>
    </row>
    <row r="2235" spans="1:11" x14ac:dyDescent="0.25">
      <c r="A2235" t="s">
        <v>6704</v>
      </c>
      <c r="B2235" s="27" t="s">
        <v>2278</v>
      </c>
      <c r="D2235" s="28" t="s">
        <v>4139</v>
      </c>
      <c r="E2235" s="29" t="s">
        <v>563</v>
      </c>
      <c r="F2235" s="30">
        <v>1</v>
      </c>
      <c r="G2235" s="31">
        <v>187.5</v>
      </c>
      <c r="H2235" s="31">
        <f t="shared" si="153"/>
        <v>187.5</v>
      </c>
      <c r="I2235" s="170" t="s">
        <v>2842</v>
      </c>
      <c r="J2235" t="s">
        <v>2853</v>
      </c>
      <c r="K2235" s="188" t="s">
        <v>2853</v>
      </c>
    </row>
    <row r="2236" spans="1:11" x14ac:dyDescent="0.25">
      <c r="A2236" t="s">
        <v>6705</v>
      </c>
      <c r="B2236" s="27" t="s">
        <v>2279</v>
      </c>
      <c r="D2236" s="28" t="s">
        <v>4140</v>
      </c>
      <c r="E2236" s="29" t="s">
        <v>563</v>
      </c>
      <c r="F2236" s="30">
        <v>1</v>
      </c>
      <c r="G2236" s="31">
        <v>187.5</v>
      </c>
      <c r="H2236" s="31">
        <f t="shared" si="153"/>
        <v>187.5</v>
      </c>
      <c r="I2236" s="170" t="s">
        <v>2842</v>
      </c>
      <c r="J2236" t="s">
        <v>2853</v>
      </c>
      <c r="K2236" s="188" t="s">
        <v>2853</v>
      </c>
    </row>
    <row r="2237" spans="1:11" x14ac:dyDescent="0.25">
      <c r="A2237" t="s">
        <v>6706</v>
      </c>
      <c r="B2237" s="27" t="s">
        <v>2280</v>
      </c>
      <c r="D2237" s="28" t="s">
        <v>4141</v>
      </c>
      <c r="E2237" s="29" t="s">
        <v>671</v>
      </c>
      <c r="F2237" s="30">
        <v>1</v>
      </c>
      <c r="G2237" s="31">
        <v>187.5</v>
      </c>
      <c r="H2237" s="31">
        <f t="shared" si="153"/>
        <v>187.5</v>
      </c>
      <c r="I2237" s="170" t="s">
        <v>2842</v>
      </c>
      <c r="J2237" t="s">
        <v>2853</v>
      </c>
      <c r="K2237" s="188" t="s">
        <v>2853</v>
      </c>
    </row>
    <row r="2238" spans="1:11" x14ac:dyDescent="0.25">
      <c r="A2238" t="s">
        <v>6707</v>
      </c>
      <c r="B2238" s="27" t="s">
        <v>2281</v>
      </c>
      <c r="D2238" s="28" t="s">
        <v>4142</v>
      </c>
      <c r="E2238" s="29" t="s">
        <v>671</v>
      </c>
      <c r="F2238" s="30">
        <v>1</v>
      </c>
      <c r="G2238" s="31">
        <v>187.5</v>
      </c>
      <c r="H2238" s="31">
        <f t="shared" si="153"/>
        <v>187.5</v>
      </c>
      <c r="I2238" s="170" t="s">
        <v>2842</v>
      </c>
      <c r="J2238" t="s">
        <v>2853</v>
      </c>
      <c r="K2238" s="188" t="s">
        <v>2853</v>
      </c>
    </row>
    <row r="2239" spans="1:11" x14ac:dyDescent="0.25">
      <c r="A2239" t="s">
        <v>6708</v>
      </c>
      <c r="B2239" s="27" t="s">
        <v>2282</v>
      </c>
      <c r="D2239" s="28" t="s">
        <v>4143</v>
      </c>
      <c r="E2239" s="29" t="s">
        <v>671</v>
      </c>
      <c r="F2239" s="30">
        <v>1</v>
      </c>
      <c r="G2239" s="31">
        <v>187.5</v>
      </c>
      <c r="H2239" s="31">
        <f t="shared" si="153"/>
        <v>187.5</v>
      </c>
      <c r="I2239" s="170" t="s">
        <v>2842</v>
      </c>
      <c r="J2239" t="s">
        <v>2853</v>
      </c>
      <c r="K2239" s="188" t="s">
        <v>2853</v>
      </c>
    </row>
    <row r="2240" spans="1:11" x14ac:dyDescent="0.25">
      <c r="A2240" t="s">
        <v>6709</v>
      </c>
      <c r="B2240" s="27" t="s">
        <v>2283</v>
      </c>
      <c r="D2240" s="28" t="s">
        <v>4144</v>
      </c>
      <c r="E2240" s="29" t="s">
        <v>21</v>
      </c>
      <c r="F2240" s="30">
        <v>1</v>
      </c>
      <c r="G2240" s="31">
        <v>200.73</v>
      </c>
      <c r="H2240" s="31">
        <f t="shared" si="153"/>
        <v>200.73</v>
      </c>
      <c r="I2240" s="170" t="s">
        <v>2842</v>
      </c>
      <c r="J2240" t="s">
        <v>2853</v>
      </c>
      <c r="K2240" s="188" t="s">
        <v>2853</v>
      </c>
    </row>
    <row r="2241" spans="1:11" x14ac:dyDescent="0.25">
      <c r="A2241" t="s">
        <v>6710</v>
      </c>
      <c r="B2241" s="27" t="s">
        <v>2284</v>
      </c>
      <c r="D2241" s="28" t="s">
        <v>4145</v>
      </c>
      <c r="E2241" s="29" t="s">
        <v>21</v>
      </c>
      <c r="F2241" s="30">
        <v>1</v>
      </c>
      <c r="G2241" s="31">
        <v>200.73</v>
      </c>
      <c r="H2241" s="31">
        <f t="shared" si="153"/>
        <v>200.73</v>
      </c>
      <c r="I2241" s="170" t="s">
        <v>2842</v>
      </c>
      <c r="J2241" t="s">
        <v>2853</v>
      </c>
      <c r="K2241" s="188" t="s">
        <v>2853</v>
      </c>
    </row>
    <row r="2242" spans="1:11" x14ac:dyDescent="0.25">
      <c r="A2242" t="s">
        <v>6711</v>
      </c>
      <c r="B2242" s="27" t="s">
        <v>2285</v>
      </c>
      <c r="D2242" s="28" t="s">
        <v>4146</v>
      </c>
      <c r="E2242" s="29" t="s">
        <v>21</v>
      </c>
      <c r="F2242" s="30">
        <v>1</v>
      </c>
      <c r="G2242" s="31">
        <v>200.73</v>
      </c>
      <c r="H2242" s="31">
        <f t="shared" si="153"/>
        <v>200.73</v>
      </c>
      <c r="I2242" s="170" t="s">
        <v>2842</v>
      </c>
      <c r="J2242" t="s">
        <v>2853</v>
      </c>
      <c r="K2242" s="188" t="s">
        <v>2853</v>
      </c>
    </row>
    <row r="2243" spans="1:11" x14ac:dyDescent="0.25">
      <c r="A2243" t="s">
        <v>6712</v>
      </c>
      <c r="B2243" s="27" t="s">
        <v>2286</v>
      </c>
      <c r="D2243" s="28" t="s">
        <v>4147</v>
      </c>
      <c r="E2243" s="29" t="s">
        <v>563</v>
      </c>
      <c r="F2243" s="30">
        <v>1</v>
      </c>
      <c r="G2243" s="31">
        <v>200.73</v>
      </c>
      <c r="H2243" s="31">
        <f t="shared" si="153"/>
        <v>200.73</v>
      </c>
      <c r="I2243" s="170" t="s">
        <v>2842</v>
      </c>
      <c r="J2243" t="s">
        <v>2853</v>
      </c>
      <c r="K2243" s="188" t="s">
        <v>2853</v>
      </c>
    </row>
    <row r="2244" spans="1:11" x14ac:dyDescent="0.25">
      <c r="A2244" t="s">
        <v>6713</v>
      </c>
      <c r="B2244" s="27" t="s">
        <v>2287</v>
      </c>
      <c r="D2244" s="28" t="s">
        <v>4148</v>
      </c>
      <c r="E2244" s="29" t="s">
        <v>563</v>
      </c>
      <c r="F2244" s="30">
        <v>1</v>
      </c>
      <c r="G2244" s="31">
        <v>200.73</v>
      </c>
      <c r="H2244" s="31">
        <f t="shared" si="153"/>
        <v>200.73</v>
      </c>
      <c r="I2244" s="170" t="s">
        <v>2842</v>
      </c>
      <c r="J2244" t="s">
        <v>2853</v>
      </c>
      <c r="K2244" s="188" t="s">
        <v>2853</v>
      </c>
    </row>
    <row r="2245" spans="1:11" x14ac:dyDescent="0.25">
      <c r="A2245" t="s">
        <v>6714</v>
      </c>
      <c r="B2245" s="27" t="s">
        <v>2288</v>
      </c>
      <c r="D2245" s="28" t="s">
        <v>4149</v>
      </c>
      <c r="E2245" s="29" t="s">
        <v>563</v>
      </c>
      <c r="F2245" s="30">
        <v>1</v>
      </c>
      <c r="G2245" s="31">
        <v>200.73</v>
      </c>
      <c r="H2245" s="31">
        <f t="shared" si="153"/>
        <v>200.73</v>
      </c>
      <c r="I2245" s="170" t="s">
        <v>2842</v>
      </c>
      <c r="J2245" t="s">
        <v>2853</v>
      </c>
      <c r="K2245" s="188" t="s">
        <v>2853</v>
      </c>
    </row>
    <row r="2246" spans="1:11" x14ac:dyDescent="0.25">
      <c r="A2246" t="s">
        <v>6715</v>
      </c>
      <c r="B2246" s="27" t="s">
        <v>2289</v>
      </c>
      <c r="D2246" s="28" t="s">
        <v>4150</v>
      </c>
      <c r="E2246" s="29" t="s">
        <v>671</v>
      </c>
      <c r="F2246" s="30">
        <v>1</v>
      </c>
      <c r="G2246" s="31">
        <v>200.73</v>
      </c>
      <c r="H2246" s="31">
        <f t="shared" si="153"/>
        <v>200.73</v>
      </c>
      <c r="I2246" s="170" t="s">
        <v>2842</v>
      </c>
      <c r="J2246" t="s">
        <v>2853</v>
      </c>
      <c r="K2246" s="188" t="s">
        <v>2853</v>
      </c>
    </row>
    <row r="2247" spans="1:11" x14ac:dyDescent="0.25">
      <c r="A2247" t="s">
        <v>6716</v>
      </c>
      <c r="B2247" s="27" t="s">
        <v>2290</v>
      </c>
      <c r="D2247" s="28" t="s">
        <v>4151</v>
      </c>
      <c r="E2247" s="29" t="s">
        <v>671</v>
      </c>
      <c r="F2247" s="30">
        <v>1</v>
      </c>
      <c r="G2247" s="31">
        <v>200.73</v>
      </c>
      <c r="H2247" s="31">
        <f t="shared" si="153"/>
        <v>200.73</v>
      </c>
      <c r="I2247" s="170" t="s">
        <v>2842</v>
      </c>
      <c r="J2247" t="s">
        <v>2853</v>
      </c>
      <c r="K2247" s="188" t="s">
        <v>2853</v>
      </c>
    </row>
    <row r="2248" spans="1:11" x14ac:dyDescent="0.25">
      <c r="A2248" t="s">
        <v>6717</v>
      </c>
      <c r="B2248" s="27" t="s">
        <v>2291</v>
      </c>
      <c r="D2248" s="28" t="s">
        <v>4152</v>
      </c>
      <c r="E2248" s="29" t="s">
        <v>671</v>
      </c>
      <c r="F2248" s="30">
        <v>1</v>
      </c>
      <c r="G2248" s="31">
        <v>200.73</v>
      </c>
      <c r="H2248" s="31">
        <f t="shared" si="153"/>
        <v>200.73</v>
      </c>
      <c r="I2248" s="170" t="s">
        <v>2842</v>
      </c>
      <c r="J2248" t="s">
        <v>2853</v>
      </c>
      <c r="K2248" s="188" t="s">
        <v>2853</v>
      </c>
    </row>
    <row r="2249" spans="1:11" x14ac:dyDescent="0.25">
      <c r="A2249" t="s">
        <v>6718</v>
      </c>
      <c r="B2249" s="27" t="s">
        <v>2292</v>
      </c>
      <c r="D2249" s="28" t="s">
        <v>4153</v>
      </c>
      <c r="E2249" s="29" t="s">
        <v>21</v>
      </c>
      <c r="F2249" s="30">
        <v>1</v>
      </c>
      <c r="G2249" s="31">
        <v>220.55</v>
      </c>
      <c r="H2249" s="31">
        <f t="shared" si="153"/>
        <v>220.55</v>
      </c>
      <c r="I2249" s="170" t="s">
        <v>2842</v>
      </c>
      <c r="J2249" t="s">
        <v>2853</v>
      </c>
      <c r="K2249" s="188" t="s">
        <v>2853</v>
      </c>
    </row>
    <row r="2250" spans="1:11" x14ac:dyDescent="0.25">
      <c r="A2250" t="s">
        <v>6719</v>
      </c>
      <c r="B2250" s="27" t="s">
        <v>2293</v>
      </c>
      <c r="D2250" s="28" t="s">
        <v>4154</v>
      </c>
      <c r="E2250" s="29" t="s">
        <v>21</v>
      </c>
      <c r="F2250" s="30">
        <v>1</v>
      </c>
      <c r="G2250" s="31">
        <v>220.55</v>
      </c>
      <c r="H2250" s="31">
        <f t="shared" si="153"/>
        <v>220.55</v>
      </c>
      <c r="I2250" s="170" t="s">
        <v>2842</v>
      </c>
      <c r="J2250" t="s">
        <v>2853</v>
      </c>
      <c r="K2250" s="188" t="s">
        <v>2853</v>
      </c>
    </row>
    <row r="2251" spans="1:11" x14ac:dyDescent="0.25">
      <c r="A2251" t="s">
        <v>6720</v>
      </c>
      <c r="B2251" s="27" t="s">
        <v>2294</v>
      </c>
      <c r="D2251" s="28" t="s">
        <v>4155</v>
      </c>
      <c r="E2251" s="29" t="s">
        <v>21</v>
      </c>
      <c r="F2251" s="30">
        <v>1</v>
      </c>
      <c r="G2251" s="31">
        <v>220.55</v>
      </c>
      <c r="H2251" s="31">
        <f t="shared" si="153"/>
        <v>220.55</v>
      </c>
      <c r="I2251" s="170" t="s">
        <v>2842</v>
      </c>
      <c r="J2251" t="s">
        <v>2853</v>
      </c>
      <c r="K2251" s="188" t="s">
        <v>2853</v>
      </c>
    </row>
    <row r="2252" spans="1:11" x14ac:dyDescent="0.25">
      <c r="A2252" t="s">
        <v>6721</v>
      </c>
      <c r="B2252" s="27" t="s">
        <v>2295</v>
      </c>
      <c r="D2252" s="28" t="s">
        <v>4156</v>
      </c>
      <c r="E2252" s="29" t="s">
        <v>563</v>
      </c>
      <c r="F2252" s="30">
        <v>1</v>
      </c>
      <c r="G2252" s="31">
        <v>220.55</v>
      </c>
      <c r="H2252" s="31">
        <f t="shared" si="153"/>
        <v>220.55</v>
      </c>
      <c r="I2252" s="170" t="s">
        <v>2842</v>
      </c>
      <c r="J2252" t="s">
        <v>2853</v>
      </c>
      <c r="K2252" s="188" t="s">
        <v>2853</v>
      </c>
    </row>
    <row r="2253" spans="1:11" x14ac:dyDescent="0.25">
      <c r="A2253" t="s">
        <v>6722</v>
      </c>
      <c r="B2253" s="27" t="s">
        <v>2296</v>
      </c>
      <c r="D2253" s="28" t="s">
        <v>4157</v>
      </c>
      <c r="E2253" s="29" t="s">
        <v>563</v>
      </c>
      <c r="F2253" s="30">
        <v>1</v>
      </c>
      <c r="G2253" s="31">
        <v>220.55</v>
      </c>
      <c r="H2253" s="31">
        <f t="shared" si="153"/>
        <v>220.55</v>
      </c>
      <c r="I2253" s="170" t="s">
        <v>2842</v>
      </c>
      <c r="J2253" t="s">
        <v>2853</v>
      </c>
      <c r="K2253" s="188" t="s">
        <v>2853</v>
      </c>
    </row>
    <row r="2254" spans="1:11" x14ac:dyDescent="0.25">
      <c r="A2254" t="s">
        <v>6723</v>
      </c>
      <c r="B2254" s="27" t="s">
        <v>2297</v>
      </c>
      <c r="D2254" s="28" t="s">
        <v>4158</v>
      </c>
      <c r="E2254" s="29" t="s">
        <v>563</v>
      </c>
      <c r="F2254" s="30">
        <v>1</v>
      </c>
      <c r="G2254" s="31">
        <v>220.55</v>
      </c>
      <c r="H2254" s="31">
        <f t="shared" si="153"/>
        <v>220.55</v>
      </c>
      <c r="I2254" s="170" t="s">
        <v>2842</v>
      </c>
      <c r="J2254" t="s">
        <v>2853</v>
      </c>
      <c r="K2254" s="188" t="s">
        <v>2853</v>
      </c>
    </row>
    <row r="2255" spans="1:11" x14ac:dyDescent="0.25">
      <c r="A2255" t="s">
        <v>6724</v>
      </c>
      <c r="B2255" s="27" t="s">
        <v>2298</v>
      </c>
      <c r="D2255" s="28" t="s">
        <v>4159</v>
      </c>
      <c r="E2255" s="29" t="s">
        <v>671</v>
      </c>
      <c r="F2255" s="30">
        <v>1</v>
      </c>
      <c r="G2255" s="31">
        <v>220.55</v>
      </c>
      <c r="H2255" s="31">
        <f t="shared" si="153"/>
        <v>220.55</v>
      </c>
      <c r="I2255" s="170" t="s">
        <v>2842</v>
      </c>
      <c r="J2255" t="s">
        <v>2853</v>
      </c>
      <c r="K2255" s="188" t="s">
        <v>2853</v>
      </c>
    </row>
    <row r="2256" spans="1:11" x14ac:dyDescent="0.25">
      <c r="A2256" t="s">
        <v>6725</v>
      </c>
      <c r="B2256" s="27" t="s">
        <v>2299</v>
      </c>
      <c r="D2256" s="28" t="s">
        <v>4160</v>
      </c>
      <c r="E2256" s="29" t="s">
        <v>671</v>
      </c>
      <c r="F2256" s="30">
        <v>1</v>
      </c>
      <c r="G2256" s="31">
        <v>220.55</v>
      </c>
      <c r="H2256" s="31">
        <f t="shared" si="153"/>
        <v>220.55</v>
      </c>
      <c r="I2256" s="170" t="s">
        <v>2842</v>
      </c>
      <c r="J2256" t="s">
        <v>2853</v>
      </c>
      <c r="K2256" s="188" t="s">
        <v>2853</v>
      </c>
    </row>
    <row r="2257" spans="1:11" x14ac:dyDescent="0.25">
      <c r="A2257" t="s">
        <v>6726</v>
      </c>
      <c r="B2257" s="27" t="s">
        <v>2300</v>
      </c>
      <c r="D2257" s="28" t="s">
        <v>4161</v>
      </c>
      <c r="E2257" s="29" t="s">
        <v>671</v>
      </c>
      <c r="F2257" s="30">
        <v>1</v>
      </c>
      <c r="G2257" s="31">
        <v>220.55</v>
      </c>
      <c r="H2257" s="31">
        <f t="shared" si="153"/>
        <v>220.55</v>
      </c>
      <c r="I2257" s="170" t="s">
        <v>2842</v>
      </c>
      <c r="J2257" t="s">
        <v>2853</v>
      </c>
      <c r="K2257" s="188" t="s">
        <v>2853</v>
      </c>
    </row>
    <row r="2258" spans="1:11" x14ac:dyDescent="0.25">
      <c r="A2258" t="s">
        <v>6727</v>
      </c>
      <c r="B2258" s="27" t="s">
        <v>2301</v>
      </c>
      <c r="D2258" s="28" t="s">
        <v>4162</v>
      </c>
      <c r="E2258" s="29" t="s">
        <v>21</v>
      </c>
      <c r="F2258" s="30">
        <v>1</v>
      </c>
      <c r="G2258" s="31">
        <v>134.62</v>
      </c>
      <c r="H2258" s="31">
        <f t="shared" si="153"/>
        <v>134.62</v>
      </c>
      <c r="I2258" s="170" t="s">
        <v>2842</v>
      </c>
      <c r="J2258" t="s">
        <v>2853</v>
      </c>
      <c r="K2258" s="188" t="s">
        <v>2853</v>
      </c>
    </row>
    <row r="2259" spans="1:11" x14ac:dyDescent="0.25">
      <c r="A2259" t="s">
        <v>6728</v>
      </c>
      <c r="B2259" s="27" t="s">
        <v>2302</v>
      </c>
      <c r="D2259" s="28" t="s">
        <v>4163</v>
      </c>
      <c r="E2259" s="29" t="s">
        <v>563</v>
      </c>
      <c r="F2259" s="30">
        <v>1</v>
      </c>
      <c r="G2259" s="31">
        <v>134.62</v>
      </c>
      <c r="H2259" s="31">
        <f t="shared" si="153"/>
        <v>134.62</v>
      </c>
      <c r="I2259" s="170" t="s">
        <v>2842</v>
      </c>
      <c r="J2259" t="s">
        <v>2853</v>
      </c>
      <c r="K2259" s="188" t="s">
        <v>2853</v>
      </c>
    </row>
    <row r="2260" spans="1:11" x14ac:dyDescent="0.25">
      <c r="A2260" t="s">
        <v>6729</v>
      </c>
      <c r="B2260" s="27" t="s">
        <v>2303</v>
      </c>
      <c r="D2260" s="28" t="s">
        <v>4164</v>
      </c>
      <c r="E2260" s="29" t="s">
        <v>671</v>
      </c>
      <c r="F2260" s="30">
        <v>1</v>
      </c>
      <c r="G2260" s="31">
        <v>134.62</v>
      </c>
      <c r="H2260" s="31">
        <f t="shared" si="153"/>
        <v>134.62</v>
      </c>
      <c r="I2260" s="170" t="s">
        <v>2842</v>
      </c>
      <c r="J2260" t="s">
        <v>2853</v>
      </c>
      <c r="K2260" s="188" t="s">
        <v>2853</v>
      </c>
    </row>
    <row r="2261" spans="1:11" x14ac:dyDescent="0.25">
      <c r="A2261" t="s">
        <v>6730</v>
      </c>
      <c r="B2261" s="27" t="s">
        <v>2304</v>
      </c>
      <c r="D2261" s="28" t="s">
        <v>4165</v>
      </c>
      <c r="E2261" s="29" t="s">
        <v>21</v>
      </c>
      <c r="F2261" s="30">
        <v>1</v>
      </c>
      <c r="G2261" s="31">
        <v>141.21</v>
      </c>
      <c r="H2261" s="31">
        <f t="shared" si="153"/>
        <v>141.21</v>
      </c>
      <c r="I2261" s="170" t="s">
        <v>2842</v>
      </c>
      <c r="J2261" t="s">
        <v>2853</v>
      </c>
      <c r="K2261" s="188" t="s">
        <v>2853</v>
      </c>
    </row>
    <row r="2262" spans="1:11" x14ac:dyDescent="0.25">
      <c r="A2262" t="s">
        <v>6731</v>
      </c>
      <c r="B2262" s="27" t="s">
        <v>2305</v>
      </c>
      <c r="D2262" s="28" t="s">
        <v>4166</v>
      </c>
      <c r="E2262" s="29" t="s">
        <v>563</v>
      </c>
      <c r="F2262" s="30">
        <v>1</v>
      </c>
      <c r="G2262" s="31">
        <v>141.21</v>
      </c>
      <c r="H2262" s="31">
        <f t="shared" si="153"/>
        <v>141.21</v>
      </c>
      <c r="I2262" s="170" t="s">
        <v>2842</v>
      </c>
      <c r="J2262" t="s">
        <v>2853</v>
      </c>
      <c r="K2262" s="188" t="s">
        <v>2853</v>
      </c>
    </row>
    <row r="2263" spans="1:11" x14ac:dyDescent="0.25">
      <c r="A2263" t="s">
        <v>6732</v>
      </c>
      <c r="B2263" s="27" t="s">
        <v>2306</v>
      </c>
      <c r="D2263" s="28" t="s">
        <v>4167</v>
      </c>
      <c r="E2263" s="29" t="s">
        <v>671</v>
      </c>
      <c r="F2263" s="30">
        <v>1</v>
      </c>
      <c r="G2263" s="31">
        <v>141.21</v>
      </c>
      <c r="H2263" s="31">
        <f t="shared" si="153"/>
        <v>141.21</v>
      </c>
      <c r="I2263" s="170" t="s">
        <v>2842</v>
      </c>
      <c r="J2263" t="s">
        <v>2853</v>
      </c>
      <c r="K2263" s="188" t="s">
        <v>2853</v>
      </c>
    </row>
    <row r="2264" spans="1:11" x14ac:dyDescent="0.25">
      <c r="A2264" t="s">
        <v>6733</v>
      </c>
      <c r="B2264" s="27" t="s">
        <v>2307</v>
      </c>
      <c r="D2264" s="28" t="s">
        <v>4168</v>
      </c>
      <c r="E2264" s="29" t="s">
        <v>21</v>
      </c>
      <c r="F2264" s="30">
        <v>1</v>
      </c>
      <c r="G2264" s="31">
        <v>147.84</v>
      </c>
      <c r="H2264" s="31">
        <f t="shared" ref="H2264:H2327" si="154">+F2264*G2264</f>
        <v>147.84</v>
      </c>
      <c r="I2264" s="170" t="s">
        <v>2842</v>
      </c>
      <c r="J2264" t="s">
        <v>2853</v>
      </c>
      <c r="K2264" s="188" t="s">
        <v>2853</v>
      </c>
    </row>
    <row r="2265" spans="1:11" x14ac:dyDescent="0.25">
      <c r="A2265" t="s">
        <v>6734</v>
      </c>
      <c r="B2265" s="27" t="s">
        <v>2308</v>
      </c>
      <c r="D2265" s="28" t="s">
        <v>4169</v>
      </c>
      <c r="E2265" s="29" t="s">
        <v>563</v>
      </c>
      <c r="F2265" s="30">
        <v>1</v>
      </c>
      <c r="G2265" s="31">
        <v>147.84</v>
      </c>
      <c r="H2265" s="31">
        <f t="shared" si="154"/>
        <v>147.84</v>
      </c>
      <c r="I2265" s="170" t="s">
        <v>2842</v>
      </c>
      <c r="J2265" t="s">
        <v>2853</v>
      </c>
      <c r="K2265" s="188" t="s">
        <v>2853</v>
      </c>
    </row>
    <row r="2266" spans="1:11" x14ac:dyDescent="0.25">
      <c r="A2266" t="s">
        <v>6735</v>
      </c>
      <c r="B2266" s="27" t="s">
        <v>2309</v>
      </c>
      <c r="D2266" s="28" t="s">
        <v>4170</v>
      </c>
      <c r="E2266" s="29" t="s">
        <v>671</v>
      </c>
      <c r="F2266" s="30">
        <v>1</v>
      </c>
      <c r="G2266" s="31">
        <v>147.84</v>
      </c>
      <c r="H2266" s="31">
        <f t="shared" si="154"/>
        <v>147.84</v>
      </c>
      <c r="I2266" s="170" t="s">
        <v>2842</v>
      </c>
      <c r="J2266" t="s">
        <v>2853</v>
      </c>
      <c r="K2266" s="188" t="s">
        <v>2853</v>
      </c>
    </row>
    <row r="2267" spans="1:11" x14ac:dyDescent="0.25">
      <c r="A2267" t="s">
        <v>6736</v>
      </c>
      <c r="B2267" s="27" t="s">
        <v>2310</v>
      </c>
      <c r="D2267" s="28" t="s">
        <v>4171</v>
      </c>
      <c r="E2267" s="29" t="s">
        <v>21</v>
      </c>
      <c r="F2267" s="30">
        <v>1</v>
      </c>
      <c r="G2267" s="31">
        <v>154.44</v>
      </c>
      <c r="H2267" s="31">
        <f t="shared" si="154"/>
        <v>154.44</v>
      </c>
      <c r="I2267" s="170" t="s">
        <v>2842</v>
      </c>
      <c r="J2267" t="s">
        <v>2853</v>
      </c>
      <c r="K2267" s="188" t="s">
        <v>2853</v>
      </c>
    </row>
    <row r="2268" spans="1:11" x14ac:dyDescent="0.25">
      <c r="A2268" t="s">
        <v>6737</v>
      </c>
      <c r="B2268" s="27" t="s">
        <v>2311</v>
      </c>
      <c r="D2268" s="28" t="s">
        <v>4172</v>
      </c>
      <c r="E2268" s="29" t="s">
        <v>563</v>
      </c>
      <c r="F2268" s="30">
        <v>1</v>
      </c>
      <c r="G2268" s="31">
        <v>154.44</v>
      </c>
      <c r="H2268" s="31">
        <f t="shared" si="154"/>
        <v>154.44</v>
      </c>
      <c r="I2268" s="170" t="s">
        <v>2842</v>
      </c>
      <c r="J2268" t="s">
        <v>2853</v>
      </c>
      <c r="K2268" s="188" t="s">
        <v>2853</v>
      </c>
    </row>
    <row r="2269" spans="1:11" x14ac:dyDescent="0.25">
      <c r="A2269" t="s">
        <v>6738</v>
      </c>
      <c r="B2269" s="27" t="s">
        <v>2312</v>
      </c>
      <c r="D2269" s="28" t="s">
        <v>4173</v>
      </c>
      <c r="E2269" s="29" t="s">
        <v>671</v>
      </c>
      <c r="F2269" s="30">
        <v>1</v>
      </c>
      <c r="G2269" s="31">
        <v>154.44</v>
      </c>
      <c r="H2269" s="31">
        <f t="shared" si="154"/>
        <v>154.44</v>
      </c>
      <c r="I2269" s="170" t="s">
        <v>2842</v>
      </c>
      <c r="J2269" t="s">
        <v>2853</v>
      </c>
      <c r="K2269" s="188" t="s">
        <v>2853</v>
      </c>
    </row>
    <row r="2270" spans="1:11" x14ac:dyDescent="0.25">
      <c r="A2270" t="s">
        <v>6739</v>
      </c>
      <c r="B2270" s="27" t="s">
        <v>2313</v>
      </c>
      <c r="D2270" s="28" t="s">
        <v>4174</v>
      </c>
      <c r="E2270" s="29" t="s">
        <v>21</v>
      </c>
      <c r="F2270" s="30">
        <v>1</v>
      </c>
      <c r="G2270" s="31">
        <v>213.95</v>
      </c>
      <c r="H2270" s="31">
        <f t="shared" si="154"/>
        <v>213.95</v>
      </c>
      <c r="I2270" s="170" t="s">
        <v>2842</v>
      </c>
      <c r="J2270" t="s">
        <v>2853</v>
      </c>
      <c r="K2270" s="188" t="s">
        <v>2853</v>
      </c>
    </row>
    <row r="2271" spans="1:11" x14ac:dyDescent="0.25">
      <c r="A2271" t="s">
        <v>6740</v>
      </c>
      <c r="B2271" s="27" t="s">
        <v>2314</v>
      </c>
      <c r="D2271" s="28" t="s">
        <v>4175</v>
      </c>
      <c r="E2271" s="29" t="s">
        <v>21</v>
      </c>
      <c r="F2271" s="30">
        <v>1</v>
      </c>
      <c r="G2271" s="31">
        <v>213.95</v>
      </c>
      <c r="H2271" s="31">
        <f t="shared" si="154"/>
        <v>213.95</v>
      </c>
      <c r="I2271" s="170" t="s">
        <v>2842</v>
      </c>
      <c r="J2271" t="s">
        <v>2853</v>
      </c>
      <c r="K2271" s="188" t="s">
        <v>2853</v>
      </c>
    </row>
    <row r="2272" spans="1:11" x14ac:dyDescent="0.25">
      <c r="A2272" t="s">
        <v>6741</v>
      </c>
      <c r="B2272" s="27" t="s">
        <v>2315</v>
      </c>
      <c r="D2272" s="28" t="s">
        <v>4176</v>
      </c>
      <c r="E2272" s="29" t="s">
        <v>21</v>
      </c>
      <c r="F2272" s="30">
        <v>1</v>
      </c>
      <c r="G2272" s="31">
        <v>213.95</v>
      </c>
      <c r="H2272" s="31">
        <f t="shared" si="154"/>
        <v>213.95</v>
      </c>
      <c r="I2272" s="170" t="s">
        <v>2842</v>
      </c>
      <c r="J2272" t="s">
        <v>2853</v>
      </c>
      <c r="K2272" s="188" t="s">
        <v>2853</v>
      </c>
    </row>
    <row r="2273" spans="1:11" x14ac:dyDescent="0.25">
      <c r="A2273" t="s">
        <v>6742</v>
      </c>
      <c r="B2273" s="27" t="s">
        <v>2316</v>
      </c>
      <c r="D2273" s="28" t="s">
        <v>4177</v>
      </c>
      <c r="E2273" s="29" t="s">
        <v>563</v>
      </c>
      <c r="F2273" s="30">
        <v>1</v>
      </c>
      <c r="G2273" s="31">
        <v>213.95</v>
      </c>
      <c r="H2273" s="31">
        <f t="shared" si="154"/>
        <v>213.95</v>
      </c>
      <c r="I2273" s="170" t="s">
        <v>2842</v>
      </c>
      <c r="J2273" t="s">
        <v>2853</v>
      </c>
      <c r="K2273" s="188" t="s">
        <v>2853</v>
      </c>
    </row>
    <row r="2274" spans="1:11" x14ac:dyDescent="0.25">
      <c r="A2274" t="s">
        <v>6743</v>
      </c>
      <c r="B2274" s="27" t="s">
        <v>2317</v>
      </c>
      <c r="D2274" s="28" t="s">
        <v>4178</v>
      </c>
      <c r="E2274" s="29" t="s">
        <v>563</v>
      </c>
      <c r="F2274" s="30">
        <v>1</v>
      </c>
      <c r="G2274" s="31">
        <v>213.95</v>
      </c>
      <c r="H2274" s="31">
        <f t="shared" si="154"/>
        <v>213.95</v>
      </c>
      <c r="I2274" s="170" t="s">
        <v>2842</v>
      </c>
      <c r="J2274" t="s">
        <v>2853</v>
      </c>
      <c r="K2274" s="188" t="s">
        <v>2853</v>
      </c>
    </row>
    <row r="2275" spans="1:11" x14ac:dyDescent="0.25">
      <c r="A2275" t="s">
        <v>6744</v>
      </c>
      <c r="B2275" s="27" t="s">
        <v>2318</v>
      </c>
      <c r="D2275" s="28" t="s">
        <v>4179</v>
      </c>
      <c r="E2275" s="29" t="s">
        <v>563</v>
      </c>
      <c r="F2275" s="30">
        <v>1</v>
      </c>
      <c r="G2275" s="31">
        <v>213.95</v>
      </c>
      <c r="H2275" s="31">
        <f t="shared" si="154"/>
        <v>213.95</v>
      </c>
      <c r="I2275" s="170" t="s">
        <v>2842</v>
      </c>
      <c r="J2275" t="s">
        <v>2853</v>
      </c>
      <c r="K2275" s="188" t="s">
        <v>2853</v>
      </c>
    </row>
    <row r="2276" spans="1:11" x14ac:dyDescent="0.25">
      <c r="A2276" t="s">
        <v>6745</v>
      </c>
      <c r="B2276" s="27" t="s">
        <v>2319</v>
      </c>
      <c r="D2276" s="28" t="s">
        <v>4180</v>
      </c>
      <c r="E2276" s="29" t="s">
        <v>671</v>
      </c>
      <c r="F2276" s="30">
        <v>1</v>
      </c>
      <c r="G2276" s="31">
        <v>213.95</v>
      </c>
      <c r="H2276" s="31">
        <f t="shared" si="154"/>
        <v>213.95</v>
      </c>
      <c r="I2276" s="170" t="s">
        <v>2842</v>
      </c>
      <c r="J2276" t="s">
        <v>2853</v>
      </c>
      <c r="K2276" s="188" t="s">
        <v>2853</v>
      </c>
    </row>
    <row r="2277" spans="1:11" x14ac:dyDescent="0.25">
      <c r="A2277" t="s">
        <v>6746</v>
      </c>
      <c r="B2277" s="27" t="s">
        <v>2320</v>
      </c>
      <c r="D2277" s="28" t="s">
        <v>4181</v>
      </c>
      <c r="E2277" s="29" t="s">
        <v>671</v>
      </c>
      <c r="F2277" s="30">
        <v>1</v>
      </c>
      <c r="G2277" s="31">
        <v>213.95</v>
      </c>
      <c r="H2277" s="31">
        <f t="shared" si="154"/>
        <v>213.95</v>
      </c>
      <c r="I2277" s="170" t="s">
        <v>2842</v>
      </c>
      <c r="J2277" t="s">
        <v>2853</v>
      </c>
      <c r="K2277" s="188" t="s">
        <v>2853</v>
      </c>
    </row>
    <row r="2278" spans="1:11" x14ac:dyDescent="0.25">
      <c r="A2278" t="s">
        <v>6747</v>
      </c>
      <c r="B2278" s="27" t="s">
        <v>2321</v>
      </c>
      <c r="D2278" s="28" t="s">
        <v>4182</v>
      </c>
      <c r="E2278" s="29" t="s">
        <v>671</v>
      </c>
      <c r="F2278" s="30">
        <v>1</v>
      </c>
      <c r="G2278" s="31">
        <v>213.95</v>
      </c>
      <c r="H2278" s="31">
        <f t="shared" si="154"/>
        <v>213.95</v>
      </c>
      <c r="I2278" s="170" t="s">
        <v>2842</v>
      </c>
      <c r="J2278" t="s">
        <v>2853</v>
      </c>
      <c r="K2278" s="188" t="s">
        <v>2853</v>
      </c>
    </row>
    <row r="2279" spans="1:11" x14ac:dyDescent="0.25">
      <c r="A2279" t="s">
        <v>6748</v>
      </c>
      <c r="B2279" s="27" t="s">
        <v>2322</v>
      </c>
      <c r="D2279" s="28" t="s">
        <v>4183</v>
      </c>
      <c r="E2279" s="29" t="s">
        <v>21</v>
      </c>
      <c r="F2279" s="30">
        <v>1</v>
      </c>
      <c r="G2279" s="31">
        <v>260.23</v>
      </c>
      <c r="H2279" s="31">
        <f t="shared" si="154"/>
        <v>260.23</v>
      </c>
      <c r="I2279" s="170" t="s">
        <v>2842</v>
      </c>
      <c r="J2279" t="s">
        <v>2853</v>
      </c>
      <c r="K2279" s="188" t="s">
        <v>2853</v>
      </c>
    </row>
    <row r="2280" spans="1:11" x14ac:dyDescent="0.25">
      <c r="A2280" t="s">
        <v>6749</v>
      </c>
      <c r="B2280" s="27" t="s">
        <v>2323</v>
      </c>
      <c r="D2280" s="28" t="s">
        <v>4184</v>
      </c>
      <c r="E2280" s="29" t="s">
        <v>21</v>
      </c>
      <c r="F2280" s="30">
        <v>1</v>
      </c>
      <c r="G2280" s="31">
        <v>260.23</v>
      </c>
      <c r="H2280" s="31">
        <f t="shared" si="154"/>
        <v>260.23</v>
      </c>
      <c r="I2280" s="170" t="s">
        <v>2842</v>
      </c>
      <c r="J2280" t="s">
        <v>2853</v>
      </c>
      <c r="K2280" s="188" t="s">
        <v>2853</v>
      </c>
    </row>
    <row r="2281" spans="1:11" x14ac:dyDescent="0.25">
      <c r="A2281" t="s">
        <v>6750</v>
      </c>
      <c r="B2281" s="27" t="s">
        <v>2324</v>
      </c>
      <c r="D2281" s="28" t="s">
        <v>4185</v>
      </c>
      <c r="E2281" s="29" t="s">
        <v>21</v>
      </c>
      <c r="F2281" s="30">
        <v>1</v>
      </c>
      <c r="G2281" s="31">
        <v>260.23</v>
      </c>
      <c r="H2281" s="31">
        <f t="shared" si="154"/>
        <v>260.23</v>
      </c>
      <c r="I2281" s="170" t="s">
        <v>2842</v>
      </c>
      <c r="J2281" t="s">
        <v>2853</v>
      </c>
      <c r="K2281" s="188" t="s">
        <v>2853</v>
      </c>
    </row>
    <row r="2282" spans="1:11" x14ac:dyDescent="0.25">
      <c r="A2282" t="s">
        <v>6751</v>
      </c>
      <c r="B2282" s="27" t="s">
        <v>2325</v>
      </c>
      <c r="D2282" s="28" t="s">
        <v>4186</v>
      </c>
      <c r="E2282" s="29" t="s">
        <v>563</v>
      </c>
      <c r="F2282" s="30">
        <v>1</v>
      </c>
      <c r="G2282" s="31">
        <v>260.23</v>
      </c>
      <c r="H2282" s="31">
        <f t="shared" si="154"/>
        <v>260.23</v>
      </c>
      <c r="I2282" s="170" t="s">
        <v>2842</v>
      </c>
      <c r="J2282" t="s">
        <v>2853</v>
      </c>
      <c r="K2282" s="188" t="s">
        <v>2853</v>
      </c>
    </row>
    <row r="2283" spans="1:11" x14ac:dyDescent="0.25">
      <c r="A2283" t="s">
        <v>6752</v>
      </c>
      <c r="B2283" s="27" t="s">
        <v>2326</v>
      </c>
      <c r="D2283" s="28" t="s">
        <v>4187</v>
      </c>
      <c r="E2283" s="29" t="s">
        <v>563</v>
      </c>
      <c r="F2283" s="30">
        <v>1</v>
      </c>
      <c r="G2283" s="31">
        <v>260.23</v>
      </c>
      <c r="H2283" s="31">
        <f t="shared" si="154"/>
        <v>260.23</v>
      </c>
      <c r="I2283" s="170" t="s">
        <v>2842</v>
      </c>
      <c r="J2283" t="s">
        <v>2853</v>
      </c>
      <c r="K2283" s="188" t="s">
        <v>2853</v>
      </c>
    </row>
    <row r="2284" spans="1:11" x14ac:dyDescent="0.25">
      <c r="A2284" t="s">
        <v>6753</v>
      </c>
      <c r="B2284" s="27" t="s">
        <v>2327</v>
      </c>
      <c r="D2284" s="28" t="s">
        <v>4188</v>
      </c>
      <c r="E2284" s="29" t="s">
        <v>563</v>
      </c>
      <c r="F2284" s="30">
        <v>1</v>
      </c>
      <c r="G2284" s="31">
        <v>260.23</v>
      </c>
      <c r="H2284" s="31">
        <f t="shared" si="154"/>
        <v>260.23</v>
      </c>
      <c r="I2284" s="170" t="s">
        <v>2842</v>
      </c>
      <c r="J2284" t="s">
        <v>2853</v>
      </c>
      <c r="K2284" s="188" t="s">
        <v>2853</v>
      </c>
    </row>
    <row r="2285" spans="1:11" x14ac:dyDescent="0.25">
      <c r="A2285" t="s">
        <v>6754</v>
      </c>
      <c r="B2285" s="27" t="s">
        <v>2328</v>
      </c>
      <c r="D2285" s="28" t="s">
        <v>4189</v>
      </c>
      <c r="E2285" s="29" t="s">
        <v>671</v>
      </c>
      <c r="F2285" s="30">
        <v>1</v>
      </c>
      <c r="G2285" s="31">
        <v>260.23</v>
      </c>
      <c r="H2285" s="31">
        <f t="shared" si="154"/>
        <v>260.23</v>
      </c>
      <c r="I2285" s="170" t="s">
        <v>2842</v>
      </c>
      <c r="J2285" t="s">
        <v>2853</v>
      </c>
      <c r="K2285" s="188" t="s">
        <v>2853</v>
      </c>
    </row>
    <row r="2286" spans="1:11" x14ac:dyDescent="0.25">
      <c r="A2286" t="s">
        <v>6755</v>
      </c>
      <c r="B2286" s="27" t="s">
        <v>2329</v>
      </c>
      <c r="D2286" s="28" t="s">
        <v>4190</v>
      </c>
      <c r="E2286" s="29" t="s">
        <v>671</v>
      </c>
      <c r="F2286" s="30">
        <v>1</v>
      </c>
      <c r="G2286" s="31">
        <v>260.23</v>
      </c>
      <c r="H2286" s="31">
        <f t="shared" si="154"/>
        <v>260.23</v>
      </c>
      <c r="I2286" s="170" t="s">
        <v>2842</v>
      </c>
      <c r="J2286" t="s">
        <v>2853</v>
      </c>
      <c r="K2286" s="188" t="s">
        <v>2853</v>
      </c>
    </row>
    <row r="2287" spans="1:11" x14ac:dyDescent="0.25">
      <c r="A2287" t="s">
        <v>6756</v>
      </c>
      <c r="B2287" s="27" t="s">
        <v>2330</v>
      </c>
      <c r="D2287" s="28" t="s">
        <v>4191</v>
      </c>
      <c r="E2287" s="29" t="s">
        <v>671</v>
      </c>
      <c r="F2287" s="30">
        <v>1</v>
      </c>
      <c r="G2287" s="31">
        <v>260.23</v>
      </c>
      <c r="H2287" s="31">
        <f t="shared" si="154"/>
        <v>260.23</v>
      </c>
      <c r="I2287" s="170" t="s">
        <v>2842</v>
      </c>
      <c r="J2287" t="s">
        <v>2853</v>
      </c>
      <c r="K2287" s="188" t="s">
        <v>2853</v>
      </c>
    </row>
    <row r="2288" spans="1:11" x14ac:dyDescent="0.25">
      <c r="A2288" t="s">
        <v>6757</v>
      </c>
      <c r="B2288" s="27" t="s">
        <v>2331</v>
      </c>
      <c r="D2288" s="28" t="s">
        <v>4192</v>
      </c>
      <c r="E2288" s="29" t="s">
        <v>21</v>
      </c>
      <c r="F2288" s="30">
        <v>1</v>
      </c>
      <c r="G2288" s="31">
        <v>299.89</v>
      </c>
      <c r="H2288" s="31">
        <f t="shared" si="154"/>
        <v>299.89</v>
      </c>
      <c r="I2288" s="170" t="s">
        <v>2842</v>
      </c>
      <c r="J2288" t="s">
        <v>2853</v>
      </c>
      <c r="K2288" s="188" t="s">
        <v>2853</v>
      </c>
    </row>
    <row r="2289" spans="1:11" x14ac:dyDescent="0.25">
      <c r="A2289" t="s">
        <v>6758</v>
      </c>
      <c r="B2289" s="27" t="s">
        <v>2332</v>
      </c>
      <c r="D2289" s="28" t="s">
        <v>4193</v>
      </c>
      <c r="E2289" s="29" t="s">
        <v>21</v>
      </c>
      <c r="F2289" s="30">
        <v>1</v>
      </c>
      <c r="G2289" s="31">
        <v>299.89</v>
      </c>
      <c r="H2289" s="31">
        <f t="shared" si="154"/>
        <v>299.89</v>
      </c>
      <c r="I2289" s="170" t="s">
        <v>2842</v>
      </c>
      <c r="J2289" t="s">
        <v>2853</v>
      </c>
      <c r="K2289" s="188" t="s">
        <v>2853</v>
      </c>
    </row>
    <row r="2290" spans="1:11" x14ac:dyDescent="0.25">
      <c r="A2290" t="s">
        <v>6759</v>
      </c>
      <c r="B2290" s="27" t="s">
        <v>2333</v>
      </c>
      <c r="D2290" s="28" t="s">
        <v>4194</v>
      </c>
      <c r="E2290" s="29" t="s">
        <v>21</v>
      </c>
      <c r="F2290" s="30">
        <v>1</v>
      </c>
      <c r="G2290" s="31">
        <v>299.89</v>
      </c>
      <c r="H2290" s="31">
        <f t="shared" si="154"/>
        <v>299.89</v>
      </c>
      <c r="I2290" s="170" t="s">
        <v>2842</v>
      </c>
      <c r="J2290" t="s">
        <v>2853</v>
      </c>
      <c r="K2290" s="188" t="s">
        <v>2853</v>
      </c>
    </row>
    <row r="2291" spans="1:11" x14ac:dyDescent="0.25">
      <c r="A2291" t="s">
        <v>6760</v>
      </c>
      <c r="B2291" s="27" t="s">
        <v>2334</v>
      </c>
      <c r="D2291" s="28" t="s">
        <v>4195</v>
      </c>
      <c r="E2291" s="29" t="s">
        <v>563</v>
      </c>
      <c r="F2291" s="30">
        <v>1</v>
      </c>
      <c r="G2291" s="31">
        <v>299.89</v>
      </c>
      <c r="H2291" s="31">
        <f t="shared" si="154"/>
        <v>299.89</v>
      </c>
      <c r="I2291" s="170" t="s">
        <v>2842</v>
      </c>
      <c r="J2291" t="s">
        <v>2853</v>
      </c>
      <c r="K2291" s="188" t="s">
        <v>2853</v>
      </c>
    </row>
    <row r="2292" spans="1:11" x14ac:dyDescent="0.25">
      <c r="A2292" t="s">
        <v>6761</v>
      </c>
      <c r="B2292" s="27" t="s">
        <v>2335</v>
      </c>
      <c r="D2292" s="28" t="s">
        <v>4196</v>
      </c>
      <c r="E2292" s="29" t="s">
        <v>563</v>
      </c>
      <c r="F2292" s="30">
        <v>1</v>
      </c>
      <c r="G2292" s="31">
        <v>299.89</v>
      </c>
      <c r="H2292" s="31">
        <f t="shared" si="154"/>
        <v>299.89</v>
      </c>
      <c r="I2292" s="170" t="s">
        <v>2842</v>
      </c>
      <c r="J2292" t="s">
        <v>2853</v>
      </c>
      <c r="K2292" s="188" t="s">
        <v>2853</v>
      </c>
    </row>
    <row r="2293" spans="1:11" x14ac:dyDescent="0.25">
      <c r="A2293" t="s">
        <v>6762</v>
      </c>
      <c r="B2293" s="27" t="s">
        <v>2336</v>
      </c>
      <c r="D2293" s="28" t="s">
        <v>4197</v>
      </c>
      <c r="E2293" s="29" t="s">
        <v>563</v>
      </c>
      <c r="F2293" s="30">
        <v>1</v>
      </c>
      <c r="G2293" s="31">
        <v>299.89</v>
      </c>
      <c r="H2293" s="31">
        <f t="shared" si="154"/>
        <v>299.89</v>
      </c>
      <c r="I2293" s="170" t="s">
        <v>2842</v>
      </c>
      <c r="J2293" t="s">
        <v>2853</v>
      </c>
      <c r="K2293" s="188" t="s">
        <v>2853</v>
      </c>
    </row>
    <row r="2294" spans="1:11" x14ac:dyDescent="0.25">
      <c r="A2294" t="s">
        <v>6763</v>
      </c>
      <c r="B2294" s="27" t="s">
        <v>2337</v>
      </c>
      <c r="D2294" s="28" t="s">
        <v>4198</v>
      </c>
      <c r="E2294" s="29" t="s">
        <v>671</v>
      </c>
      <c r="F2294" s="30">
        <v>1</v>
      </c>
      <c r="G2294" s="31">
        <v>299.89</v>
      </c>
      <c r="H2294" s="31">
        <f t="shared" si="154"/>
        <v>299.89</v>
      </c>
      <c r="I2294" s="170" t="s">
        <v>2842</v>
      </c>
      <c r="J2294" t="s">
        <v>2853</v>
      </c>
      <c r="K2294" s="188" t="s">
        <v>2853</v>
      </c>
    </row>
    <row r="2295" spans="1:11" x14ac:dyDescent="0.25">
      <c r="A2295" t="s">
        <v>6764</v>
      </c>
      <c r="B2295" s="27" t="s">
        <v>2338</v>
      </c>
      <c r="D2295" s="28" t="s">
        <v>4199</v>
      </c>
      <c r="E2295" s="29" t="s">
        <v>671</v>
      </c>
      <c r="F2295" s="30">
        <v>1</v>
      </c>
      <c r="G2295" s="31">
        <v>299.89</v>
      </c>
      <c r="H2295" s="31">
        <f t="shared" si="154"/>
        <v>299.89</v>
      </c>
      <c r="I2295" s="170" t="s">
        <v>2842</v>
      </c>
      <c r="J2295" t="s">
        <v>2853</v>
      </c>
      <c r="K2295" s="188" t="s">
        <v>2853</v>
      </c>
    </row>
    <row r="2296" spans="1:11" x14ac:dyDescent="0.25">
      <c r="A2296" t="s">
        <v>6765</v>
      </c>
      <c r="B2296" s="27" t="s">
        <v>2339</v>
      </c>
      <c r="D2296" s="28" t="s">
        <v>4200</v>
      </c>
      <c r="E2296" s="29" t="s">
        <v>671</v>
      </c>
      <c r="F2296" s="30">
        <v>1</v>
      </c>
      <c r="G2296" s="31">
        <v>299.89</v>
      </c>
      <c r="H2296" s="31">
        <f t="shared" si="154"/>
        <v>299.89</v>
      </c>
      <c r="I2296" s="170" t="s">
        <v>2842</v>
      </c>
      <c r="J2296" t="s">
        <v>2853</v>
      </c>
      <c r="K2296" s="188" t="s">
        <v>2853</v>
      </c>
    </row>
    <row r="2297" spans="1:11" x14ac:dyDescent="0.25">
      <c r="A2297" t="s">
        <v>6766</v>
      </c>
      <c r="B2297" s="27" t="s">
        <v>2340</v>
      </c>
      <c r="D2297" s="28" t="s">
        <v>4201</v>
      </c>
      <c r="E2297" s="29" t="s">
        <v>21</v>
      </c>
      <c r="F2297" s="30">
        <v>1</v>
      </c>
      <c r="G2297" s="31">
        <v>332.93</v>
      </c>
      <c r="H2297" s="31">
        <f t="shared" si="154"/>
        <v>332.93</v>
      </c>
      <c r="I2297" s="170" t="s">
        <v>2842</v>
      </c>
      <c r="J2297" t="s">
        <v>2853</v>
      </c>
      <c r="K2297" s="188" t="s">
        <v>2853</v>
      </c>
    </row>
    <row r="2298" spans="1:11" x14ac:dyDescent="0.25">
      <c r="A2298" t="s">
        <v>6767</v>
      </c>
      <c r="B2298" s="27" t="s">
        <v>2341</v>
      </c>
      <c r="D2298" s="28" t="s">
        <v>4202</v>
      </c>
      <c r="E2298" s="29" t="s">
        <v>21</v>
      </c>
      <c r="F2298" s="30">
        <v>1</v>
      </c>
      <c r="G2298" s="31">
        <v>332.93</v>
      </c>
      <c r="H2298" s="31">
        <f t="shared" si="154"/>
        <v>332.93</v>
      </c>
      <c r="I2298" s="170" t="s">
        <v>2842</v>
      </c>
      <c r="J2298" t="s">
        <v>2853</v>
      </c>
      <c r="K2298" s="188" t="s">
        <v>2853</v>
      </c>
    </row>
    <row r="2299" spans="1:11" x14ac:dyDescent="0.25">
      <c r="A2299" t="s">
        <v>6768</v>
      </c>
      <c r="B2299" s="27" t="s">
        <v>2342</v>
      </c>
      <c r="D2299" s="28" t="s">
        <v>4203</v>
      </c>
      <c r="E2299" s="29" t="s">
        <v>21</v>
      </c>
      <c r="F2299" s="30">
        <v>1</v>
      </c>
      <c r="G2299" s="31">
        <v>332.93</v>
      </c>
      <c r="H2299" s="31">
        <f t="shared" si="154"/>
        <v>332.93</v>
      </c>
      <c r="I2299" s="170" t="s">
        <v>2842</v>
      </c>
      <c r="J2299" t="s">
        <v>2853</v>
      </c>
      <c r="K2299" s="188" t="s">
        <v>2853</v>
      </c>
    </row>
    <row r="2300" spans="1:11" x14ac:dyDescent="0.25">
      <c r="A2300" t="s">
        <v>6769</v>
      </c>
      <c r="B2300" s="27" t="s">
        <v>2343</v>
      </c>
      <c r="D2300" s="28" t="s">
        <v>4204</v>
      </c>
      <c r="E2300" s="29" t="s">
        <v>563</v>
      </c>
      <c r="F2300" s="30">
        <v>1</v>
      </c>
      <c r="G2300" s="31">
        <v>332.93</v>
      </c>
      <c r="H2300" s="31">
        <f t="shared" si="154"/>
        <v>332.93</v>
      </c>
      <c r="I2300" s="170" t="s">
        <v>2842</v>
      </c>
      <c r="J2300" t="s">
        <v>2853</v>
      </c>
      <c r="K2300" s="188" t="s">
        <v>2853</v>
      </c>
    </row>
    <row r="2301" spans="1:11" x14ac:dyDescent="0.25">
      <c r="A2301" t="s">
        <v>6770</v>
      </c>
      <c r="B2301" s="27" t="s">
        <v>2344</v>
      </c>
      <c r="D2301" s="28" t="s">
        <v>4205</v>
      </c>
      <c r="E2301" s="29" t="s">
        <v>563</v>
      </c>
      <c r="F2301" s="30">
        <v>1</v>
      </c>
      <c r="G2301" s="31">
        <v>332.93</v>
      </c>
      <c r="H2301" s="31">
        <f t="shared" si="154"/>
        <v>332.93</v>
      </c>
      <c r="I2301" s="170" t="s">
        <v>2842</v>
      </c>
      <c r="J2301" t="s">
        <v>2853</v>
      </c>
      <c r="K2301" s="188" t="s">
        <v>2853</v>
      </c>
    </row>
    <row r="2302" spans="1:11" x14ac:dyDescent="0.25">
      <c r="A2302" t="s">
        <v>6771</v>
      </c>
      <c r="B2302" s="27" t="s">
        <v>2345</v>
      </c>
      <c r="D2302" s="28" t="s">
        <v>4206</v>
      </c>
      <c r="E2302" s="29" t="s">
        <v>563</v>
      </c>
      <c r="F2302" s="30">
        <v>1</v>
      </c>
      <c r="G2302" s="31">
        <v>332.93</v>
      </c>
      <c r="H2302" s="31">
        <f t="shared" si="154"/>
        <v>332.93</v>
      </c>
      <c r="I2302" s="170" t="s">
        <v>2842</v>
      </c>
      <c r="J2302" t="s">
        <v>2853</v>
      </c>
      <c r="K2302" s="188" t="s">
        <v>2853</v>
      </c>
    </row>
    <row r="2303" spans="1:11" x14ac:dyDescent="0.25">
      <c r="A2303" t="s">
        <v>6772</v>
      </c>
      <c r="B2303" s="27" t="s">
        <v>2346</v>
      </c>
      <c r="D2303" s="28" t="s">
        <v>4207</v>
      </c>
      <c r="E2303" s="29" t="s">
        <v>671</v>
      </c>
      <c r="F2303" s="30">
        <v>1</v>
      </c>
      <c r="G2303" s="31">
        <v>332.93</v>
      </c>
      <c r="H2303" s="31">
        <f t="shared" si="154"/>
        <v>332.93</v>
      </c>
      <c r="I2303" s="170" t="s">
        <v>2842</v>
      </c>
      <c r="J2303" t="s">
        <v>2853</v>
      </c>
      <c r="K2303" s="188" t="s">
        <v>2853</v>
      </c>
    </row>
    <row r="2304" spans="1:11" x14ac:dyDescent="0.25">
      <c r="A2304" t="s">
        <v>6773</v>
      </c>
      <c r="B2304" s="27" t="s">
        <v>2347</v>
      </c>
      <c r="D2304" s="28" t="s">
        <v>4208</v>
      </c>
      <c r="E2304" s="29" t="s">
        <v>671</v>
      </c>
      <c r="F2304" s="30">
        <v>1</v>
      </c>
      <c r="G2304" s="31">
        <v>332.93</v>
      </c>
      <c r="H2304" s="31">
        <f t="shared" si="154"/>
        <v>332.93</v>
      </c>
      <c r="I2304" s="170" t="s">
        <v>2842</v>
      </c>
      <c r="J2304" t="s">
        <v>2853</v>
      </c>
      <c r="K2304" s="188" t="s">
        <v>2853</v>
      </c>
    </row>
    <row r="2305" spans="1:11" x14ac:dyDescent="0.25">
      <c r="A2305" t="s">
        <v>6774</v>
      </c>
      <c r="B2305" s="27" t="s">
        <v>2348</v>
      </c>
      <c r="D2305" s="28" t="s">
        <v>4209</v>
      </c>
      <c r="E2305" s="29" t="s">
        <v>671</v>
      </c>
      <c r="F2305" s="30">
        <v>1</v>
      </c>
      <c r="G2305" s="31">
        <v>332.93</v>
      </c>
      <c r="H2305" s="31">
        <f t="shared" si="154"/>
        <v>332.93</v>
      </c>
      <c r="I2305" s="170" t="s">
        <v>2842</v>
      </c>
      <c r="J2305" t="s">
        <v>2853</v>
      </c>
      <c r="K2305" s="188" t="s">
        <v>2853</v>
      </c>
    </row>
    <row r="2306" spans="1:11" x14ac:dyDescent="0.25">
      <c r="A2306" t="s">
        <v>6775</v>
      </c>
      <c r="B2306" s="27" t="s">
        <v>2349</v>
      </c>
      <c r="D2306" s="28" t="s">
        <v>4210</v>
      </c>
      <c r="E2306" s="29" t="s">
        <v>21</v>
      </c>
      <c r="F2306" s="30">
        <v>1</v>
      </c>
      <c r="G2306" s="31">
        <v>207.33</v>
      </c>
      <c r="H2306" s="31">
        <f t="shared" si="154"/>
        <v>207.33</v>
      </c>
      <c r="I2306" s="170" t="s">
        <v>2842</v>
      </c>
      <c r="J2306" t="s">
        <v>2853</v>
      </c>
      <c r="K2306" s="188" t="s">
        <v>2853</v>
      </c>
    </row>
    <row r="2307" spans="1:11" x14ac:dyDescent="0.25">
      <c r="A2307" t="s">
        <v>6776</v>
      </c>
      <c r="B2307" s="27" t="s">
        <v>2350</v>
      </c>
      <c r="D2307" s="28" t="s">
        <v>4211</v>
      </c>
      <c r="E2307" s="29" t="s">
        <v>21</v>
      </c>
      <c r="F2307" s="30">
        <v>1</v>
      </c>
      <c r="G2307" s="31">
        <v>207.33</v>
      </c>
      <c r="H2307" s="31">
        <f t="shared" si="154"/>
        <v>207.33</v>
      </c>
      <c r="I2307" s="170" t="s">
        <v>2842</v>
      </c>
      <c r="J2307" t="s">
        <v>2853</v>
      </c>
      <c r="K2307" s="188" t="s">
        <v>2853</v>
      </c>
    </row>
    <row r="2308" spans="1:11" x14ac:dyDescent="0.25">
      <c r="A2308" t="s">
        <v>6777</v>
      </c>
      <c r="B2308" s="27" t="s">
        <v>2351</v>
      </c>
      <c r="D2308" s="28" t="s">
        <v>4212</v>
      </c>
      <c r="E2308" s="29" t="s">
        <v>21</v>
      </c>
      <c r="F2308" s="30">
        <v>1</v>
      </c>
      <c r="G2308" s="31">
        <v>207.33</v>
      </c>
      <c r="H2308" s="31">
        <f t="shared" si="154"/>
        <v>207.33</v>
      </c>
      <c r="I2308" s="170" t="s">
        <v>2842</v>
      </c>
      <c r="J2308" t="s">
        <v>2853</v>
      </c>
      <c r="K2308" s="188" t="s">
        <v>2853</v>
      </c>
    </row>
    <row r="2309" spans="1:11" x14ac:dyDescent="0.25">
      <c r="A2309" t="s">
        <v>6778</v>
      </c>
      <c r="B2309" s="27" t="s">
        <v>2352</v>
      </c>
      <c r="D2309" s="28" t="s">
        <v>4213</v>
      </c>
      <c r="E2309" s="29" t="s">
        <v>563</v>
      </c>
      <c r="F2309" s="30">
        <v>1</v>
      </c>
      <c r="G2309" s="31">
        <v>207.33</v>
      </c>
      <c r="H2309" s="31">
        <f t="shared" si="154"/>
        <v>207.33</v>
      </c>
      <c r="I2309" s="170" t="s">
        <v>2842</v>
      </c>
      <c r="J2309" t="s">
        <v>2853</v>
      </c>
      <c r="K2309" s="188" t="s">
        <v>2853</v>
      </c>
    </row>
    <row r="2310" spans="1:11" x14ac:dyDescent="0.25">
      <c r="A2310" t="s">
        <v>6779</v>
      </c>
      <c r="B2310" s="27" t="s">
        <v>2353</v>
      </c>
      <c r="D2310" s="28" t="s">
        <v>4214</v>
      </c>
      <c r="E2310" s="29" t="s">
        <v>563</v>
      </c>
      <c r="F2310" s="30">
        <v>1</v>
      </c>
      <c r="G2310" s="31">
        <v>207.33</v>
      </c>
      <c r="H2310" s="31">
        <f t="shared" si="154"/>
        <v>207.33</v>
      </c>
      <c r="I2310" s="170" t="s">
        <v>2842</v>
      </c>
      <c r="J2310" t="s">
        <v>2853</v>
      </c>
      <c r="K2310" s="188" t="s">
        <v>2853</v>
      </c>
    </row>
    <row r="2311" spans="1:11" x14ac:dyDescent="0.25">
      <c r="A2311" t="s">
        <v>6780</v>
      </c>
      <c r="B2311" s="27" t="s">
        <v>2354</v>
      </c>
      <c r="D2311" s="28" t="s">
        <v>4215</v>
      </c>
      <c r="E2311" s="29" t="s">
        <v>563</v>
      </c>
      <c r="F2311" s="30">
        <v>1</v>
      </c>
      <c r="G2311" s="31">
        <v>207.33</v>
      </c>
      <c r="H2311" s="31">
        <f t="shared" si="154"/>
        <v>207.33</v>
      </c>
      <c r="I2311" s="170" t="s">
        <v>2842</v>
      </c>
      <c r="J2311" t="s">
        <v>2853</v>
      </c>
      <c r="K2311" s="188" t="s">
        <v>2853</v>
      </c>
    </row>
    <row r="2312" spans="1:11" x14ac:dyDescent="0.25">
      <c r="A2312" t="s">
        <v>6781</v>
      </c>
      <c r="B2312" s="27" t="s">
        <v>2355</v>
      </c>
      <c r="D2312" s="28" t="s">
        <v>4216</v>
      </c>
      <c r="E2312" s="29" t="s">
        <v>671</v>
      </c>
      <c r="F2312" s="30">
        <v>1</v>
      </c>
      <c r="G2312" s="31">
        <v>207.33</v>
      </c>
      <c r="H2312" s="31">
        <f t="shared" si="154"/>
        <v>207.33</v>
      </c>
      <c r="I2312" s="170" t="s">
        <v>2842</v>
      </c>
      <c r="J2312" t="s">
        <v>2853</v>
      </c>
      <c r="K2312" s="188" t="s">
        <v>2853</v>
      </c>
    </row>
    <row r="2313" spans="1:11" x14ac:dyDescent="0.25">
      <c r="A2313" t="s">
        <v>6782</v>
      </c>
      <c r="B2313" s="27" t="s">
        <v>2356</v>
      </c>
      <c r="D2313" s="28" t="s">
        <v>4217</v>
      </c>
      <c r="E2313" s="29" t="s">
        <v>671</v>
      </c>
      <c r="F2313" s="30">
        <v>1</v>
      </c>
      <c r="G2313" s="31">
        <v>207.33</v>
      </c>
      <c r="H2313" s="31">
        <f t="shared" si="154"/>
        <v>207.33</v>
      </c>
      <c r="I2313" s="170" t="s">
        <v>2842</v>
      </c>
      <c r="J2313" t="s">
        <v>2853</v>
      </c>
      <c r="K2313" s="188" t="s">
        <v>2853</v>
      </c>
    </row>
    <row r="2314" spans="1:11" x14ac:dyDescent="0.25">
      <c r="A2314" t="s">
        <v>6783</v>
      </c>
      <c r="B2314" s="27" t="s">
        <v>2357</v>
      </c>
      <c r="D2314" s="28" t="s">
        <v>4218</v>
      </c>
      <c r="E2314" s="29" t="s">
        <v>671</v>
      </c>
      <c r="F2314" s="30">
        <v>1</v>
      </c>
      <c r="G2314" s="31">
        <v>207.33</v>
      </c>
      <c r="H2314" s="31">
        <f t="shared" si="154"/>
        <v>207.33</v>
      </c>
      <c r="I2314" s="170" t="s">
        <v>2842</v>
      </c>
      <c r="J2314" t="s">
        <v>2853</v>
      </c>
      <c r="K2314" s="188" t="s">
        <v>2853</v>
      </c>
    </row>
    <row r="2315" spans="1:11" x14ac:dyDescent="0.25">
      <c r="A2315" t="s">
        <v>6784</v>
      </c>
      <c r="B2315" s="27" t="s">
        <v>2358</v>
      </c>
      <c r="D2315" s="28" t="s">
        <v>4219</v>
      </c>
      <c r="E2315" s="29" t="s">
        <v>21</v>
      </c>
      <c r="F2315" s="30">
        <v>1</v>
      </c>
      <c r="G2315" s="31">
        <v>227.18</v>
      </c>
      <c r="H2315" s="31">
        <f t="shared" si="154"/>
        <v>227.18</v>
      </c>
      <c r="I2315" s="170" t="s">
        <v>2842</v>
      </c>
      <c r="J2315" t="s">
        <v>2853</v>
      </c>
      <c r="K2315" s="188" t="s">
        <v>2853</v>
      </c>
    </row>
    <row r="2316" spans="1:11" x14ac:dyDescent="0.25">
      <c r="A2316" t="s">
        <v>6785</v>
      </c>
      <c r="B2316" s="27" t="s">
        <v>2359</v>
      </c>
      <c r="D2316" s="28" t="s">
        <v>4220</v>
      </c>
      <c r="E2316" s="29" t="s">
        <v>21</v>
      </c>
      <c r="F2316" s="30">
        <v>1</v>
      </c>
      <c r="G2316" s="31">
        <v>227.18</v>
      </c>
      <c r="H2316" s="31">
        <f t="shared" si="154"/>
        <v>227.18</v>
      </c>
      <c r="I2316" s="170" t="s">
        <v>2842</v>
      </c>
      <c r="J2316" t="s">
        <v>2853</v>
      </c>
      <c r="K2316" s="188" t="s">
        <v>2853</v>
      </c>
    </row>
    <row r="2317" spans="1:11" x14ac:dyDescent="0.25">
      <c r="A2317" t="s">
        <v>6786</v>
      </c>
      <c r="B2317" s="27" t="s">
        <v>2360</v>
      </c>
      <c r="D2317" s="28" t="s">
        <v>4221</v>
      </c>
      <c r="E2317" s="29" t="s">
        <v>21</v>
      </c>
      <c r="F2317" s="30">
        <v>1</v>
      </c>
      <c r="G2317" s="31">
        <v>227.18</v>
      </c>
      <c r="H2317" s="31">
        <f t="shared" si="154"/>
        <v>227.18</v>
      </c>
      <c r="I2317" s="170" t="s">
        <v>2842</v>
      </c>
      <c r="J2317" t="s">
        <v>2853</v>
      </c>
      <c r="K2317" s="188" t="s">
        <v>2853</v>
      </c>
    </row>
    <row r="2318" spans="1:11" x14ac:dyDescent="0.25">
      <c r="A2318" t="s">
        <v>6787</v>
      </c>
      <c r="B2318" s="27" t="s">
        <v>2361</v>
      </c>
      <c r="D2318" s="28" t="s">
        <v>4222</v>
      </c>
      <c r="E2318" s="29" t="s">
        <v>563</v>
      </c>
      <c r="F2318" s="30">
        <v>1</v>
      </c>
      <c r="G2318" s="31">
        <v>227.18</v>
      </c>
      <c r="H2318" s="31">
        <f t="shared" si="154"/>
        <v>227.18</v>
      </c>
      <c r="I2318" s="170" t="s">
        <v>2842</v>
      </c>
      <c r="J2318" t="s">
        <v>2853</v>
      </c>
      <c r="K2318" s="188" t="s">
        <v>2853</v>
      </c>
    </row>
    <row r="2319" spans="1:11" x14ac:dyDescent="0.25">
      <c r="A2319" t="s">
        <v>6788</v>
      </c>
      <c r="B2319" s="27" t="s">
        <v>2362</v>
      </c>
      <c r="D2319" s="28" t="s">
        <v>4223</v>
      </c>
      <c r="E2319" s="29" t="s">
        <v>563</v>
      </c>
      <c r="F2319" s="30">
        <v>1</v>
      </c>
      <c r="G2319" s="31">
        <v>227.18</v>
      </c>
      <c r="H2319" s="31">
        <f t="shared" si="154"/>
        <v>227.18</v>
      </c>
      <c r="I2319" s="170" t="s">
        <v>2842</v>
      </c>
      <c r="J2319" t="s">
        <v>2853</v>
      </c>
      <c r="K2319" s="188" t="s">
        <v>2853</v>
      </c>
    </row>
    <row r="2320" spans="1:11" x14ac:dyDescent="0.25">
      <c r="A2320" t="s">
        <v>6789</v>
      </c>
      <c r="B2320" s="27" t="s">
        <v>2363</v>
      </c>
      <c r="D2320" s="28" t="s">
        <v>4224</v>
      </c>
      <c r="E2320" s="29" t="s">
        <v>563</v>
      </c>
      <c r="F2320" s="30">
        <v>1</v>
      </c>
      <c r="G2320" s="31">
        <v>227.18</v>
      </c>
      <c r="H2320" s="31">
        <f t="shared" si="154"/>
        <v>227.18</v>
      </c>
      <c r="I2320" s="170" t="s">
        <v>2842</v>
      </c>
      <c r="J2320" t="s">
        <v>2853</v>
      </c>
      <c r="K2320" s="188" t="s">
        <v>2853</v>
      </c>
    </row>
    <row r="2321" spans="1:11" x14ac:dyDescent="0.25">
      <c r="A2321" t="s">
        <v>6790</v>
      </c>
      <c r="B2321" s="27" t="s">
        <v>2364</v>
      </c>
      <c r="D2321" s="28" t="s">
        <v>4225</v>
      </c>
      <c r="E2321" s="29" t="s">
        <v>671</v>
      </c>
      <c r="F2321" s="30">
        <v>1</v>
      </c>
      <c r="G2321" s="31">
        <v>227.18</v>
      </c>
      <c r="H2321" s="31">
        <f t="shared" si="154"/>
        <v>227.18</v>
      </c>
      <c r="I2321" s="170" t="s">
        <v>2842</v>
      </c>
      <c r="J2321" t="s">
        <v>2853</v>
      </c>
      <c r="K2321" s="188" t="s">
        <v>2853</v>
      </c>
    </row>
    <row r="2322" spans="1:11" x14ac:dyDescent="0.25">
      <c r="A2322" t="s">
        <v>6791</v>
      </c>
      <c r="B2322" s="27" t="s">
        <v>2365</v>
      </c>
      <c r="D2322" s="28" t="s">
        <v>4226</v>
      </c>
      <c r="E2322" s="29" t="s">
        <v>671</v>
      </c>
      <c r="F2322" s="30">
        <v>1</v>
      </c>
      <c r="G2322" s="31">
        <v>227.18</v>
      </c>
      <c r="H2322" s="31">
        <f t="shared" si="154"/>
        <v>227.18</v>
      </c>
      <c r="I2322" s="170" t="s">
        <v>2842</v>
      </c>
      <c r="J2322" t="s">
        <v>2853</v>
      </c>
      <c r="K2322" s="188" t="s">
        <v>2853</v>
      </c>
    </row>
    <row r="2323" spans="1:11" x14ac:dyDescent="0.25">
      <c r="A2323" t="s">
        <v>6792</v>
      </c>
      <c r="B2323" s="27" t="s">
        <v>2366</v>
      </c>
      <c r="D2323" s="28" t="s">
        <v>4227</v>
      </c>
      <c r="E2323" s="29" t="s">
        <v>671</v>
      </c>
      <c r="F2323" s="30">
        <v>1</v>
      </c>
      <c r="G2323" s="31">
        <v>227.18</v>
      </c>
      <c r="H2323" s="31">
        <f t="shared" si="154"/>
        <v>227.18</v>
      </c>
      <c r="I2323" s="170" t="s">
        <v>2842</v>
      </c>
      <c r="J2323" t="s">
        <v>2853</v>
      </c>
      <c r="K2323" s="188" t="s">
        <v>2853</v>
      </c>
    </row>
    <row r="2324" spans="1:11" x14ac:dyDescent="0.25">
      <c r="A2324" t="s">
        <v>6793</v>
      </c>
      <c r="B2324" s="27" t="s">
        <v>2367</v>
      </c>
      <c r="D2324" s="28" t="s">
        <v>4228</v>
      </c>
      <c r="E2324" s="29" t="s">
        <v>21</v>
      </c>
      <c r="F2324" s="30">
        <v>1</v>
      </c>
      <c r="G2324" s="31">
        <v>260.23</v>
      </c>
      <c r="H2324" s="31">
        <f t="shared" si="154"/>
        <v>260.23</v>
      </c>
      <c r="I2324" s="170" t="s">
        <v>2842</v>
      </c>
      <c r="J2324" t="s">
        <v>2853</v>
      </c>
      <c r="K2324" s="188" t="s">
        <v>2853</v>
      </c>
    </row>
    <row r="2325" spans="1:11" x14ac:dyDescent="0.25">
      <c r="A2325" t="s">
        <v>6794</v>
      </c>
      <c r="B2325" s="27" t="s">
        <v>2368</v>
      </c>
      <c r="D2325" s="28" t="s">
        <v>4229</v>
      </c>
      <c r="E2325" s="29" t="s">
        <v>21</v>
      </c>
      <c r="F2325" s="30">
        <v>1</v>
      </c>
      <c r="G2325" s="31">
        <v>260.23</v>
      </c>
      <c r="H2325" s="31">
        <f t="shared" si="154"/>
        <v>260.23</v>
      </c>
      <c r="I2325" s="170" t="s">
        <v>2842</v>
      </c>
      <c r="J2325" t="s">
        <v>2853</v>
      </c>
      <c r="K2325" s="188" t="s">
        <v>2853</v>
      </c>
    </row>
    <row r="2326" spans="1:11" x14ac:dyDescent="0.25">
      <c r="A2326" t="s">
        <v>6795</v>
      </c>
      <c r="B2326" s="27" t="s">
        <v>2369</v>
      </c>
      <c r="D2326" s="28" t="s">
        <v>4230</v>
      </c>
      <c r="E2326" s="29" t="s">
        <v>21</v>
      </c>
      <c r="F2326" s="30">
        <v>1</v>
      </c>
      <c r="G2326" s="31">
        <v>260.23</v>
      </c>
      <c r="H2326" s="31">
        <f t="shared" si="154"/>
        <v>260.23</v>
      </c>
      <c r="I2326" s="170" t="s">
        <v>2842</v>
      </c>
      <c r="J2326" t="s">
        <v>2853</v>
      </c>
      <c r="K2326" s="188" t="s">
        <v>2853</v>
      </c>
    </row>
    <row r="2327" spans="1:11" x14ac:dyDescent="0.25">
      <c r="A2327" t="s">
        <v>6796</v>
      </c>
      <c r="B2327" s="27" t="s">
        <v>2370</v>
      </c>
      <c r="D2327" s="28" t="s">
        <v>4231</v>
      </c>
      <c r="E2327" s="29" t="s">
        <v>563</v>
      </c>
      <c r="F2327" s="30">
        <v>1</v>
      </c>
      <c r="G2327" s="31">
        <v>260.23</v>
      </c>
      <c r="H2327" s="31">
        <f t="shared" si="154"/>
        <v>260.23</v>
      </c>
      <c r="I2327" s="170" t="s">
        <v>2842</v>
      </c>
      <c r="J2327" t="s">
        <v>2853</v>
      </c>
      <c r="K2327" s="188" t="s">
        <v>2853</v>
      </c>
    </row>
    <row r="2328" spans="1:11" x14ac:dyDescent="0.25">
      <c r="A2328" t="s">
        <v>6797</v>
      </c>
      <c r="B2328" s="27" t="s">
        <v>2371</v>
      </c>
      <c r="D2328" s="28" t="s">
        <v>4232</v>
      </c>
      <c r="E2328" s="29" t="s">
        <v>563</v>
      </c>
      <c r="F2328" s="30">
        <v>1</v>
      </c>
      <c r="G2328" s="31">
        <v>260.23</v>
      </c>
      <c r="H2328" s="31">
        <f t="shared" ref="H2328:H2391" si="155">+F2328*G2328</f>
        <v>260.23</v>
      </c>
      <c r="I2328" s="170" t="s">
        <v>2842</v>
      </c>
      <c r="J2328" t="s">
        <v>2853</v>
      </c>
      <c r="K2328" s="188" t="s">
        <v>2853</v>
      </c>
    </row>
    <row r="2329" spans="1:11" x14ac:dyDescent="0.25">
      <c r="A2329" t="s">
        <v>6798</v>
      </c>
      <c r="B2329" s="27" t="s">
        <v>2372</v>
      </c>
      <c r="D2329" s="28" t="s">
        <v>4233</v>
      </c>
      <c r="E2329" s="29" t="s">
        <v>563</v>
      </c>
      <c r="F2329" s="30">
        <v>1</v>
      </c>
      <c r="G2329" s="31">
        <v>260.23</v>
      </c>
      <c r="H2329" s="31">
        <f t="shared" si="155"/>
        <v>260.23</v>
      </c>
      <c r="I2329" s="170" t="s">
        <v>2842</v>
      </c>
      <c r="J2329" t="s">
        <v>2853</v>
      </c>
      <c r="K2329" s="188" t="s">
        <v>2853</v>
      </c>
    </row>
    <row r="2330" spans="1:11" x14ac:dyDescent="0.25">
      <c r="A2330" t="s">
        <v>6799</v>
      </c>
      <c r="B2330" s="27" t="s">
        <v>2373</v>
      </c>
      <c r="D2330" s="28" t="s">
        <v>4234</v>
      </c>
      <c r="E2330" s="29" t="s">
        <v>671</v>
      </c>
      <c r="F2330" s="30">
        <v>1</v>
      </c>
      <c r="G2330" s="31">
        <v>260.23</v>
      </c>
      <c r="H2330" s="31">
        <f t="shared" si="155"/>
        <v>260.23</v>
      </c>
      <c r="I2330" s="170" t="s">
        <v>2842</v>
      </c>
      <c r="J2330" t="s">
        <v>2853</v>
      </c>
      <c r="K2330" s="188" t="s">
        <v>2853</v>
      </c>
    </row>
    <row r="2331" spans="1:11" x14ac:dyDescent="0.25">
      <c r="A2331" t="s">
        <v>6800</v>
      </c>
      <c r="B2331" s="27" t="s">
        <v>2374</v>
      </c>
      <c r="D2331" s="28" t="s">
        <v>4235</v>
      </c>
      <c r="E2331" s="29" t="s">
        <v>671</v>
      </c>
      <c r="F2331" s="30">
        <v>1</v>
      </c>
      <c r="G2331" s="31">
        <v>260.23</v>
      </c>
      <c r="H2331" s="31">
        <f t="shared" si="155"/>
        <v>260.23</v>
      </c>
      <c r="I2331" s="170" t="s">
        <v>2842</v>
      </c>
      <c r="J2331" t="s">
        <v>2853</v>
      </c>
      <c r="K2331" s="188" t="s">
        <v>2853</v>
      </c>
    </row>
    <row r="2332" spans="1:11" x14ac:dyDescent="0.25">
      <c r="A2332" t="s">
        <v>6801</v>
      </c>
      <c r="B2332" s="27" t="s">
        <v>2375</v>
      </c>
      <c r="D2332" s="28" t="s">
        <v>4236</v>
      </c>
      <c r="E2332" s="29" t="s">
        <v>671</v>
      </c>
      <c r="F2332" s="30">
        <v>1</v>
      </c>
      <c r="G2332" s="31">
        <v>260.23</v>
      </c>
      <c r="H2332" s="31">
        <f t="shared" si="155"/>
        <v>260.23</v>
      </c>
      <c r="I2332" s="170" t="s">
        <v>2842</v>
      </c>
      <c r="J2332" t="s">
        <v>2853</v>
      </c>
      <c r="K2332" s="188" t="s">
        <v>2853</v>
      </c>
    </row>
    <row r="2333" spans="1:11" x14ac:dyDescent="0.25">
      <c r="A2333" t="s">
        <v>6802</v>
      </c>
      <c r="B2333" s="27" t="s">
        <v>2376</v>
      </c>
      <c r="D2333" s="28" t="s">
        <v>4237</v>
      </c>
      <c r="E2333" s="29" t="s">
        <v>21</v>
      </c>
      <c r="F2333" s="30">
        <v>1</v>
      </c>
      <c r="G2333" s="31">
        <v>286.66000000000003</v>
      </c>
      <c r="H2333" s="31">
        <f t="shared" si="155"/>
        <v>286.66000000000003</v>
      </c>
      <c r="I2333" s="170" t="s">
        <v>2842</v>
      </c>
      <c r="J2333" t="s">
        <v>2853</v>
      </c>
      <c r="K2333" s="188" t="s">
        <v>2853</v>
      </c>
    </row>
    <row r="2334" spans="1:11" x14ac:dyDescent="0.25">
      <c r="A2334" t="s">
        <v>6803</v>
      </c>
      <c r="B2334" s="27" t="s">
        <v>2377</v>
      </c>
      <c r="D2334" s="28" t="s">
        <v>4238</v>
      </c>
      <c r="E2334" s="29" t="s">
        <v>21</v>
      </c>
      <c r="F2334" s="30">
        <v>1</v>
      </c>
      <c r="G2334" s="31">
        <v>286.66000000000003</v>
      </c>
      <c r="H2334" s="31">
        <f t="shared" si="155"/>
        <v>286.66000000000003</v>
      </c>
      <c r="I2334" s="170" t="s">
        <v>2842</v>
      </c>
      <c r="J2334" t="s">
        <v>2853</v>
      </c>
      <c r="K2334" s="188" t="s">
        <v>2853</v>
      </c>
    </row>
    <row r="2335" spans="1:11" x14ac:dyDescent="0.25">
      <c r="A2335" t="s">
        <v>6804</v>
      </c>
      <c r="B2335" s="27" t="s">
        <v>2378</v>
      </c>
      <c r="D2335" s="28" t="s">
        <v>4239</v>
      </c>
      <c r="E2335" s="29" t="s">
        <v>21</v>
      </c>
      <c r="F2335" s="30">
        <v>1</v>
      </c>
      <c r="G2335" s="31">
        <v>286.66000000000003</v>
      </c>
      <c r="H2335" s="31">
        <f t="shared" si="155"/>
        <v>286.66000000000003</v>
      </c>
      <c r="I2335" s="170" t="s">
        <v>2842</v>
      </c>
      <c r="J2335" t="s">
        <v>2853</v>
      </c>
      <c r="K2335" s="188" t="s">
        <v>2853</v>
      </c>
    </row>
    <row r="2336" spans="1:11" x14ac:dyDescent="0.25">
      <c r="A2336" t="s">
        <v>6805</v>
      </c>
      <c r="B2336" s="27" t="s">
        <v>2379</v>
      </c>
      <c r="D2336" s="28" t="s">
        <v>4240</v>
      </c>
      <c r="E2336" s="29" t="s">
        <v>563</v>
      </c>
      <c r="F2336" s="30">
        <v>1</v>
      </c>
      <c r="G2336" s="31">
        <v>286.66000000000003</v>
      </c>
      <c r="H2336" s="31">
        <f t="shared" si="155"/>
        <v>286.66000000000003</v>
      </c>
      <c r="I2336" s="170" t="s">
        <v>2842</v>
      </c>
      <c r="J2336" t="s">
        <v>2853</v>
      </c>
      <c r="K2336" s="188" t="s">
        <v>2853</v>
      </c>
    </row>
    <row r="2337" spans="1:11" x14ac:dyDescent="0.25">
      <c r="A2337" t="s">
        <v>6806</v>
      </c>
      <c r="B2337" s="27" t="s">
        <v>2380</v>
      </c>
      <c r="D2337" s="28" t="s">
        <v>4241</v>
      </c>
      <c r="E2337" s="29" t="s">
        <v>563</v>
      </c>
      <c r="F2337" s="30">
        <v>1</v>
      </c>
      <c r="G2337" s="31">
        <v>286.66000000000003</v>
      </c>
      <c r="H2337" s="31">
        <f t="shared" si="155"/>
        <v>286.66000000000003</v>
      </c>
      <c r="I2337" s="170" t="s">
        <v>2842</v>
      </c>
      <c r="J2337" t="s">
        <v>2853</v>
      </c>
      <c r="K2337" s="188" t="s">
        <v>2853</v>
      </c>
    </row>
    <row r="2338" spans="1:11" x14ac:dyDescent="0.25">
      <c r="A2338" t="s">
        <v>6807</v>
      </c>
      <c r="B2338" s="27" t="s">
        <v>2381</v>
      </c>
      <c r="D2338" s="28" t="s">
        <v>4242</v>
      </c>
      <c r="E2338" s="29" t="s">
        <v>563</v>
      </c>
      <c r="F2338" s="30">
        <v>1</v>
      </c>
      <c r="G2338" s="31">
        <v>286.66000000000003</v>
      </c>
      <c r="H2338" s="31">
        <f t="shared" si="155"/>
        <v>286.66000000000003</v>
      </c>
      <c r="I2338" s="170" t="s">
        <v>2842</v>
      </c>
      <c r="J2338" t="s">
        <v>2853</v>
      </c>
      <c r="K2338" s="188" t="s">
        <v>2853</v>
      </c>
    </row>
    <row r="2339" spans="1:11" x14ac:dyDescent="0.25">
      <c r="A2339" t="s">
        <v>6808</v>
      </c>
      <c r="B2339" s="27" t="s">
        <v>2382</v>
      </c>
      <c r="D2339" s="28" t="s">
        <v>4243</v>
      </c>
      <c r="E2339" s="29" t="s">
        <v>671</v>
      </c>
      <c r="F2339" s="30">
        <v>1</v>
      </c>
      <c r="G2339" s="31">
        <v>286.66000000000003</v>
      </c>
      <c r="H2339" s="31">
        <f t="shared" si="155"/>
        <v>286.66000000000003</v>
      </c>
      <c r="I2339" s="170" t="s">
        <v>2842</v>
      </c>
      <c r="J2339" t="s">
        <v>2853</v>
      </c>
      <c r="K2339" s="188" t="s">
        <v>2853</v>
      </c>
    </row>
    <row r="2340" spans="1:11" x14ac:dyDescent="0.25">
      <c r="A2340" t="s">
        <v>6809</v>
      </c>
      <c r="B2340" s="27" t="s">
        <v>2383</v>
      </c>
      <c r="D2340" s="28" t="s">
        <v>4244</v>
      </c>
      <c r="E2340" s="29" t="s">
        <v>671</v>
      </c>
      <c r="F2340" s="30">
        <v>1</v>
      </c>
      <c r="G2340" s="31">
        <v>286.66000000000003</v>
      </c>
      <c r="H2340" s="31">
        <f t="shared" si="155"/>
        <v>286.66000000000003</v>
      </c>
      <c r="I2340" s="170" t="s">
        <v>2842</v>
      </c>
      <c r="J2340" t="s">
        <v>2853</v>
      </c>
      <c r="K2340" s="188" t="s">
        <v>2853</v>
      </c>
    </row>
    <row r="2341" spans="1:11" x14ac:dyDescent="0.25">
      <c r="A2341" t="s">
        <v>6810</v>
      </c>
      <c r="B2341" s="27" t="s">
        <v>2384</v>
      </c>
      <c r="D2341" s="28" t="s">
        <v>4245</v>
      </c>
      <c r="E2341" s="29" t="s">
        <v>671</v>
      </c>
      <c r="F2341" s="30">
        <v>1</v>
      </c>
      <c r="G2341" s="31">
        <v>286.66000000000003</v>
      </c>
      <c r="H2341" s="31">
        <f t="shared" si="155"/>
        <v>286.66000000000003</v>
      </c>
      <c r="I2341" s="170" t="s">
        <v>2842</v>
      </c>
      <c r="J2341" t="s">
        <v>2853</v>
      </c>
      <c r="K2341" s="188" t="s">
        <v>2853</v>
      </c>
    </row>
    <row r="2342" spans="1:11" x14ac:dyDescent="0.25">
      <c r="A2342" t="s">
        <v>6811</v>
      </c>
      <c r="B2342" s="27" t="s">
        <v>2385</v>
      </c>
      <c r="D2342" s="28" t="s">
        <v>4246</v>
      </c>
      <c r="E2342" s="29" t="s">
        <v>21</v>
      </c>
      <c r="F2342" s="30">
        <v>1</v>
      </c>
      <c r="G2342" s="31">
        <v>154.44</v>
      </c>
      <c r="H2342" s="31">
        <f t="shared" si="155"/>
        <v>154.44</v>
      </c>
      <c r="I2342" s="170" t="s">
        <v>2842</v>
      </c>
      <c r="J2342" t="s">
        <v>2853</v>
      </c>
      <c r="K2342" s="188" t="s">
        <v>2853</v>
      </c>
    </row>
    <row r="2343" spans="1:11" x14ac:dyDescent="0.25">
      <c r="A2343" t="s">
        <v>6812</v>
      </c>
      <c r="B2343" s="27" t="s">
        <v>2386</v>
      </c>
      <c r="D2343" s="28" t="s">
        <v>4247</v>
      </c>
      <c r="E2343" s="29" t="s">
        <v>21</v>
      </c>
      <c r="F2343" s="30">
        <v>1</v>
      </c>
      <c r="G2343" s="31">
        <v>154.44</v>
      </c>
      <c r="H2343" s="31">
        <f t="shared" si="155"/>
        <v>154.44</v>
      </c>
      <c r="I2343" s="170" t="s">
        <v>2842</v>
      </c>
      <c r="J2343" t="s">
        <v>2853</v>
      </c>
      <c r="K2343" s="188" t="s">
        <v>2853</v>
      </c>
    </row>
    <row r="2344" spans="1:11" x14ac:dyDescent="0.25">
      <c r="A2344" t="s">
        <v>6813</v>
      </c>
      <c r="B2344" s="27" t="s">
        <v>2387</v>
      </c>
      <c r="D2344" s="28" t="s">
        <v>4248</v>
      </c>
      <c r="E2344" s="29" t="s">
        <v>21</v>
      </c>
      <c r="F2344" s="30">
        <v>1</v>
      </c>
      <c r="G2344" s="31">
        <v>154.44</v>
      </c>
      <c r="H2344" s="31">
        <f t="shared" si="155"/>
        <v>154.44</v>
      </c>
      <c r="I2344" s="170" t="s">
        <v>2842</v>
      </c>
      <c r="J2344" t="s">
        <v>2853</v>
      </c>
      <c r="K2344" s="188" t="s">
        <v>2853</v>
      </c>
    </row>
    <row r="2345" spans="1:11" x14ac:dyDescent="0.25">
      <c r="A2345" t="s">
        <v>6814</v>
      </c>
      <c r="B2345" s="27" t="s">
        <v>2388</v>
      </c>
      <c r="D2345" s="28" t="s">
        <v>4249</v>
      </c>
      <c r="E2345" s="29" t="s">
        <v>563</v>
      </c>
      <c r="F2345" s="30">
        <v>1</v>
      </c>
      <c r="G2345" s="31">
        <v>154.44</v>
      </c>
      <c r="H2345" s="31">
        <f t="shared" si="155"/>
        <v>154.44</v>
      </c>
      <c r="I2345" s="170" t="s">
        <v>2842</v>
      </c>
      <c r="J2345" t="s">
        <v>2853</v>
      </c>
      <c r="K2345" s="188" t="s">
        <v>2853</v>
      </c>
    </row>
    <row r="2346" spans="1:11" x14ac:dyDescent="0.25">
      <c r="A2346" t="s">
        <v>6815</v>
      </c>
      <c r="B2346" s="27" t="s">
        <v>2389</v>
      </c>
      <c r="D2346" s="28" t="s">
        <v>4250</v>
      </c>
      <c r="E2346" s="29" t="s">
        <v>563</v>
      </c>
      <c r="F2346" s="30">
        <v>1</v>
      </c>
      <c r="G2346" s="31">
        <v>154.44</v>
      </c>
      <c r="H2346" s="31">
        <f t="shared" si="155"/>
        <v>154.44</v>
      </c>
      <c r="I2346" s="170" t="s">
        <v>2842</v>
      </c>
      <c r="J2346" t="s">
        <v>2853</v>
      </c>
      <c r="K2346" s="188" t="s">
        <v>2853</v>
      </c>
    </row>
    <row r="2347" spans="1:11" x14ac:dyDescent="0.25">
      <c r="A2347" t="s">
        <v>6816</v>
      </c>
      <c r="B2347" s="27" t="s">
        <v>2390</v>
      </c>
      <c r="D2347" s="28" t="s">
        <v>4251</v>
      </c>
      <c r="E2347" s="29" t="s">
        <v>563</v>
      </c>
      <c r="F2347" s="30">
        <v>1</v>
      </c>
      <c r="G2347" s="31">
        <v>154.44</v>
      </c>
      <c r="H2347" s="31">
        <f t="shared" si="155"/>
        <v>154.44</v>
      </c>
      <c r="I2347" s="170" t="s">
        <v>2842</v>
      </c>
      <c r="J2347" t="s">
        <v>2853</v>
      </c>
      <c r="K2347" s="188" t="s">
        <v>2853</v>
      </c>
    </row>
    <row r="2348" spans="1:11" x14ac:dyDescent="0.25">
      <c r="A2348" t="s">
        <v>6817</v>
      </c>
      <c r="B2348" s="27" t="s">
        <v>2391</v>
      </c>
      <c r="D2348" s="28" t="s">
        <v>4252</v>
      </c>
      <c r="E2348" s="29" t="s">
        <v>671</v>
      </c>
      <c r="F2348" s="30">
        <v>1</v>
      </c>
      <c r="G2348" s="31">
        <v>154.44</v>
      </c>
      <c r="H2348" s="31">
        <f t="shared" si="155"/>
        <v>154.44</v>
      </c>
      <c r="I2348" s="170" t="s">
        <v>2842</v>
      </c>
      <c r="J2348" t="s">
        <v>2853</v>
      </c>
      <c r="K2348" s="188" t="s">
        <v>2853</v>
      </c>
    </row>
    <row r="2349" spans="1:11" x14ac:dyDescent="0.25">
      <c r="A2349" t="s">
        <v>6818</v>
      </c>
      <c r="B2349" s="27" t="s">
        <v>2392</v>
      </c>
      <c r="D2349" s="28" t="s">
        <v>4253</v>
      </c>
      <c r="E2349" s="29" t="s">
        <v>671</v>
      </c>
      <c r="F2349" s="30">
        <v>1</v>
      </c>
      <c r="G2349" s="31">
        <v>154.44</v>
      </c>
      <c r="H2349" s="31">
        <f t="shared" si="155"/>
        <v>154.44</v>
      </c>
      <c r="I2349" s="170" t="s">
        <v>2842</v>
      </c>
      <c r="J2349" t="s">
        <v>2853</v>
      </c>
      <c r="K2349" s="188" t="s">
        <v>2853</v>
      </c>
    </row>
    <row r="2350" spans="1:11" x14ac:dyDescent="0.25">
      <c r="A2350" t="s">
        <v>6819</v>
      </c>
      <c r="B2350" s="27" t="s">
        <v>2393</v>
      </c>
      <c r="D2350" s="28" t="s">
        <v>4254</v>
      </c>
      <c r="E2350" s="29" t="s">
        <v>671</v>
      </c>
      <c r="F2350" s="30">
        <v>1</v>
      </c>
      <c r="G2350" s="31">
        <v>154.44</v>
      </c>
      <c r="H2350" s="31">
        <f t="shared" si="155"/>
        <v>154.44</v>
      </c>
      <c r="I2350" s="170" t="s">
        <v>2842</v>
      </c>
      <c r="J2350" t="s">
        <v>2853</v>
      </c>
      <c r="K2350" s="188" t="s">
        <v>2853</v>
      </c>
    </row>
    <row r="2351" spans="1:11" x14ac:dyDescent="0.25">
      <c r="A2351" t="s">
        <v>6820</v>
      </c>
      <c r="B2351" s="27" t="s">
        <v>2394</v>
      </c>
      <c r="D2351" s="28" t="s">
        <v>4255</v>
      </c>
      <c r="E2351" s="29" t="s">
        <v>21</v>
      </c>
      <c r="F2351" s="30">
        <v>1</v>
      </c>
      <c r="G2351" s="31">
        <v>174.29</v>
      </c>
      <c r="H2351" s="31">
        <f t="shared" si="155"/>
        <v>174.29</v>
      </c>
      <c r="I2351" s="170" t="s">
        <v>2842</v>
      </c>
      <c r="J2351" t="s">
        <v>2853</v>
      </c>
      <c r="K2351" s="188" t="s">
        <v>2853</v>
      </c>
    </row>
    <row r="2352" spans="1:11" x14ac:dyDescent="0.25">
      <c r="A2352" t="s">
        <v>6821</v>
      </c>
      <c r="B2352" s="27" t="s">
        <v>2395</v>
      </c>
      <c r="D2352" s="28" t="s">
        <v>4256</v>
      </c>
      <c r="E2352" s="29" t="s">
        <v>21</v>
      </c>
      <c r="F2352" s="30">
        <v>1</v>
      </c>
      <c r="G2352" s="31">
        <v>174.29</v>
      </c>
      <c r="H2352" s="31">
        <f t="shared" si="155"/>
        <v>174.29</v>
      </c>
      <c r="I2352" s="170" t="s">
        <v>2842</v>
      </c>
      <c r="J2352" t="s">
        <v>2853</v>
      </c>
      <c r="K2352" s="188" t="s">
        <v>2853</v>
      </c>
    </row>
    <row r="2353" spans="1:11" x14ac:dyDescent="0.25">
      <c r="A2353" t="s">
        <v>6822</v>
      </c>
      <c r="B2353" s="27" t="s">
        <v>2396</v>
      </c>
      <c r="D2353" s="28" t="s">
        <v>4257</v>
      </c>
      <c r="E2353" s="29" t="s">
        <v>21</v>
      </c>
      <c r="F2353" s="30">
        <v>1</v>
      </c>
      <c r="G2353" s="31">
        <v>174.29</v>
      </c>
      <c r="H2353" s="31">
        <f t="shared" si="155"/>
        <v>174.29</v>
      </c>
      <c r="I2353" s="170" t="s">
        <v>2842</v>
      </c>
      <c r="J2353" t="s">
        <v>2853</v>
      </c>
      <c r="K2353" s="188" t="s">
        <v>2853</v>
      </c>
    </row>
    <row r="2354" spans="1:11" x14ac:dyDescent="0.25">
      <c r="A2354" t="s">
        <v>6823</v>
      </c>
      <c r="B2354" s="27" t="s">
        <v>2397</v>
      </c>
      <c r="D2354" s="28" t="s">
        <v>4258</v>
      </c>
      <c r="E2354" s="29" t="s">
        <v>563</v>
      </c>
      <c r="F2354" s="30">
        <v>1</v>
      </c>
      <c r="G2354" s="31">
        <v>174.29</v>
      </c>
      <c r="H2354" s="31">
        <f t="shared" si="155"/>
        <v>174.29</v>
      </c>
      <c r="I2354" s="170" t="s">
        <v>2842</v>
      </c>
      <c r="J2354" t="s">
        <v>2853</v>
      </c>
      <c r="K2354" s="188" t="s">
        <v>2853</v>
      </c>
    </row>
    <row r="2355" spans="1:11" x14ac:dyDescent="0.25">
      <c r="A2355" t="s">
        <v>6824</v>
      </c>
      <c r="B2355" s="27" t="s">
        <v>2398</v>
      </c>
      <c r="D2355" s="28" t="s">
        <v>4259</v>
      </c>
      <c r="E2355" s="29" t="s">
        <v>563</v>
      </c>
      <c r="F2355" s="30">
        <v>1</v>
      </c>
      <c r="G2355" s="31">
        <v>174.29</v>
      </c>
      <c r="H2355" s="31">
        <f t="shared" si="155"/>
        <v>174.29</v>
      </c>
      <c r="I2355" s="170" t="s">
        <v>2842</v>
      </c>
      <c r="J2355" t="s">
        <v>2853</v>
      </c>
      <c r="K2355" s="188" t="s">
        <v>2853</v>
      </c>
    </row>
    <row r="2356" spans="1:11" x14ac:dyDescent="0.25">
      <c r="A2356" t="s">
        <v>6825</v>
      </c>
      <c r="B2356" s="27" t="s">
        <v>2399</v>
      </c>
      <c r="D2356" s="28" t="s">
        <v>4260</v>
      </c>
      <c r="E2356" s="29" t="s">
        <v>563</v>
      </c>
      <c r="F2356" s="30">
        <v>1</v>
      </c>
      <c r="G2356" s="31">
        <v>174.29</v>
      </c>
      <c r="H2356" s="31">
        <f t="shared" si="155"/>
        <v>174.29</v>
      </c>
      <c r="I2356" s="170" t="s">
        <v>2842</v>
      </c>
      <c r="J2356" t="s">
        <v>2853</v>
      </c>
      <c r="K2356" s="188" t="s">
        <v>2853</v>
      </c>
    </row>
    <row r="2357" spans="1:11" x14ac:dyDescent="0.25">
      <c r="A2357" t="s">
        <v>6826</v>
      </c>
      <c r="B2357" s="27" t="s">
        <v>2400</v>
      </c>
      <c r="D2357" s="28" t="s">
        <v>4261</v>
      </c>
      <c r="E2357" s="29" t="s">
        <v>671</v>
      </c>
      <c r="F2357" s="30">
        <v>1</v>
      </c>
      <c r="G2357" s="31">
        <v>174.29</v>
      </c>
      <c r="H2357" s="31">
        <f t="shared" si="155"/>
        <v>174.29</v>
      </c>
      <c r="I2357" s="170" t="s">
        <v>2842</v>
      </c>
      <c r="J2357" t="s">
        <v>2853</v>
      </c>
      <c r="K2357" s="188" t="s">
        <v>2853</v>
      </c>
    </row>
    <row r="2358" spans="1:11" x14ac:dyDescent="0.25">
      <c r="A2358" t="s">
        <v>6827</v>
      </c>
      <c r="B2358" s="27" t="s">
        <v>2401</v>
      </c>
      <c r="D2358" s="28" t="s">
        <v>4262</v>
      </c>
      <c r="E2358" s="29" t="s">
        <v>671</v>
      </c>
      <c r="F2358" s="30">
        <v>1</v>
      </c>
      <c r="G2358" s="31">
        <v>174.29</v>
      </c>
      <c r="H2358" s="31">
        <f t="shared" si="155"/>
        <v>174.29</v>
      </c>
      <c r="I2358" s="170" t="s">
        <v>2842</v>
      </c>
      <c r="J2358" t="s">
        <v>2853</v>
      </c>
      <c r="K2358" s="188" t="s">
        <v>2853</v>
      </c>
    </row>
    <row r="2359" spans="1:11" x14ac:dyDescent="0.25">
      <c r="A2359" t="s">
        <v>6828</v>
      </c>
      <c r="B2359" s="27" t="s">
        <v>2402</v>
      </c>
      <c r="D2359" s="28" t="s">
        <v>4263</v>
      </c>
      <c r="E2359" s="29" t="s">
        <v>671</v>
      </c>
      <c r="F2359" s="30">
        <v>1</v>
      </c>
      <c r="G2359" s="31">
        <v>174.29</v>
      </c>
      <c r="H2359" s="31">
        <f t="shared" si="155"/>
        <v>174.29</v>
      </c>
      <c r="I2359" s="170" t="s">
        <v>2842</v>
      </c>
      <c r="J2359" t="s">
        <v>2853</v>
      </c>
      <c r="K2359" s="188" t="s">
        <v>2853</v>
      </c>
    </row>
    <row r="2360" spans="1:11" x14ac:dyDescent="0.25">
      <c r="A2360" t="s">
        <v>6829</v>
      </c>
      <c r="B2360" s="27" t="s">
        <v>2403</v>
      </c>
      <c r="D2360" s="28" t="s">
        <v>4264</v>
      </c>
      <c r="E2360" s="29" t="s">
        <v>21</v>
      </c>
      <c r="F2360" s="30">
        <v>1</v>
      </c>
      <c r="G2360" s="31">
        <v>194.12</v>
      </c>
      <c r="H2360" s="31">
        <f t="shared" si="155"/>
        <v>194.12</v>
      </c>
      <c r="I2360" s="170" t="s">
        <v>2842</v>
      </c>
      <c r="J2360" t="s">
        <v>2853</v>
      </c>
      <c r="K2360" s="188" t="s">
        <v>2853</v>
      </c>
    </row>
    <row r="2361" spans="1:11" x14ac:dyDescent="0.25">
      <c r="A2361" t="s">
        <v>6830</v>
      </c>
      <c r="B2361" s="27" t="s">
        <v>2404</v>
      </c>
      <c r="D2361" s="28" t="s">
        <v>4265</v>
      </c>
      <c r="E2361" s="29" t="s">
        <v>21</v>
      </c>
      <c r="F2361" s="30">
        <v>1</v>
      </c>
      <c r="G2361" s="31">
        <v>194.12</v>
      </c>
      <c r="H2361" s="31">
        <f t="shared" si="155"/>
        <v>194.12</v>
      </c>
      <c r="I2361" s="170" t="s">
        <v>2842</v>
      </c>
      <c r="J2361" t="s">
        <v>2853</v>
      </c>
      <c r="K2361" s="188" t="s">
        <v>2853</v>
      </c>
    </row>
    <row r="2362" spans="1:11" x14ac:dyDescent="0.25">
      <c r="A2362" t="s">
        <v>6831</v>
      </c>
      <c r="B2362" s="27" t="s">
        <v>2405</v>
      </c>
      <c r="D2362" s="28" t="s">
        <v>4266</v>
      </c>
      <c r="E2362" s="29" t="s">
        <v>21</v>
      </c>
      <c r="F2362" s="30">
        <v>1</v>
      </c>
      <c r="G2362" s="31">
        <v>194.12</v>
      </c>
      <c r="H2362" s="31">
        <f t="shared" si="155"/>
        <v>194.12</v>
      </c>
      <c r="I2362" s="170" t="s">
        <v>2842</v>
      </c>
      <c r="J2362" t="s">
        <v>2853</v>
      </c>
      <c r="K2362" s="188" t="s">
        <v>2853</v>
      </c>
    </row>
    <row r="2363" spans="1:11" x14ac:dyDescent="0.25">
      <c r="A2363" t="s">
        <v>6832</v>
      </c>
      <c r="B2363" s="27" t="s">
        <v>2406</v>
      </c>
      <c r="D2363" s="28" t="s">
        <v>4267</v>
      </c>
      <c r="E2363" s="29" t="s">
        <v>563</v>
      </c>
      <c r="F2363" s="30">
        <v>1</v>
      </c>
      <c r="G2363" s="31">
        <v>194.12</v>
      </c>
      <c r="H2363" s="31">
        <f t="shared" si="155"/>
        <v>194.12</v>
      </c>
      <c r="I2363" s="170" t="s">
        <v>2842</v>
      </c>
      <c r="J2363" t="s">
        <v>2853</v>
      </c>
      <c r="K2363" s="188" t="s">
        <v>2853</v>
      </c>
    </row>
    <row r="2364" spans="1:11" x14ac:dyDescent="0.25">
      <c r="A2364" t="s">
        <v>6833</v>
      </c>
      <c r="B2364" s="27" t="s">
        <v>2407</v>
      </c>
      <c r="D2364" s="28" t="s">
        <v>4268</v>
      </c>
      <c r="E2364" s="29" t="s">
        <v>563</v>
      </c>
      <c r="F2364" s="30">
        <v>1</v>
      </c>
      <c r="G2364" s="31">
        <v>194.12</v>
      </c>
      <c r="H2364" s="31">
        <f t="shared" si="155"/>
        <v>194.12</v>
      </c>
      <c r="I2364" s="170" t="s">
        <v>2842</v>
      </c>
      <c r="J2364" t="s">
        <v>2853</v>
      </c>
      <c r="K2364" s="188" t="s">
        <v>2853</v>
      </c>
    </row>
    <row r="2365" spans="1:11" x14ac:dyDescent="0.25">
      <c r="A2365" t="s">
        <v>6834</v>
      </c>
      <c r="B2365" s="27" t="s">
        <v>2408</v>
      </c>
      <c r="D2365" s="28" t="s">
        <v>4269</v>
      </c>
      <c r="E2365" s="29" t="s">
        <v>563</v>
      </c>
      <c r="F2365" s="30">
        <v>1</v>
      </c>
      <c r="G2365" s="31">
        <v>194.12</v>
      </c>
      <c r="H2365" s="31">
        <f t="shared" si="155"/>
        <v>194.12</v>
      </c>
      <c r="I2365" s="170" t="s">
        <v>2842</v>
      </c>
      <c r="J2365" t="s">
        <v>2853</v>
      </c>
      <c r="K2365" s="188" t="s">
        <v>2853</v>
      </c>
    </row>
    <row r="2366" spans="1:11" x14ac:dyDescent="0.25">
      <c r="A2366" t="s">
        <v>6835</v>
      </c>
      <c r="B2366" s="27" t="s">
        <v>2409</v>
      </c>
      <c r="D2366" s="28" t="s">
        <v>4270</v>
      </c>
      <c r="E2366" s="29" t="s">
        <v>671</v>
      </c>
      <c r="F2366" s="30">
        <v>1</v>
      </c>
      <c r="G2366" s="31">
        <v>194.12</v>
      </c>
      <c r="H2366" s="31">
        <f t="shared" si="155"/>
        <v>194.12</v>
      </c>
      <c r="I2366" s="170" t="s">
        <v>2842</v>
      </c>
      <c r="J2366" t="s">
        <v>2853</v>
      </c>
      <c r="K2366" s="188" t="s">
        <v>2853</v>
      </c>
    </row>
    <row r="2367" spans="1:11" x14ac:dyDescent="0.25">
      <c r="A2367" t="s">
        <v>6836</v>
      </c>
      <c r="B2367" s="27" t="s">
        <v>2410</v>
      </c>
      <c r="D2367" s="28" t="s">
        <v>4271</v>
      </c>
      <c r="E2367" s="29" t="s">
        <v>671</v>
      </c>
      <c r="F2367" s="30">
        <v>1</v>
      </c>
      <c r="G2367" s="31">
        <v>194.12</v>
      </c>
      <c r="H2367" s="31">
        <f t="shared" si="155"/>
        <v>194.12</v>
      </c>
      <c r="I2367" s="170" t="s">
        <v>2842</v>
      </c>
      <c r="J2367" t="s">
        <v>2853</v>
      </c>
      <c r="K2367" s="188" t="s">
        <v>2853</v>
      </c>
    </row>
    <row r="2368" spans="1:11" x14ac:dyDescent="0.25">
      <c r="A2368" t="s">
        <v>6837</v>
      </c>
      <c r="B2368" s="27" t="s">
        <v>2411</v>
      </c>
      <c r="D2368" s="28" t="s">
        <v>4272</v>
      </c>
      <c r="E2368" s="29" t="s">
        <v>671</v>
      </c>
      <c r="F2368" s="30">
        <v>1</v>
      </c>
      <c r="G2368" s="31">
        <v>194.12</v>
      </c>
      <c r="H2368" s="31">
        <f t="shared" si="155"/>
        <v>194.12</v>
      </c>
      <c r="I2368" s="170" t="s">
        <v>2842</v>
      </c>
      <c r="J2368" t="s">
        <v>2853</v>
      </c>
      <c r="K2368" s="188" t="s">
        <v>2853</v>
      </c>
    </row>
    <row r="2369" spans="1:11" x14ac:dyDescent="0.25">
      <c r="A2369" t="s">
        <v>6838</v>
      </c>
      <c r="B2369" s="27" t="s">
        <v>2412</v>
      </c>
      <c r="D2369" s="28" t="s">
        <v>4273</v>
      </c>
      <c r="E2369" s="29" t="s">
        <v>21</v>
      </c>
      <c r="F2369" s="30">
        <v>1</v>
      </c>
      <c r="G2369" s="31">
        <v>213.95</v>
      </c>
      <c r="H2369" s="31">
        <f t="shared" si="155"/>
        <v>213.95</v>
      </c>
      <c r="I2369" s="170" t="s">
        <v>2842</v>
      </c>
      <c r="J2369" t="s">
        <v>2853</v>
      </c>
      <c r="K2369" s="188" t="s">
        <v>2853</v>
      </c>
    </row>
    <row r="2370" spans="1:11" x14ac:dyDescent="0.25">
      <c r="A2370" t="s">
        <v>6839</v>
      </c>
      <c r="B2370" s="27" t="s">
        <v>2413</v>
      </c>
      <c r="D2370" s="28" t="s">
        <v>4274</v>
      </c>
      <c r="E2370" s="29" t="s">
        <v>21</v>
      </c>
      <c r="F2370" s="30">
        <v>1</v>
      </c>
      <c r="G2370" s="31">
        <v>213.95</v>
      </c>
      <c r="H2370" s="31">
        <f t="shared" si="155"/>
        <v>213.95</v>
      </c>
      <c r="I2370" s="170" t="s">
        <v>2842</v>
      </c>
      <c r="J2370" t="s">
        <v>2853</v>
      </c>
      <c r="K2370" s="188" t="s">
        <v>2853</v>
      </c>
    </row>
    <row r="2371" spans="1:11" x14ac:dyDescent="0.25">
      <c r="A2371" t="s">
        <v>6840</v>
      </c>
      <c r="B2371" s="27" t="s">
        <v>2414</v>
      </c>
      <c r="D2371" s="28" t="s">
        <v>4275</v>
      </c>
      <c r="E2371" s="29" t="s">
        <v>21</v>
      </c>
      <c r="F2371" s="30">
        <v>1</v>
      </c>
      <c r="G2371" s="31">
        <v>213.95</v>
      </c>
      <c r="H2371" s="31">
        <f t="shared" si="155"/>
        <v>213.95</v>
      </c>
      <c r="I2371" s="170" t="s">
        <v>2842</v>
      </c>
      <c r="J2371" t="s">
        <v>2853</v>
      </c>
      <c r="K2371" s="188" t="s">
        <v>2853</v>
      </c>
    </row>
    <row r="2372" spans="1:11" x14ac:dyDescent="0.25">
      <c r="A2372" t="s">
        <v>6841</v>
      </c>
      <c r="B2372" s="27" t="s">
        <v>2415</v>
      </c>
      <c r="D2372" s="28" t="s">
        <v>4276</v>
      </c>
      <c r="E2372" s="29" t="s">
        <v>563</v>
      </c>
      <c r="F2372" s="30">
        <v>1</v>
      </c>
      <c r="G2372" s="31">
        <v>213.95</v>
      </c>
      <c r="H2372" s="31">
        <f t="shared" si="155"/>
        <v>213.95</v>
      </c>
      <c r="I2372" s="170" t="s">
        <v>2842</v>
      </c>
      <c r="J2372" t="s">
        <v>2853</v>
      </c>
      <c r="K2372" s="188" t="s">
        <v>2853</v>
      </c>
    </row>
    <row r="2373" spans="1:11" x14ac:dyDescent="0.25">
      <c r="A2373" t="s">
        <v>6842</v>
      </c>
      <c r="B2373" s="27" t="s">
        <v>2416</v>
      </c>
      <c r="D2373" s="28" t="s">
        <v>4277</v>
      </c>
      <c r="E2373" s="29" t="s">
        <v>563</v>
      </c>
      <c r="F2373" s="30">
        <v>1</v>
      </c>
      <c r="G2373" s="31">
        <v>213.95</v>
      </c>
      <c r="H2373" s="31">
        <f t="shared" si="155"/>
        <v>213.95</v>
      </c>
      <c r="I2373" s="170" t="s">
        <v>2842</v>
      </c>
      <c r="J2373" t="s">
        <v>2853</v>
      </c>
      <c r="K2373" s="188" t="s">
        <v>2853</v>
      </c>
    </row>
    <row r="2374" spans="1:11" x14ac:dyDescent="0.25">
      <c r="A2374" t="s">
        <v>6843</v>
      </c>
      <c r="B2374" s="27" t="s">
        <v>2417</v>
      </c>
      <c r="D2374" s="28" t="s">
        <v>4278</v>
      </c>
      <c r="E2374" s="29" t="s">
        <v>563</v>
      </c>
      <c r="F2374" s="30">
        <v>1</v>
      </c>
      <c r="G2374" s="31">
        <v>213.95</v>
      </c>
      <c r="H2374" s="31">
        <f t="shared" si="155"/>
        <v>213.95</v>
      </c>
      <c r="I2374" s="170" t="s">
        <v>2842</v>
      </c>
      <c r="J2374" t="s">
        <v>2853</v>
      </c>
      <c r="K2374" s="188" t="s">
        <v>2853</v>
      </c>
    </row>
    <row r="2375" spans="1:11" x14ac:dyDescent="0.25">
      <c r="A2375" t="s">
        <v>6844</v>
      </c>
      <c r="B2375" s="27" t="s">
        <v>2418</v>
      </c>
      <c r="D2375" s="28" t="s">
        <v>4279</v>
      </c>
      <c r="E2375" s="29" t="s">
        <v>671</v>
      </c>
      <c r="F2375" s="30">
        <v>1</v>
      </c>
      <c r="G2375" s="31">
        <v>213.95</v>
      </c>
      <c r="H2375" s="31">
        <f t="shared" si="155"/>
        <v>213.95</v>
      </c>
      <c r="I2375" s="170" t="s">
        <v>2842</v>
      </c>
      <c r="J2375" t="s">
        <v>2853</v>
      </c>
      <c r="K2375" s="188" t="s">
        <v>2853</v>
      </c>
    </row>
    <row r="2376" spans="1:11" x14ac:dyDescent="0.25">
      <c r="A2376" t="s">
        <v>6845</v>
      </c>
      <c r="B2376" s="27" t="s">
        <v>2419</v>
      </c>
      <c r="D2376" s="28" t="s">
        <v>4280</v>
      </c>
      <c r="E2376" s="29" t="s">
        <v>671</v>
      </c>
      <c r="F2376" s="30">
        <v>1</v>
      </c>
      <c r="G2376" s="31">
        <v>213.95</v>
      </c>
      <c r="H2376" s="31">
        <f t="shared" si="155"/>
        <v>213.95</v>
      </c>
      <c r="I2376" s="170" t="s">
        <v>2842</v>
      </c>
      <c r="J2376" t="s">
        <v>2853</v>
      </c>
      <c r="K2376" s="188" t="s">
        <v>2853</v>
      </c>
    </row>
    <row r="2377" spans="1:11" x14ac:dyDescent="0.25">
      <c r="A2377" t="s">
        <v>6846</v>
      </c>
      <c r="B2377" s="27" t="s">
        <v>2420</v>
      </c>
      <c r="D2377" s="28" t="s">
        <v>4281</v>
      </c>
      <c r="E2377" s="29" t="s">
        <v>671</v>
      </c>
      <c r="F2377" s="30">
        <v>1</v>
      </c>
      <c r="G2377" s="31">
        <v>213.95</v>
      </c>
      <c r="H2377" s="31">
        <f t="shared" si="155"/>
        <v>213.95</v>
      </c>
      <c r="I2377" s="170" t="s">
        <v>2842</v>
      </c>
      <c r="J2377" t="s">
        <v>2853</v>
      </c>
      <c r="K2377" s="188" t="s">
        <v>2853</v>
      </c>
    </row>
    <row r="2378" spans="1:11" x14ac:dyDescent="0.25">
      <c r="A2378" t="s">
        <v>6847</v>
      </c>
      <c r="B2378" s="27" t="s">
        <v>2421</v>
      </c>
      <c r="D2378" s="28" t="s">
        <v>4282</v>
      </c>
      <c r="E2378" s="29" t="s">
        <v>21</v>
      </c>
      <c r="F2378" s="30">
        <v>1</v>
      </c>
      <c r="G2378" s="31">
        <v>167.67</v>
      </c>
      <c r="H2378" s="31">
        <f t="shared" si="155"/>
        <v>167.67</v>
      </c>
      <c r="I2378" s="170" t="s">
        <v>2842</v>
      </c>
      <c r="J2378" t="s">
        <v>2853</v>
      </c>
      <c r="K2378" s="188" t="s">
        <v>2853</v>
      </c>
    </row>
    <row r="2379" spans="1:11" x14ac:dyDescent="0.25">
      <c r="A2379" t="s">
        <v>6848</v>
      </c>
      <c r="B2379" s="27" t="s">
        <v>2422</v>
      </c>
      <c r="D2379" s="28" t="s">
        <v>4283</v>
      </c>
      <c r="E2379" s="29" t="s">
        <v>21</v>
      </c>
      <c r="F2379" s="30">
        <v>1</v>
      </c>
      <c r="G2379" s="31">
        <v>167.67</v>
      </c>
      <c r="H2379" s="31">
        <f t="shared" si="155"/>
        <v>167.67</v>
      </c>
      <c r="I2379" s="170" t="s">
        <v>2842</v>
      </c>
      <c r="J2379" t="s">
        <v>2853</v>
      </c>
      <c r="K2379" s="188" t="s">
        <v>2853</v>
      </c>
    </row>
    <row r="2380" spans="1:11" x14ac:dyDescent="0.25">
      <c r="A2380" t="s">
        <v>6849</v>
      </c>
      <c r="B2380" s="27" t="s">
        <v>2423</v>
      </c>
      <c r="D2380" s="28" t="s">
        <v>4284</v>
      </c>
      <c r="E2380" s="29" t="s">
        <v>21</v>
      </c>
      <c r="F2380" s="30">
        <v>1</v>
      </c>
      <c r="G2380" s="31">
        <v>167.67</v>
      </c>
      <c r="H2380" s="31">
        <f t="shared" si="155"/>
        <v>167.67</v>
      </c>
      <c r="I2380" s="170" t="s">
        <v>2842</v>
      </c>
      <c r="J2380" t="s">
        <v>2853</v>
      </c>
      <c r="K2380" s="188" t="s">
        <v>2853</v>
      </c>
    </row>
    <row r="2381" spans="1:11" x14ac:dyDescent="0.25">
      <c r="A2381" t="s">
        <v>6850</v>
      </c>
      <c r="B2381" s="27" t="s">
        <v>2424</v>
      </c>
      <c r="D2381" s="28" t="s">
        <v>4285</v>
      </c>
      <c r="E2381" s="29" t="s">
        <v>563</v>
      </c>
      <c r="F2381" s="30">
        <v>1</v>
      </c>
      <c r="G2381" s="31">
        <v>167.67</v>
      </c>
      <c r="H2381" s="31">
        <f t="shared" si="155"/>
        <v>167.67</v>
      </c>
      <c r="I2381" s="170" t="s">
        <v>2842</v>
      </c>
      <c r="J2381" t="s">
        <v>2853</v>
      </c>
      <c r="K2381" s="188" t="s">
        <v>2853</v>
      </c>
    </row>
    <row r="2382" spans="1:11" x14ac:dyDescent="0.25">
      <c r="A2382" t="s">
        <v>6851</v>
      </c>
      <c r="B2382" s="27" t="s">
        <v>2425</v>
      </c>
      <c r="D2382" s="28" t="s">
        <v>4286</v>
      </c>
      <c r="E2382" s="29" t="s">
        <v>563</v>
      </c>
      <c r="F2382" s="30">
        <v>1</v>
      </c>
      <c r="G2382" s="31">
        <v>167.67</v>
      </c>
      <c r="H2382" s="31">
        <f t="shared" si="155"/>
        <v>167.67</v>
      </c>
      <c r="I2382" s="170" t="s">
        <v>2842</v>
      </c>
      <c r="J2382" t="s">
        <v>2853</v>
      </c>
      <c r="K2382" s="188" t="s">
        <v>2853</v>
      </c>
    </row>
    <row r="2383" spans="1:11" x14ac:dyDescent="0.25">
      <c r="A2383" t="s">
        <v>6852</v>
      </c>
      <c r="B2383" s="27" t="s">
        <v>2426</v>
      </c>
      <c r="D2383" s="28" t="s">
        <v>4287</v>
      </c>
      <c r="E2383" s="29" t="s">
        <v>563</v>
      </c>
      <c r="F2383" s="30">
        <v>1</v>
      </c>
      <c r="G2383" s="31">
        <v>167.67</v>
      </c>
      <c r="H2383" s="31">
        <f t="shared" si="155"/>
        <v>167.67</v>
      </c>
      <c r="I2383" s="170" t="s">
        <v>2842</v>
      </c>
      <c r="J2383" t="s">
        <v>2853</v>
      </c>
      <c r="K2383" s="188" t="s">
        <v>2853</v>
      </c>
    </row>
    <row r="2384" spans="1:11" x14ac:dyDescent="0.25">
      <c r="A2384" t="s">
        <v>6853</v>
      </c>
      <c r="B2384" s="27" t="s">
        <v>2427</v>
      </c>
      <c r="D2384" s="28" t="s">
        <v>4288</v>
      </c>
      <c r="E2384" s="29" t="s">
        <v>671</v>
      </c>
      <c r="F2384" s="30">
        <v>1</v>
      </c>
      <c r="G2384" s="31">
        <v>167.67</v>
      </c>
      <c r="H2384" s="31">
        <f t="shared" si="155"/>
        <v>167.67</v>
      </c>
      <c r="I2384" s="170" t="s">
        <v>2842</v>
      </c>
      <c r="J2384" t="s">
        <v>2853</v>
      </c>
      <c r="K2384" s="188" t="s">
        <v>2853</v>
      </c>
    </row>
    <row r="2385" spans="1:11" x14ac:dyDescent="0.25">
      <c r="A2385" t="s">
        <v>6854</v>
      </c>
      <c r="B2385" s="27" t="s">
        <v>2428</v>
      </c>
      <c r="D2385" s="28" t="s">
        <v>4289</v>
      </c>
      <c r="E2385" s="29" t="s">
        <v>671</v>
      </c>
      <c r="F2385" s="30">
        <v>1</v>
      </c>
      <c r="G2385" s="31">
        <v>167.67</v>
      </c>
      <c r="H2385" s="31">
        <f t="shared" si="155"/>
        <v>167.67</v>
      </c>
      <c r="I2385" s="170" t="s">
        <v>2842</v>
      </c>
      <c r="J2385" t="s">
        <v>2853</v>
      </c>
      <c r="K2385" s="188" t="s">
        <v>2853</v>
      </c>
    </row>
    <row r="2386" spans="1:11" x14ac:dyDescent="0.25">
      <c r="A2386" t="s">
        <v>6855</v>
      </c>
      <c r="B2386" s="27" t="s">
        <v>2429</v>
      </c>
      <c r="D2386" s="28" t="s">
        <v>4290</v>
      </c>
      <c r="E2386" s="29" t="s">
        <v>671</v>
      </c>
      <c r="F2386" s="30">
        <v>1</v>
      </c>
      <c r="G2386" s="31">
        <v>167.67</v>
      </c>
      <c r="H2386" s="31">
        <f t="shared" si="155"/>
        <v>167.67</v>
      </c>
      <c r="I2386" s="170" t="s">
        <v>2842</v>
      </c>
      <c r="J2386" t="s">
        <v>2853</v>
      </c>
      <c r="K2386" s="188" t="s">
        <v>2853</v>
      </c>
    </row>
    <row r="2387" spans="1:11" x14ac:dyDescent="0.25">
      <c r="A2387" t="s">
        <v>6856</v>
      </c>
      <c r="B2387" s="27" t="s">
        <v>2430</v>
      </c>
      <c r="D2387" s="28" t="s">
        <v>4291</v>
      </c>
      <c r="E2387" s="29" t="s">
        <v>21</v>
      </c>
      <c r="F2387" s="30">
        <v>1</v>
      </c>
      <c r="G2387" s="31">
        <v>194.12</v>
      </c>
      <c r="H2387" s="31">
        <f t="shared" si="155"/>
        <v>194.12</v>
      </c>
      <c r="I2387" s="170" t="s">
        <v>2842</v>
      </c>
      <c r="J2387" t="s">
        <v>2853</v>
      </c>
      <c r="K2387" s="188" t="s">
        <v>2853</v>
      </c>
    </row>
    <row r="2388" spans="1:11" x14ac:dyDescent="0.25">
      <c r="A2388" t="s">
        <v>6857</v>
      </c>
      <c r="B2388" s="27" t="s">
        <v>2431</v>
      </c>
      <c r="D2388" s="28" t="s">
        <v>4292</v>
      </c>
      <c r="E2388" s="29" t="s">
        <v>21</v>
      </c>
      <c r="F2388" s="30">
        <v>1</v>
      </c>
      <c r="G2388" s="31">
        <v>194.12</v>
      </c>
      <c r="H2388" s="31">
        <f t="shared" si="155"/>
        <v>194.12</v>
      </c>
      <c r="I2388" s="170" t="s">
        <v>2842</v>
      </c>
      <c r="J2388" t="s">
        <v>2853</v>
      </c>
      <c r="K2388" s="188" t="s">
        <v>2853</v>
      </c>
    </row>
    <row r="2389" spans="1:11" x14ac:dyDescent="0.25">
      <c r="A2389" t="s">
        <v>6858</v>
      </c>
      <c r="B2389" s="27" t="s">
        <v>2432</v>
      </c>
      <c r="D2389" s="28" t="s">
        <v>4293</v>
      </c>
      <c r="E2389" s="29" t="s">
        <v>21</v>
      </c>
      <c r="F2389" s="30">
        <v>1</v>
      </c>
      <c r="G2389" s="31">
        <v>194.12</v>
      </c>
      <c r="H2389" s="31">
        <f t="shared" si="155"/>
        <v>194.12</v>
      </c>
      <c r="I2389" s="170" t="s">
        <v>2842</v>
      </c>
      <c r="J2389" t="s">
        <v>2853</v>
      </c>
      <c r="K2389" s="188" t="s">
        <v>2853</v>
      </c>
    </row>
    <row r="2390" spans="1:11" x14ac:dyDescent="0.25">
      <c r="A2390" t="s">
        <v>6859</v>
      </c>
      <c r="B2390" s="27" t="s">
        <v>2433</v>
      </c>
      <c r="D2390" s="28" t="s">
        <v>4294</v>
      </c>
      <c r="E2390" s="29" t="s">
        <v>563</v>
      </c>
      <c r="F2390" s="30">
        <v>1</v>
      </c>
      <c r="G2390" s="31">
        <v>194.12</v>
      </c>
      <c r="H2390" s="31">
        <f t="shared" si="155"/>
        <v>194.12</v>
      </c>
      <c r="I2390" s="170" t="s">
        <v>2842</v>
      </c>
      <c r="J2390" t="s">
        <v>2853</v>
      </c>
      <c r="K2390" s="188" t="s">
        <v>2853</v>
      </c>
    </row>
    <row r="2391" spans="1:11" x14ac:dyDescent="0.25">
      <c r="A2391" t="s">
        <v>6860</v>
      </c>
      <c r="B2391" s="27" t="s">
        <v>2434</v>
      </c>
      <c r="D2391" s="28" t="s">
        <v>4295</v>
      </c>
      <c r="E2391" s="29" t="s">
        <v>563</v>
      </c>
      <c r="F2391" s="30">
        <v>1</v>
      </c>
      <c r="G2391" s="31">
        <v>194.12</v>
      </c>
      <c r="H2391" s="31">
        <f t="shared" si="155"/>
        <v>194.12</v>
      </c>
      <c r="I2391" s="170" t="s">
        <v>2842</v>
      </c>
      <c r="J2391" t="s">
        <v>2853</v>
      </c>
      <c r="K2391" s="188" t="s">
        <v>2853</v>
      </c>
    </row>
    <row r="2392" spans="1:11" x14ac:dyDescent="0.25">
      <c r="A2392" t="s">
        <v>6861</v>
      </c>
      <c r="B2392" s="27" t="s">
        <v>2435</v>
      </c>
      <c r="D2392" s="28" t="s">
        <v>4296</v>
      </c>
      <c r="E2392" s="29" t="s">
        <v>563</v>
      </c>
      <c r="F2392" s="30">
        <v>1</v>
      </c>
      <c r="G2392" s="31">
        <v>194.12</v>
      </c>
      <c r="H2392" s="31">
        <f t="shared" ref="H2392:H2455" si="156">+F2392*G2392</f>
        <v>194.12</v>
      </c>
      <c r="I2392" s="170" t="s">
        <v>2842</v>
      </c>
      <c r="J2392" t="s">
        <v>2853</v>
      </c>
      <c r="K2392" s="188" t="s">
        <v>2853</v>
      </c>
    </row>
    <row r="2393" spans="1:11" x14ac:dyDescent="0.25">
      <c r="A2393" t="s">
        <v>6862</v>
      </c>
      <c r="B2393" s="27" t="s">
        <v>2436</v>
      </c>
      <c r="D2393" s="28" t="s">
        <v>4297</v>
      </c>
      <c r="E2393" s="29" t="s">
        <v>671</v>
      </c>
      <c r="F2393" s="30">
        <v>1</v>
      </c>
      <c r="G2393" s="31">
        <v>194.12</v>
      </c>
      <c r="H2393" s="31">
        <f t="shared" si="156"/>
        <v>194.12</v>
      </c>
      <c r="I2393" s="170" t="s">
        <v>2842</v>
      </c>
      <c r="J2393" t="s">
        <v>2853</v>
      </c>
      <c r="K2393" s="188" t="s">
        <v>2853</v>
      </c>
    </row>
    <row r="2394" spans="1:11" x14ac:dyDescent="0.25">
      <c r="A2394" t="s">
        <v>6863</v>
      </c>
      <c r="B2394" s="27" t="s">
        <v>2437</v>
      </c>
      <c r="D2394" s="28" t="s">
        <v>4298</v>
      </c>
      <c r="E2394" s="29" t="s">
        <v>671</v>
      </c>
      <c r="F2394" s="30">
        <v>1</v>
      </c>
      <c r="G2394" s="31">
        <v>194.12</v>
      </c>
      <c r="H2394" s="31">
        <f t="shared" si="156"/>
        <v>194.12</v>
      </c>
      <c r="I2394" s="170" t="s">
        <v>2842</v>
      </c>
      <c r="J2394" t="s">
        <v>2853</v>
      </c>
      <c r="K2394" s="188" t="s">
        <v>2853</v>
      </c>
    </row>
    <row r="2395" spans="1:11" x14ac:dyDescent="0.25">
      <c r="A2395" t="s">
        <v>6864</v>
      </c>
      <c r="B2395" s="27" t="s">
        <v>2438</v>
      </c>
      <c r="D2395" s="28" t="s">
        <v>4299</v>
      </c>
      <c r="E2395" s="29" t="s">
        <v>671</v>
      </c>
      <c r="F2395" s="30">
        <v>1</v>
      </c>
      <c r="G2395" s="31">
        <v>194.12</v>
      </c>
      <c r="H2395" s="31">
        <f t="shared" si="156"/>
        <v>194.12</v>
      </c>
      <c r="I2395" s="170" t="s">
        <v>2842</v>
      </c>
      <c r="J2395" t="s">
        <v>2853</v>
      </c>
      <c r="K2395" s="188" t="s">
        <v>2853</v>
      </c>
    </row>
    <row r="2396" spans="1:11" x14ac:dyDescent="0.25">
      <c r="A2396" t="s">
        <v>6865</v>
      </c>
      <c r="B2396" s="27" t="s">
        <v>2439</v>
      </c>
      <c r="D2396" s="28" t="s">
        <v>4300</v>
      </c>
      <c r="E2396" s="29" t="s">
        <v>21</v>
      </c>
      <c r="F2396" s="30">
        <v>1</v>
      </c>
      <c r="G2396" s="31">
        <v>220.55</v>
      </c>
      <c r="H2396" s="31">
        <f t="shared" si="156"/>
        <v>220.55</v>
      </c>
      <c r="I2396" s="170" t="s">
        <v>2842</v>
      </c>
      <c r="J2396" t="s">
        <v>2853</v>
      </c>
      <c r="K2396" s="188" t="s">
        <v>2853</v>
      </c>
    </row>
    <row r="2397" spans="1:11" x14ac:dyDescent="0.25">
      <c r="A2397" t="s">
        <v>6866</v>
      </c>
      <c r="B2397" s="27" t="s">
        <v>2440</v>
      </c>
      <c r="D2397" s="28" t="s">
        <v>4301</v>
      </c>
      <c r="E2397" s="29" t="s">
        <v>21</v>
      </c>
      <c r="F2397" s="30">
        <v>1</v>
      </c>
      <c r="G2397" s="31">
        <v>220.55</v>
      </c>
      <c r="H2397" s="31">
        <f t="shared" si="156"/>
        <v>220.55</v>
      </c>
      <c r="I2397" s="170" t="s">
        <v>2842</v>
      </c>
      <c r="J2397" t="s">
        <v>2853</v>
      </c>
      <c r="K2397" s="188" t="s">
        <v>2853</v>
      </c>
    </row>
    <row r="2398" spans="1:11" x14ac:dyDescent="0.25">
      <c r="A2398" t="s">
        <v>6867</v>
      </c>
      <c r="B2398" s="27" t="s">
        <v>2441</v>
      </c>
      <c r="D2398" s="28" t="s">
        <v>4302</v>
      </c>
      <c r="E2398" s="29" t="s">
        <v>21</v>
      </c>
      <c r="F2398" s="30">
        <v>1</v>
      </c>
      <c r="G2398" s="31">
        <v>220.55</v>
      </c>
      <c r="H2398" s="31">
        <f t="shared" si="156"/>
        <v>220.55</v>
      </c>
      <c r="I2398" s="170" t="s">
        <v>2842</v>
      </c>
      <c r="J2398" t="s">
        <v>2853</v>
      </c>
      <c r="K2398" s="188" t="s">
        <v>2853</v>
      </c>
    </row>
    <row r="2399" spans="1:11" x14ac:dyDescent="0.25">
      <c r="A2399" t="s">
        <v>6868</v>
      </c>
      <c r="B2399" s="27" t="s">
        <v>2442</v>
      </c>
      <c r="D2399" s="28" t="s">
        <v>4303</v>
      </c>
      <c r="E2399" s="29" t="s">
        <v>563</v>
      </c>
      <c r="F2399" s="30">
        <v>1</v>
      </c>
      <c r="G2399" s="31">
        <v>220.55</v>
      </c>
      <c r="H2399" s="31">
        <f t="shared" si="156"/>
        <v>220.55</v>
      </c>
      <c r="I2399" s="170" t="s">
        <v>2842</v>
      </c>
      <c r="J2399" t="s">
        <v>2853</v>
      </c>
      <c r="K2399" s="188" t="s">
        <v>2853</v>
      </c>
    </row>
    <row r="2400" spans="1:11" x14ac:dyDescent="0.25">
      <c r="A2400" t="s">
        <v>6869</v>
      </c>
      <c r="B2400" s="27" t="s">
        <v>2443</v>
      </c>
      <c r="D2400" s="28" t="s">
        <v>4304</v>
      </c>
      <c r="E2400" s="29" t="s">
        <v>563</v>
      </c>
      <c r="F2400" s="30">
        <v>1</v>
      </c>
      <c r="G2400" s="31">
        <v>220.55</v>
      </c>
      <c r="H2400" s="31">
        <f t="shared" si="156"/>
        <v>220.55</v>
      </c>
      <c r="I2400" s="170" t="s">
        <v>2842</v>
      </c>
      <c r="J2400" t="s">
        <v>2853</v>
      </c>
      <c r="K2400" s="188" t="s">
        <v>2853</v>
      </c>
    </row>
    <row r="2401" spans="1:11" x14ac:dyDescent="0.25">
      <c r="A2401" t="s">
        <v>6870</v>
      </c>
      <c r="B2401" s="27" t="s">
        <v>2444</v>
      </c>
      <c r="D2401" s="28" t="s">
        <v>4305</v>
      </c>
      <c r="E2401" s="29" t="s">
        <v>563</v>
      </c>
      <c r="F2401" s="30">
        <v>1</v>
      </c>
      <c r="G2401" s="31">
        <v>220.55</v>
      </c>
      <c r="H2401" s="31">
        <f t="shared" si="156"/>
        <v>220.55</v>
      </c>
      <c r="I2401" s="170" t="s">
        <v>2842</v>
      </c>
      <c r="J2401" t="s">
        <v>2853</v>
      </c>
      <c r="K2401" s="188" t="s">
        <v>2853</v>
      </c>
    </row>
    <row r="2402" spans="1:11" x14ac:dyDescent="0.25">
      <c r="A2402" t="s">
        <v>6871</v>
      </c>
      <c r="B2402" s="27" t="s">
        <v>2445</v>
      </c>
      <c r="D2402" s="28" t="s">
        <v>4306</v>
      </c>
      <c r="E2402" s="29" t="s">
        <v>671</v>
      </c>
      <c r="F2402" s="30">
        <v>1</v>
      </c>
      <c r="G2402" s="31">
        <v>220.55</v>
      </c>
      <c r="H2402" s="31">
        <f t="shared" si="156"/>
        <v>220.55</v>
      </c>
      <c r="I2402" s="170" t="s">
        <v>2842</v>
      </c>
      <c r="J2402" t="s">
        <v>2853</v>
      </c>
      <c r="K2402" s="188" t="s">
        <v>2853</v>
      </c>
    </row>
    <row r="2403" spans="1:11" x14ac:dyDescent="0.25">
      <c r="A2403" t="s">
        <v>6872</v>
      </c>
      <c r="B2403" s="27" t="s">
        <v>2446</v>
      </c>
      <c r="D2403" s="28" t="s">
        <v>4307</v>
      </c>
      <c r="E2403" s="29" t="s">
        <v>671</v>
      </c>
      <c r="F2403" s="30">
        <v>1</v>
      </c>
      <c r="G2403" s="31">
        <v>220.55</v>
      </c>
      <c r="H2403" s="31">
        <f t="shared" si="156"/>
        <v>220.55</v>
      </c>
      <c r="I2403" s="170" t="s">
        <v>2842</v>
      </c>
      <c r="J2403" t="s">
        <v>2853</v>
      </c>
      <c r="K2403" s="188" t="s">
        <v>2853</v>
      </c>
    </row>
    <row r="2404" spans="1:11" x14ac:dyDescent="0.25">
      <c r="A2404" t="s">
        <v>6873</v>
      </c>
      <c r="B2404" s="27" t="s">
        <v>2447</v>
      </c>
      <c r="D2404" s="28" t="s">
        <v>4308</v>
      </c>
      <c r="E2404" s="29" t="s">
        <v>671</v>
      </c>
      <c r="F2404" s="30">
        <v>1</v>
      </c>
      <c r="G2404" s="31">
        <v>220.55</v>
      </c>
      <c r="H2404" s="31">
        <f t="shared" si="156"/>
        <v>220.55</v>
      </c>
      <c r="I2404" s="170" t="s">
        <v>2842</v>
      </c>
      <c r="J2404" t="s">
        <v>2853</v>
      </c>
      <c r="K2404" s="188" t="s">
        <v>2853</v>
      </c>
    </row>
    <row r="2405" spans="1:11" x14ac:dyDescent="0.25">
      <c r="A2405" t="s">
        <v>6874</v>
      </c>
      <c r="B2405" s="27" t="s">
        <v>2448</v>
      </c>
      <c r="D2405" s="28" t="s">
        <v>4309</v>
      </c>
      <c r="E2405" s="29" t="s">
        <v>21</v>
      </c>
      <c r="F2405" s="30">
        <v>1</v>
      </c>
      <c r="G2405" s="31">
        <v>247</v>
      </c>
      <c r="H2405" s="31">
        <f t="shared" si="156"/>
        <v>247</v>
      </c>
      <c r="I2405" s="170" t="s">
        <v>2842</v>
      </c>
      <c r="J2405" t="s">
        <v>2853</v>
      </c>
      <c r="K2405" s="188" t="s">
        <v>2853</v>
      </c>
    </row>
    <row r="2406" spans="1:11" x14ac:dyDescent="0.25">
      <c r="A2406" t="s">
        <v>6875</v>
      </c>
      <c r="B2406" s="27" t="s">
        <v>2449</v>
      </c>
      <c r="D2406" s="28" t="s">
        <v>4310</v>
      </c>
      <c r="E2406" s="29" t="s">
        <v>21</v>
      </c>
      <c r="F2406" s="30">
        <v>1</v>
      </c>
      <c r="G2406" s="31">
        <v>247</v>
      </c>
      <c r="H2406" s="31">
        <f t="shared" si="156"/>
        <v>247</v>
      </c>
      <c r="I2406" s="170" t="s">
        <v>2842</v>
      </c>
      <c r="J2406" t="s">
        <v>2853</v>
      </c>
      <c r="K2406" s="188" t="s">
        <v>2853</v>
      </c>
    </row>
    <row r="2407" spans="1:11" x14ac:dyDescent="0.25">
      <c r="A2407" t="s">
        <v>6876</v>
      </c>
      <c r="B2407" s="27" t="s">
        <v>2450</v>
      </c>
      <c r="D2407" s="28" t="s">
        <v>4311</v>
      </c>
      <c r="E2407" s="29" t="s">
        <v>21</v>
      </c>
      <c r="F2407" s="30">
        <v>1</v>
      </c>
      <c r="G2407" s="31">
        <v>247</v>
      </c>
      <c r="H2407" s="31">
        <f t="shared" si="156"/>
        <v>247</v>
      </c>
      <c r="I2407" s="170" t="s">
        <v>2842</v>
      </c>
      <c r="J2407" t="s">
        <v>2853</v>
      </c>
      <c r="K2407" s="188" t="s">
        <v>2853</v>
      </c>
    </row>
    <row r="2408" spans="1:11" x14ac:dyDescent="0.25">
      <c r="A2408" t="s">
        <v>6877</v>
      </c>
      <c r="B2408" s="27" t="s">
        <v>2451</v>
      </c>
      <c r="D2408" s="28" t="s">
        <v>4312</v>
      </c>
      <c r="E2408" s="29" t="s">
        <v>563</v>
      </c>
      <c r="F2408" s="30">
        <v>1</v>
      </c>
      <c r="G2408" s="31">
        <v>247</v>
      </c>
      <c r="H2408" s="31">
        <f t="shared" si="156"/>
        <v>247</v>
      </c>
      <c r="I2408" s="170" t="s">
        <v>2842</v>
      </c>
      <c r="J2408" t="s">
        <v>2853</v>
      </c>
      <c r="K2408" s="188" t="s">
        <v>2853</v>
      </c>
    </row>
    <row r="2409" spans="1:11" x14ac:dyDescent="0.25">
      <c r="A2409" t="s">
        <v>6878</v>
      </c>
      <c r="B2409" s="27" t="s">
        <v>2452</v>
      </c>
      <c r="D2409" s="28" t="s">
        <v>4313</v>
      </c>
      <c r="E2409" s="29" t="s">
        <v>563</v>
      </c>
      <c r="F2409" s="30">
        <v>1</v>
      </c>
      <c r="G2409" s="31">
        <v>247</v>
      </c>
      <c r="H2409" s="31">
        <f t="shared" si="156"/>
        <v>247</v>
      </c>
      <c r="I2409" s="170" t="s">
        <v>2842</v>
      </c>
      <c r="J2409" t="s">
        <v>2853</v>
      </c>
      <c r="K2409" s="188" t="s">
        <v>2853</v>
      </c>
    </row>
    <row r="2410" spans="1:11" x14ac:dyDescent="0.25">
      <c r="A2410" t="s">
        <v>6879</v>
      </c>
      <c r="B2410" s="27" t="s">
        <v>2453</v>
      </c>
      <c r="D2410" s="28" t="s">
        <v>4314</v>
      </c>
      <c r="E2410" s="29" t="s">
        <v>563</v>
      </c>
      <c r="F2410" s="30">
        <v>1</v>
      </c>
      <c r="G2410" s="31">
        <v>247</v>
      </c>
      <c r="H2410" s="31">
        <f t="shared" si="156"/>
        <v>247</v>
      </c>
      <c r="I2410" s="170" t="s">
        <v>2842</v>
      </c>
      <c r="J2410" t="s">
        <v>2853</v>
      </c>
      <c r="K2410" s="188" t="s">
        <v>2853</v>
      </c>
    </row>
    <row r="2411" spans="1:11" x14ac:dyDescent="0.25">
      <c r="A2411" t="s">
        <v>6880</v>
      </c>
      <c r="B2411" s="27" t="s">
        <v>2454</v>
      </c>
      <c r="D2411" s="28" t="s">
        <v>4315</v>
      </c>
      <c r="E2411" s="29" t="s">
        <v>671</v>
      </c>
      <c r="F2411" s="30">
        <v>1</v>
      </c>
      <c r="G2411" s="31">
        <v>247</v>
      </c>
      <c r="H2411" s="31">
        <f t="shared" si="156"/>
        <v>247</v>
      </c>
      <c r="I2411" s="170" t="s">
        <v>2842</v>
      </c>
      <c r="J2411" t="s">
        <v>2853</v>
      </c>
      <c r="K2411" s="188" t="s">
        <v>2853</v>
      </c>
    </row>
    <row r="2412" spans="1:11" x14ac:dyDescent="0.25">
      <c r="A2412" t="s">
        <v>6881</v>
      </c>
      <c r="B2412" s="27" t="s">
        <v>2455</v>
      </c>
      <c r="D2412" s="28" t="s">
        <v>4316</v>
      </c>
      <c r="E2412" s="29" t="s">
        <v>671</v>
      </c>
      <c r="F2412" s="30">
        <v>1</v>
      </c>
      <c r="G2412" s="31">
        <v>247</v>
      </c>
      <c r="H2412" s="31">
        <f t="shared" si="156"/>
        <v>247</v>
      </c>
      <c r="I2412" s="170" t="s">
        <v>2842</v>
      </c>
      <c r="J2412" t="s">
        <v>2853</v>
      </c>
      <c r="K2412" s="188" t="s">
        <v>2853</v>
      </c>
    </row>
    <row r="2413" spans="1:11" x14ac:dyDescent="0.25">
      <c r="A2413" t="s">
        <v>6882</v>
      </c>
      <c r="B2413" s="27" t="s">
        <v>2456</v>
      </c>
      <c r="D2413" s="28" t="s">
        <v>4317</v>
      </c>
      <c r="E2413" s="29" t="s">
        <v>671</v>
      </c>
      <c r="F2413" s="30">
        <v>1</v>
      </c>
      <c r="G2413" s="31">
        <v>247</v>
      </c>
      <c r="H2413" s="31">
        <f t="shared" si="156"/>
        <v>247</v>
      </c>
      <c r="I2413" s="170" t="s">
        <v>2842</v>
      </c>
      <c r="J2413" t="s">
        <v>2853</v>
      </c>
      <c r="K2413" s="188" t="s">
        <v>2853</v>
      </c>
    </row>
    <row r="2414" spans="1:11" x14ac:dyDescent="0.25">
      <c r="A2414" t="s">
        <v>6883</v>
      </c>
      <c r="B2414" s="27" t="s">
        <v>2457</v>
      </c>
      <c r="D2414" s="28" t="s">
        <v>4318</v>
      </c>
      <c r="E2414" s="29" t="s">
        <v>21</v>
      </c>
      <c r="F2414" s="30">
        <v>1</v>
      </c>
      <c r="G2414" s="31">
        <v>180.89</v>
      </c>
      <c r="H2414" s="31">
        <f t="shared" si="156"/>
        <v>180.89</v>
      </c>
      <c r="I2414" s="170" t="s">
        <v>2842</v>
      </c>
      <c r="J2414" t="s">
        <v>2853</v>
      </c>
      <c r="K2414" s="188" t="s">
        <v>2853</v>
      </c>
    </row>
    <row r="2415" spans="1:11" x14ac:dyDescent="0.25">
      <c r="A2415" t="s">
        <v>6884</v>
      </c>
      <c r="B2415" s="27" t="s">
        <v>2458</v>
      </c>
      <c r="D2415" s="28" t="s">
        <v>4319</v>
      </c>
      <c r="E2415" s="29" t="s">
        <v>21</v>
      </c>
      <c r="F2415" s="30">
        <v>1</v>
      </c>
      <c r="G2415" s="31">
        <v>180.89</v>
      </c>
      <c r="H2415" s="31">
        <f t="shared" si="156"/>
        <v>180.89</v>
      </c>
      <c r="I2415" s="170" t="s">
        <v>2842</v>
      </c>
      <c r="J2415" t="s">
        <v>2853</v>
      </c>
      <c r="K2415" s="188" t="s">
        <v>2853</v>
      </c>
    </row>
    <row r="2416" spans="1:11" x14ac:dyDescent="0.25">
      <c r="A2416" t="s">
        <v>6885</v>
      </c>
      <c r="B2416" s="27" t="s">
        <v>2459</v>
      </c>
      <c r="D2416" s="28" t="s">
        <v>4320</v>
      </c>
      <c r="E2416" s="29" t="s">
        <v>21</v>
      </c>
      <c r="F2416" s="30">
        <v>1</v>
      </c>
      <c r="G2416" s="31">
        <v>180.89</v>
      </c>
      <c r="H2416" s="31">
        <f t="shared" si="156"/>
        <v>180.89</v>
      </c>
      <c r="I2416" s="170" t="s">
        <v>2842</v>
      </c>
      <c r="J2416" t="s">
        <v>2853</v>
      </c>
      <c r="K2416" s="188" t="s">
        <v>2853</v>
      </c>
    </row>
    <row r="2417" spans="1:11" x14ac:dyDescent="0.25">
      <c r="A2417" t="s">
        <v>6886</v>
      </c>
      <c r="B2417" s="27" t="s">
        <v>2460</v>
      </c>
      <c r="D2417" s="28" t="s">
        <v>4321</v>
      </c>
      <c r="E2417" s="29" t="s">
        <v>563</v>
      </c>
      <c r="F2417" s="30">
        <v>1</v>
      </c>
      <c r="G2417" s="31">
        <v>180.89</v>
      </c>
      <c r="H2417" s="31">
        <f t="shared" si="156"/>
        <v>180.89</v>
      </c>
      <c r="I2417" s="170" t="s">
        <v>2842</v>
      </c>
      <c r="J2417" t="s">
        <v>2853</v>
      </c>
      <c r="K2417" s="188" t="s">
        <v>2853</v>
      </c>
    </row>
    <row r="2418" spans="1:11" x14ac:dyDescent="0.25">
      <c r="A2418" t="s">
        <v>6887</v>
      </c>
      <c r="B2418" s="27" t="s">
        <v>2461</v>
      </c>
      <c r="D2418" s="28" t="s">
        <v>4322</v>
      </c>
      <c r="E2418" s="29" t="s">
        <v>563</v>
      </c>
      <c r="F2418" s="30">
        <v>1</v>
      </c>
      <c r="G2418" s="31">
        <v>180.89</v>
      </c>
      <c r="H2418" s="31">
        <f t="shared" si="156"/>
        <v>180.89</v>
      </c>
      <c r="I2418" s="170" t="s">
        <v>2842</v>
      </c>
      <c r="J2418" t="s">
        <v>2853</v>
      </c>
      <c r="K2418" s="188" t="s">
        <v>2853</v>
      </c>
    </row>
    <row r="2419" spans="1:11" x14ac:dyDescent="0.25">
      <c r="A2419" t="s">
        <v>6888</v>
      </c>
      <c r="B2419" s="27" t="s">
        <v>2462</v>
      </c>
      <c r="D2419" s="28" t="s">
        <v>4323</v>
      </c>
      <c r="E2419" s="29" t="s">
        <v>563</v>
      </c>
      <c r="F2419" s="30">
        <v>1</v>
      </c>
      <c r="G2419" s="31">
        <v>180.89</v>
      </c>
      <c r="H2419" s="31">
        <f t="shared" si="156"/>
        <v>180.89</v>
      </c>
      <c r="I2419" s="170" t="s">
        <v>2842</v>
      </c>
      <c r="J2419" t="s">
        <v>2853</v>
      </c>
      <c r="K2419" s="188" t="s">
        <v>2853</v>
      </c>
    </row>
    <row r="2420" spans="1:11" x14ac:dyDescent="0.25">
      <c r="A2420" t="s">
        <v>6889</v>
      </c>
      <c r="B2420" s="27" t="s">
        <v>2463</v>
      </c>
      <c r="D2420" s="28" t="s">
        <v>4324</v>
      </c>
      <c r="E2420" s="29" t="s">
        <v>671</v>
      </c>
      <c r="F2420" s="30">
        <v>1</v>
      </c>
      <c r="G2420" s="31">
        <v>180.89</v>
      </c>
      <c r="H2420" s="31">
        <f t="shared" si="156"/>
        <v>180.89</v>
      </c>
      <c r="I2420" s="170" t="s">
        <v>2842</v>
      </c>
      <c r="J2420" t="s">
        <v>2853</v>
      </c>
      <c r="K2420" s="188" t="s">
        <v>2853</v>
      </c>
    </row>
    <row r="2421" spans="1:11" x14ac:dyDescent="0.25">
      <c r="A2421" t="s">
        <v>6890</v>
      </c>
      <c r="B2421" s="27" t="s">
        <v>2464</v>
      </c>
      <c r="D2421" s="28" t="s">
        <v>4325</v>
      </c>
      <c r="E2421" s="29" t="s">
        <v>671</v>
      </c>
      <c r="F2421" s="30">
        <v>1</v>
      </c>
      <c r="G2421" s="31">
        <v>180.89</v>
      </c>
      <c r="H2421" s="31">
        <f t="shared" si="156"/>
        <v>180.89</v>
      </c>
      <c r="I2421" s="170" t="s">
        <v>2842</v>
      </c>
      <c r="J2421" t="s">
        <v>2853</v>
      </c>
      <c r="K2421" s="188" t="s">
        <v>2853</v>
      </c>
    </row>
    <row r="2422" spans="1:11" x14ac:dyDescent="0.25">
      <c r="A2422" t="s">
        <v>6891</v>
      </c>
      <c r="B2422" s="27" t="s">
        <v>2465</v>
      </c>
      <c r="D2422" s="28" t="s">
        <v>4326</v>
      </c>
      <c r="E2422" s="29" t="s">
        <v>671</v>
      </c>
      <c r="F2422" s="30">
        <v>1</v>
      </c>
      <c r="G2422" s="31">
        <v>180.89</v>
      </c>
      <c r="H2422" s="31">
        <f t="shared" si="156"/>
        <v>180.89</v>
      </c>
      <c r="I2422" s="170" t="s">
        <v>2842</v>
      </c>
      <c r="J2422" t="s">
        <v>2853</v>
      </c>
      <c r="K2422" s="188" t="s">
        <v>2853</v>
      </c>
    </row>
    <row r="2423" spans="1:11" x14ac:dyDescent="0.25">
      <c r="A2423" t="s">
        <v>6892</v>
      </c>
      <c r="B2423" s="27" t="s">
        <v>2466</v>
      </c>
      <c r="D2423" s="28" t="s">
        <v>4327</v>
      </c>
      <c r="E2423" s="29" t="s">
        <v>21</v>
      </c>
      <c r="F2423" s="30">
        <v>1</v>
      </c>
      <c r="G2423" s="31">
        <v>200.73</v>
      </c>
      <c r="H2423" s="31">
        <f t="shared" si="156"/>
        <v>200.73</v>
      </c>
      <c r="I2423" s="170" t="s">
        <v>2842</v>
      </c>
      <c r="J2423" t="s">
        <v>2853</v>
      </c>
      <c r="K2423" s="188" t="s">
        <v>2853</v>
      </c>
    </row>
    <row r="2424" spans="1:11" x14ac:dyDescent="0.25">
      <c r="A2424" t="s">
        <v>6893</v>
      </c>
      <c r="B2424" s="27" t="s">
        <v>2467</v>
      </c>
      <c r="D2424" s="28" t="s">
        <v>4328</v>
      </c>
      <c r="E2424" s="29" t="s">
        <v>21</v>
      </c>
      <c r="F2424" s="30">
        <v>1</v>
      </c>
      <c r="G2424" s="31">
        <v>200.73</v>
      </c>
      <c r="H2424" s="31">
        <f t="shared" si="156"/>
        <v>200.73</v>
      </c>
      <c r="I2424" s="170" t="s">
        <v>2842</v>
      </c>
      <c r="J2424" t="s">
        <v>2853</v>
      </c>
      <c r="K2424" s="188" t="s">
        <v>2853</v>
      </c>
    </row>
    <row r="2425" spans="1:11" x14ac:dyDescent="0.25">
      <c r="A2425" t="s">
        <v>6894</v>
      </c>
      <c r="B2425" s="27" t="s">
        <v>2468</v>
      </c>
      <c r="D2425" s="28" t="s">
        <v>4329</v>
      </c>
      <c r="E2425" s="29" t="s">
        <v>21</v>
      </c>
      <c r="F2425" s="30">
        <v>1</v>
      </c>
      <c r="G2425" s="31">
        <v>200.73</v>
      </c>
      <c r="H2425" s="31">
        <f t="shared" si="156"/>
        <v>200.73</v>
      </c>
      <c r="I2425" s="170" t="s">
        <v>2842</v>
      </c>
      <c r="J2425" t="s">
        <v>2853</v>
      </c>
      <c r="K2425" s="188" t="s">
        <v>2853</v>
      </c>
    </row>
    <row r="2426" spans="1:11" x14ac:dyDescent="0.25">
      <c r="A2426" t="s">
        <v>6895</v>
      </c>
      <c r="B2426" s="27" t="s">
        <v>2469</v>
      </c>
      <c r="D2426" s="28" t="s">
        <v>4330</v>
      </c>
      <c r="E2426" s="29" t="s">
        <v>563</v>
      </c>
      <c r="F2426" s="30">
        <v>1</v>
      </c>
      <c r="G2426" s="31">
        <v>200.73</v>
      </c>
      <c r="H2426" s="31">
        <f t="shared" si="156"/>
        <v>200.73</v>
      </c>
      <c r="I2426" s="170" t="s">
        <v>2842</v>
      </c>
      <c r="J2426" t="s">
        <v>2853</v>
      </c>
      <c r="K2426" s="188" t="s">
        <v>2853</v>
      </c>
    </row>
    <row r="2427" spans="1:11" x14ac:dyDescent="0.25">
      <c r="A2427" t="s">
        <v>6896</v>
      </c>
      <c r="B2427" s="27" t="s">
        <v>2470</v>
      </c>
      <c r="D2427" s="28" t="s">
        <v>4331</v>
      </c>
      <c r="E2427" s="29" t="s">
        <v>563</v>
      </c>
      <c r="F2427" s="30">
        <v>1</v>
      </c>
      <c r="G2427" s="31">
        <v>200.73</v>
      </c>
      <c r="H2427" s="31">
        <f t="shared" si="156"/>
        <v>200.73</v>
      </c>
      <c r="I2427" s="170" t="s">
        <v>2842</v>
      </c>
      <c r="J2427" t="s">
        <v>2853</v>
      </c>
      <c r="K2427" s="188" t="s">
        <v>2853</v>
      </c>
    </row>
    <row r="2428" spans="1:11" x14ac:dyDescent="0.25">
      <c r="A2428" t="s">
        <v>6897</v>
      </c>
      <c r="B2428" s="27" t="s">
        <v>2471</v>
      </c>
      <c r="D2428" s="28" t="s">
        <v>4332</v>
      </c>
      <c r="E2428" s="29" t="s">
        <v>563</v>
      </c>
      <c r="F2428" s="30">
        <v>1</v>
      </c>
      <c r="G2428" s="31">
        <v>200.73</v>
      </c>
      <c r="H2428" s="31">
        <f t="shared" si="156"/>
        <v>200.73</v>
      </c>
      <c r="I2428" s="170" t="s">
        <v>2842</v>
      </c>
      <c r="J2428" t="s">
        <v>2853</v>
      </c>
      <c r="K2428" s="188" t="s">
        <v>2853</v>
      </c>
    </row>
    <row r="2429" spans="1:11" x14ac:dyDescent="0.25">
      <c r="A2429" t="s">
        <v>6898</v>
      </c>
      <c r="B2429" s="27" t="s">
        <v>2472</v>
      </c>
      <c r="D2429" s="28" t="s">
        <v>4333</v>
      </c>
      <c r="E2429" s="29" t="s">
        <v>671</v>
      </c>
      <c r="F2429" s="30">
        <v>1</v>
      </c>
      <c r="G2429" s="31">
        <v>200.73</v>
      </c>
      <c r="H2429" s="31">
        <f t="shared" si="156"/>
        <v>200.73</v>
      </c>
      <c r="I2429" s="170" t="s">
        <v>2842</v>
      </c>
      <c r="J2429" t="s">
        <v>2853</v>
      </c>
      <c r="K2429" s="188" t="s">
        <v>2853</v>
      </c>
    </row>
    <row r="2430" spans="1:11" x14ac:dyDescent="0.25">
      <c r="A2430" t="s">
        <v>6899</v>
      </c>
      <c r="B2430" s="27" t="s">
        <v>2473</v>
      </c>
      <c r="D2430" s="28" t="s">
        <v>4334</v>
      </c>
      <c r="E2430" s="29" t="s">
        <v>671</v>
      </c>
      <c r="F2430" s="30">
        <v>1</v>
      </c>
      <c r="G2430" s="31">
        <v>200.73</v>
      </c>
      <c r="H2430" s="31">
        <f t="shared" si="156"/>
        <v>200.73</v>
      </c>
      <c r="I2430" s="170" t="s">
        <v>2842</v>
      </c>
      <c r="J2430" t="s">
        <v>2853</v>
      </c>
      <c r="K2430" s="188" t="s">
        <v>2853</v>
      </c>
    </row>
    <row r="2431" spans="1:11" x14ac:dyDescent="0.25">
      <c r="A2431" t="s">
        <v>6900</v>
      </c>
      <c r="B2431" s="27" t="s">
        <v>2474</v>
      </c>
      <c r="D2431" s="28" t="s">
        <v>4335</v>
      </c>
      <c r="E2431" s="29" t="s">
        <v>671</v>
      </c>
      <c r="F2431" s="30">
        <v>1</v>
      </c>
      <c r="G2431" s="31">
        <v>200.73</v>
      </c>
      <c r="H2431" s="31">
        <f t="shared" si="156"/>
        <v>200.73</v>
      </c>
      <c r="I2431" s="170" t="s">
        <v>2842</v>
      </c>
      <c r="J2431" t="s">
        <v>2853</v>
      </c>
      <c r="K2431" s="188" t="s">
        <v>2853</v>
      </c>
    </row>
    <row r="2432" spans="1:11" x14ac:dyDescent="0.25">
      <c r="A2432" t="s">
        <v>6901</v>
      </c>
      <c r="B2432" s="27" t="s">
        <v>2475</v>
      </c>
      <c r="D2432" s="28" t="s">
        <v>4336</v>
      </c>
      <c r="E2432" s="29" t="s">
        <v>21</v>
      </c>
      <c r="F2432" s="30">
        <v>1</v>
      </c>
      <c r="G2432" s="31">
        <v>220.55</v>
      </c>
      <c r="H2432" s="31">
        <f t="shared" si="156"/>
        <v>220.55</v>
      </c>
      <c r="I2432" s="170" t="s">
        <v>2842</v>
      </c>
      <c r="J2432" t="s">
        <v>2853</v>
      </c>
      <c r="K2432" s="188" t="s">
        <v>2853</v>
      </c>
    </row>
    <row r="2433" spans="1:11" x14ac:dyDescent="0.25">
      <c r="A2433" t="s">
        <v>6902</v>
      </c>
      <c r="B2433" s="27" t="s">
        <v>2476</v>
      </c>
      <c r="D2433" s="28" t="s">
        <v>4337</v>
      </c>
      <c r="E2433" s="29" t="s">
        <v>21</v>
      </c>
      <c r="F2433" s="30">
        <v>1</v>
      </c>
      <c r="G2433" s="31">
        <v>220.55</v>
      </c>
      <c r="H2433" s="31">
        <f t="shared" si="156"/>
        <v>220.55</v>
      </c>
      <c r="I2433" s="170" t="s">
        <v>2842</v>
      </c>
      <c r="J2433" t="s">
        <v>2853</v>
      </c>
      <c r="K2433" s="188" t="s">
        <v>2853</v>
      </c>
    </row>
    <row r="2434" spans="1:11" x14ac:dyDescent="0.25">
      <c r="A2434" t="s">
        <v>6903</v>
      </c>
      <c r="B2434" s="27" t="s">
        <v>2477</v>
      </c>
      <c r="D2434" s="28" t="s">
        <v>4338</v>
      </c>
      <c r="E2434" s="29" t="s">
        <v>21</v>
      </c>
      <c r="F2434" s="30">
        <v>1</v>
      </c>
      <c r="G2434" s="31">
        <v>220.55</v>
      </c>
      <c r="H2434" s="31">
        <f t="shared" si="156"/>
        <v>220.55</v>
      </c>
      <c r="I2434" s="170" t="s">
        <v>2842</v>
      </c>
      <c r="J2434" t="s">
        <v>2853</v>
      </c>
      <c r="K2434" s="188" t="s">
        <v>2853</v>
      </c>
    </row>
    <row r="2435" spans="1:11" x14ac:dyDescent="0.25">
      <c r="A2435" t="s">
        <v>6904</v>
      </c>
      <c r="B2435" s="27" t="s">
        <v>2478</v>
      </c>
      <c r="D2435" s="28" t="s">
        <v>4339</v>
      </c>
      <c r="E2435" s="29" t="s">
        <v>563</v>
      </c>
      <c r="F2435" s="30">
        <v>1</v>
      </c>
      <c r="G2435" s="31">
        <v>220.55</v>
      </c>
      <c r="H2435" s="31">
        <f t="shared" si="156"/>
        <v>220.55</v>
      </c>
      <c r="I2435" s="170" t="s">
        <v>2842</v>
      </c>
      <c r="J2435" t="s">
        <v>2853</v>
      </c>
      <c r="K2435" s="188" t="s">
        <v>2853</v>
      </c>
    </row>
    <row r="2436" spans="1:11" x14ac:dyDescent="0.25">
      <c r="A2436" t="s">
        <v>6905</v>
      </c>
      <c r="B2436" s="27" t="s">
        <v>2479</v>
      </c>
      <c r="D2436" s="28" t="s">
        <v>4340</v>
      </c>
      <c r="E2436" s="29" t="s">
        <v>563</v>
      </c>
      <c r="F2436" s="30">
        <v>1</v>
      </c>
      <c r="G2436" s="31">
        <v>220.55</v>
      </c>
      <c r="H2436" s="31">
        <f t="shared" si="156"/>
        <v>220.55</v>
      </c>
      <c r="I2436" s="170" t="s">
        <v>2842</v>
      </c>
      <c r="J2436" t="s">
        <v>2853</v>
      </c>
      <c r="K2436" s="188" t="s">
        <v>2853</v>
      </c>
    </row>
    <row r="2437" spans="1:11" x14ac:dyDescent="0.25">
      <c r="A2437" t="s">
        <v>6906</v>
      </c>
      <c r="B2437" s="27" t="s">
        <v>2480</v>
      </c>
      <c r="D2437" s="28" t="s">
        <v>4341</v>
      </c>
      <c r="E2437" s="29" t="s">
        <v>563</v>
      </c>
      <c r="F2437" s="30">
        <v>1</v>
      </c>
      <c r="G2437" s="31">
        <v>220.55</v>
      </c>
      <c r="H2437" s="31">
        <f t="shared" si="156"/>
        <v>220.55</v>
      </c>
      <c r="I2437" s="170" t="s">
        <v>2842</v>
      </c>
      <c r="J2437" t="s">
        <v>2853</v>
      </c>
      <c r="K2437" s="188" t="s">
        <v>2853</v>
      </c>
    </row>
    <row r="2438" spans="1:11" x14ac:dyDescent="0.25">
      <c r="A2438" t="s">
        <v>6907</v>
      </c>
      <c r="B2438" s="27" t="s">
        <v>2481</v>
      </c>
      <c r="D2438" s="28" t="s">
        <v>4342</v>
      </c>
      <c r="E2438" s="29" t="s">
        <v>671</v>
      </c>
      <c r="F2438" s="30">
        <v>1</v>
      </c>
      <c r="G2438" s="31">
        <v>220.55</v>
      </c>
      <c r="H2438" s="31">
        <f t="shared" si="156"/>
        <v>220.55</v>
      </c>
      <c r="I2438" s="170" t="s">
        <v>2842</v>
      </c>
      <c r="J2438" t="s">
        <v>2853</v>
      </c>
      <c r="K2438" s="188" t="s">
        <v>2853</v>
      </c>
    </row>
    <row r="2439" spans="1:11" x14ac:dyDescent="0.25">
      <c r="A2439" t="s">
        <v>6908</v>
      </c>
      <c r="B2439" s="27" t="s">
        <v>2482</v>
      </c>
      <c r="D2439" s="28" t="s">
        <v>4343</v>
      </c>
      <c r="E2439" s="29" t="s">
        <v>671</v>
      </c>
      <c r="F2439" s="30">
        <v>1</v>
      </c>
      <c r="G2439" s="31">
        <v>220.55</v>
      </c>
      <c r="H2439" s="31">
        <f t="shared" si="156"/>
        <v>220.55</v>
      </c>
      <c r="I2439" s="170" t="s">
        <v>2842</v>
      </c>
      <c r="J2439" t="s">
        <v>2853</v>
      </c>
      <c r="K2439" s="188" t="s">
        <v>2853</v>
      </c>
    </row>
    <row r="2440" spans="1:11" x14ac:dyDescent="0.25">
      <c r="A2440" t="s">
        <v>6909</v>
      </c>
      <c r="B2440" s="27" t="s">
        <v>2483</v>
      </c>
      <c r="D2440" s="28" t="s">
        <v>4344</v>
      </c>
      <c r="E2440" s="29" t="s">
        <v>671</v>
      </c>
      <c r="F2440" s="30">
        <v>1</v>
      </c>
      <c r="G2440" s="31">
        <v>220.55</v>
      </c>
      <c r="H2440" s="31">
        <f t="shared" si="156"/>
        <v>220.55</v>
      </c>
      <c r="I2440" s="170" t="s">
        <v>2842</v>
      </c>
      <c r="J2440" t="s">
        <v>2853</v>
      </c>
      <c r="K2440" s="188" t="s">
        <v>2853</v>
      </c>
    </row>
    <row r="2441" spans="1:11" x14ac:dyDescent="0.25">
      <c r="A2441" t="s">
        <v>6910</v>
      </c>
      <c r="B2441" s="27" t="s">
        <v>2484</v>
      </c>
      <c r="D2441" s="28" t="s">
        <v>4345</v>
      </c>
      <c r="E2441" s="29" t="s">
        <v>21</v>
      </c>
      <c r="F2441" s="30">
        <v>1</v>
      </c>
      <c r="G2441" s="31">
        <v>247</v>
      </c>
      <c r="H2441" s="31">
        <f t="shared" si="156"/>
        <v>247</v>
      </c>
      <c r="I2441" s="170" t="s">
        <v>2842</v>
      </c>
      <c r="J2441" t="s">
        <v>2853</v>
      </c>
      <c r="K2441" s="188" t="s">
        <v>2853</v>
      </c>
    </row>
    <row r="2442" spans="1:11" x14ac:dyDescent="0.25">
      <c r="A2442" t="s">
        <v>6911</v>
      </c>
      <c r="B2442" s="27" t="s">
        <v>2485</v>
      </c>
      <c r="D2442" s="28" t="s">
        <v>4346</v>
      </c>
      <c r="E2442" s="29" t="s">
        <v>21</v>
      </c>
      <c r="F2442" s="30">
        <v>1</v>
      </c>
      <c r="G2442" s="31">
        <v>247</v>
      </c>
      <c r="H2442" s="31">
        <f t="shared" si="156"/>
        <v>247</v>
      </c>
      <c r="I2442" s="170" t="s">
        <v>2842</v>
      </c>
      <c r="J2442" t="s">
        <v>2853</v>
      </c>
      <c r="K2442" s="188" t="s">
        <v>2853</v>
      </c>
    </row>
    <row r="2443" spans="1:11" x14ac:dyDescent="0.25">
      <c r="A2443" t="s">
        <v>6912</v>
      </c>
      <c r="B2443" s="27" t="s">
        <v>2486</v>
      </c>
      <c r="D2443" s="28" t="s">
        <v>4347</v>
      </c>
      <c r="E2443" s="29" t="s">
        <v>21</v>
      </c>
      <c r="F2443" s="30">
        <v>1</v>
      </c>
      <c r="G2443" s="31">
        <v>247</v>
      </c>
      <c r="H2443" s="31">
        <f t="shared" si="156"/>
        <v>247</v>
      </c>
      <c r="I2443" s="170" t="s">
        <v>2842</v>
      </c>
      <c r="J2443" t="s">
        <v>2853</v>
      </c>
      <c r="K2443" s="188" t="s">
        <v>2853</v>
      </c>
    </row>
    <row r="2444" spans="1:11" x14ac:dyDescent="0.25">
      <c r="A2444" t="s">
        <v>6913</v>
      </c>
      <c r="B2444" s="27" t="s">
        <v>2487</v>
      </c>
      <c r="D2444" s="28" t="s">
        <v>4348</v>
      </c>
      <c r="E2444" s="29" t="s">
        <v>563</v>
      </c>
      <c r="F2444" s="30">
        <v>1</v>
      </c>
      <c r="G2444" s="31">
        <v>247</v>
      </c>
      <c r="H2444" s="31">
        <f t="shared" si="156"/>
        <v>247</v>
      </c>
      <c r="I2444" s="170" t="s">
        <v>2842</v>
      </c>
      <c r="J2444" t="s">
        <v>2853</v>
      </c>
      <c r="K2444" s="188" t="s">
        <v>2853</v>
      </c>
    </row>
    <row r="2445" spans="1:11" x14ac:dyDescent="0.25">
      <c r="A2445" t="s">
        <v>6914</v>
      </c>
      <c r="B2445" s="27" t="s">
        <v>2488</v>
      </c>
      <c r="D2445" s="28" t="s">
        <v>4349</v>
      </c>
      <c r="E2445" s="29" t="s">
        <v>563</v>
      </c>
      <c r="F2445" s="30">
        <v>1</v>
      </c>
      <c r="G2445" s="31">
        <v>247</v>
      </c>
      <c r="H2445" s="31">
        <f t="shared" si="156"/>
        <v>247</v>
      </c>
      <c r="I2445" s="170" t="s">
        <v>2842</v>
      </c>
      <c r="J2445" t="s">
        <v>2853</v>
      </c>
      <c r="K2445" s="188" t="s">
        <v>2853</v>
      </c>
    </row>
    <row r="2446" spans="1:11" x14ac:dyDescent="0.25">
      <c r="A2446" t="s">
        <v>6915</v>
      </c>
      <c r="B2446" s="27" t="s">
        <v>2489</v>
      </c>
      <c r="D2446" s="28" t="s">
        <v>4350</v>
      </c>
      <c r="E2446" s="29" t="s">
        <v>563</v>
      </c>
      <c r="F2446" s="30">
        <v>1</v>
      </c>
      <c r="G2446" s="31">
        <v>247</v>
      </c>
      <c r="H2446" s="31">
        <f t="shared" si="156"/>
        <v>247</v>
      </c>
      <c r="I2446" s="170" t="s">
        <v>2842</v>
      </c>
      <c r="J2446" t="s">
        <v>2853</v>
      </c>
      <c r="K2446" s="188" t="s">
        <v>2853</v>
      </c>
    </row>
    <row r="2447" spans="1:11" x14ac:dyDescent="0.25">
      <c r="A2447" t="s">
        <v>6916</v>
      </c>
      <c r="B2447" s="27" t="s">
        <v>2490</v>
      </c>
      <c r="D2447" s="28" t="s">
        <v>4351</v>
      </c>
      <c r="E2447" s="29" t="s">
        <v>671</v>
      </c>
      <c r="F2447" s="30">
        <v>1</v>
      </c>
      <c r="G2447" s="31">
        <v>247</v>
      </c>
      <c r="H2447" s="31">
        <f t="shared" si="156"/>
        <v>247</v>
      </c>
      <c r="I2447" s="170" t="s">
        <v>2842</v>
      </c>
      <c r="J2447" t="s">
        <v>2853</v>
      </c>
      <c r="K2447" s="188" t="s">
        <v>2853</v>
      </c>
    </row>
    <row r="2448" spans="1:11" x14ac:dyDescent="0.25">
      <c r="A2448" t="s">
        <v>6917</v>
      </c>
      <c r="B2448" s="27" t="s">
        <v>2491</v>
      </c>
      <c r="D2448" s="28" t="s">
        <v>4352</v>
      </c>
      <c r="E2448" s="29" t="s">
        <v>671</v>
      </c>
      <c r="F2448" s="30">
        <v>1</v>
      </c>
      <c r="G2448" s="31">
        <v>247</v>
      </c>
      <c r="H2448" s="31">
        <f t="shared" si="156"/>
        <v>247</v>
      </c>
      <c r="I2448" s="170" t="s">
        <v>2842</v>
      </c>
      <c r="J2448" t="s">
        <v>2853</v>
      </c>
      <c r="K2448" s="188" t="s">
        <v>2853</v>
      </c>
    </row>
    <row r="2449" spans="1:11" x14ac:dyDescent="0.25">
      <c r="A2449" t="s">
        <v>6918</v>
      </c>
      <c r="B2449" s="27" t="s">
        <v>2492</v>
      </c>
      <c r="D2449" s="28" t="s">
        <v>4353</v>
      </c>
      <c r="E2449" s="29" t="s">
        <v>671</v>
      </c>
      <c r="F2449" s="30">
        <v>1</v>
      </c>
      <c r="G2449" s="31">
        <v>247</v>
      </c>
      <c r="H2449" s="31">
        <f t="shared" si="156"/>
        <v>247</v>
      </c>
      <c r="I2449" s="170" t="s">
        <v>2842</v>
      </c>
      <c r="J2449" t="s">
        <v>2853</v>
      </c>
      <c r="K2449" s="188" t="s">
        <v>2853</v>
      </c>
    </row>
    <row r="2450" spans="1:11" x14ac:dyDescent="0.25">
      <c r="A2450" t="s">
        <v>6919</v>
      </c>
      <c r="B2450" s="27" t="s">
        <v>2493</v>
      </c>
      <c r="D2450" s="28" t="s">
        <v>4354</v>
      </c>
      <c r="E2450" s="29" t="s">
        <v>21</v>
      </c>
      <c r="F2450" s="30">
        <v>1</v>
      </c>
      <c r="G2450" s="31">
        <v>180.89</v>
      </c>
      <c r="H2450" s="31">
        <f t="shared" si="156"/>
        <v>180.89</v>
      </c>
      <c r="I2450" s="170" t="s">
        <v>2842</v>
      </c>
      <c r="J2450" t="s">
        <v>2853</v>
      </c>
      <c r="K2450" s="188" t="s">
        <v>2853</v>
      </c>
    </row>
    <row r="2451" spans="1:11" x14ac:dyDescent="0.25">
      <c r="A2451" t="s">
        <v>6920</v>
      </c>
      <c r="B2451" s="27" t="s">
        <v>2494</v>
      </c>
      <c r="D2451" s="28" t="s">
        <v>4355</v>
      </c>
      <c r="E2451" s="29" t="s">
        <v>21</v>
      </c>
      <c r="F2451" s="30">
        <v>1</v>
      </c>
      <c r="G2451" s="31">
        <v>180.89</v>
      </c>
      <c r="H2451" s="31">
        <f t="shared" si="156"/>
        <v>180.89</v>
      </c>
      <c r="I2451" s="170" t="s">
        <v>2842</v>
      </c>
      <c r="J2451" t="s">
        <v>2853</v>
      </c>
      <c r="K2451" s="188" t="s">
        <v>2853</v>
      </c>
    </row>
    <row r="2452" spans="1:11" x14ac:dyDescent="0.25">
      <c r="A2452" t="s">
        <v>6921</v>
      </c>
      <c r="B2452" s="27" t="s">
        <v>2495</v>
      </c>
      <c r="D2452" s="28" t="s">
        <v>4356</v>
      </c>
      <c r="E2452" s="29" t="s">
        <v>21</v>
      </c>
      <c r="F2452" s="30">
        <v>1</v>
      </c>
      <c r="G2452" s="31">
        <v>180.89</v>
      </c>
      <c r="H2452" s="31">
        <f t="shared" si="156"/>
        <v>180.89</v>
      </c>
      <c r="I2452" s="170" t="s">
        <v>2842</v>
      </c>
      <c r="J2452" t="s">
        <v>2853</v>
      </c>
      <c r="K2452" s="188" t="s">
        <v>2853</v>
      </c>
    </row>
    <row r="2453" spans="1:11" x14ac:dyDescent="0.25">
      <c r="A2453" t="s">
        <v>6922</v>
      </c>
      <c r="B2453" s="27" t="s">
        <v>2496</v>
      </c>
      <c r="D2453" s="28" t="s">
        <v>4357</v>
      </c>
      <c r="E2453" s="29" t="s">
        <v>563</v>
      </c>
      <c r="F2453" s="30">
        <v>1</v>
      </c>
      <c r="G2453" s="31">
        <v>180.89</v>
      </c>
      <c r="H2453" s="31">
        <f t="shared" si="156"/>
        <v>180.89</v>
      </c>
      <c r="I2453" s="170" t="s">
        <v>2842</v>
      </c>
      <c r="J2453" t="s">
        <v>2853</v>
      </c>
      <c r="K2453" s="188" t="s">
        <v>2853</v>
      </c>
    </row>
    <row r="2454" spans="1:11" x14ac:dyDescent="0.25">
      <c r="A2454" t="s">
        <v>6923</v>
      </c>
      <c r="B2454" s="27" t="s">
        <v>2497</v>
      </c>
      <c r="D2454" s="28" t="s">
        <v>4358</v>
      </c>
      <c r="E2454" s="29" t="s">
        <v>563</v>
      </c>
      <c r="F2454" s="30">
        <v>1</v>
      </c>
      <c r="G2454" s="31">
        <v>180.89</v>
      </c>
      <c r="H2454" s="31">
        <f t="shared" si="156"/>
        <v>180.89</v>
      </c>
      <c r="I2454" s="170" t="s">
        <v>2842</v>
      </c>
      <c r="J2454" t="s">
        <v>2853</v>
      </c>
      <c r="K2454" s="188" t="s">
        <v>2853</v>
      </c>
    </row>
    <row r="2455" spans="1:11" x14ac:dyDescent="0.25">
      <c r="A2455" t="s">
        <v>6924</v>
      </c>
      <c r="B2455" s="27" t="s">
        <v>2498</v>
      </c>
      <c r="D2455" s="28" t="s">
        <v>4359</v>
      </c>
      <c r="E2455" s="29" t="s">
        <v>563</v>
      </c>
      <c r="F2455" s="30">
        <v>1</v>
      </c>
      <c r="G2455" s="31">
        <v>180.89</v>
      </c>
      <c r="H2455" s="31">
        <f t="shared" si="156"/>
        <v>180.89</v>
      </c>
      <c r="I2455" s="170" t="s">
        <v>2842</v>
      </c>
      <c r="J2455" t="s">
        <v>2853</v>
      </c>
      <c r="K2455" s="188" t="s">
        <v>2853</v>
      </c>
    </row>
    <row r="2456" spans="1:11" x14ac:dyDescent="0.25">
      <c r="A2456" t="s">
        <v>6925</v>
      </c>
      <c r="B2456" s="27" t="s">
        <v>2499</v>
      </c>
      <c r="D2456" s="28" t="s">
        <v>4360</v>
      </c>
      <c r="E2456" s="29" t="s">
        <v>671</v>
      </c>
      <c r="F2456" s="30">
        <v>1</v>
      </c>
      <c r="G2456" s="31">
        <v>180.89</v>
      </c>
      <c r="H2456" s="31">
        <f t="shared" ref="H2456:H2519" si="157">+F2456*G2456</f>
        <v>180.89</v>
      </c>
      <c r="I2456" s="170" t="s">
        <v>2842</v>
      </c>
      <c r="J2456" t="s">
        <v>2853</v>
      </c>
      <c r="K2456" s="188" t="s">
        <v>2853</v>
      </c>
    </row>
    <row r="2457" spans="1:11" x14ac:dyDescent="0.25">
      <c r="A2457" t="s">
        <v>6926</v>
      </c>
      <c r="B2457" s="27" t="s">
        <v>2500</v>
      </c>
      <c r="D2457" s="28" t="s">
        <v>4361</v>
      </c>
      <c r="E2457" s="29" t="s">
        <v>671</v>
      </c>
      <c r="F2457" s="30">
        <v>1</v>
      </c>
      <c r="G2457" s="31">
        <v>180.89</v>
      </c>
      <c r="H2457" s="31">
        <f t="shared" si="157"/>
        <v>180.89</v>
      </c>
      <c r="I2457" s="170" t="s">
        <v>2842</v>
      </c>
      <c r="J2457" t="s">
        <v>2853</v>
      </c>
      <c r="K2457" s="188" t="s">
        <v>2853</v>
      </c>
    </row>
    <row r="2458" spans="1:11" x14ac:dyDescent="0.25">
      <c r="A2458" t="s">
        <v>6927</v>
      </c>
      <c r="B2458" s="27" t="s">
        <v>2501</v>
      </c>
      <c r="D2458" s="28" t="s">
        <v>4362</v>
      </c>
      <c r="E2458" s="29" t="s">
        <v>671</v>
      </c>
      <c r="F2458" s="30">
        <v>1</v>
      </c>
      <c r="G2458" s="31">
        <v>180.89</v>
      </c>
      <c r="H2458" s="31">
        <f t="shared" si="157"/>
        <v>180.89</v>
      </c>
      <c r="I2458" s="170" t="s">
        <v>2842</v>
      </c>
      <c r="J2458" t="s">
        <v>2853</v>
      </c>
      <c r="K2458" s="188" t="s">
        <v>2853</v>
      </c>
    </row>
    <row r="2459" spans="1:11" x14ac:dyDescent="0.25">
      <c r="A2459" t="s">
        <v>6928</v>
      </c>
      <c r="B2459" s="27" t="s">
        <v>2502</v>
      </c>
      <c r="D2459" s="28" t="s">
        <v>4363</v>
      </c>
      <c r="E2459" s="29" t="s">
        <v>21</v>
      </c>
      <c r="F2459" s="30">
        <v>1</v>
      </c>
      <c r="G2459" s="31">
        <v>233.78</v>
      </c>
      <c r="H2459" s="31">
        <f t="shared" si="157"/>
        <v>233.78</v>
      </c>
      <c r="I2459" s="170" t="s">
        <v>2842</v>
      </c>
      <c r="J2459" t="s">
        <v>2853</v>
      </c>
      <c r="K2459" s="188" t="s">
        <v>2853</v>
      </c>
    </row>
    <row r="2460" spans="1:11" x14ac:dyDescent="0.25">
      <c r="A2460" t="s">
        <v>6929</v>
      </c>
      <c r="B2460" s="27" t="s">
        <v>2503</v>
      </c>
      <c r="D2460" s="28" t="s">
        <v>4364</v>
      </c>
      <c r="E2460" s="29" t="s">
        <v>21</v>
      </c>
      <c r="F2460" s="30">
        <v>1</v>
      </c>
      <c r="G2460" s="31">
        <v>233.78</v>
      </c>
      <c r="H2460" s="31">
        <f t="shared" si="157"/>
        <v>233.78</v>
      </c>
      <c r="I2460" s="170" t="s">
        <v>2842</v>
      </c>
      <c r="J2460" t="s">
        <v>2853</v>
      </c>
      <c r="K2460" s="188" t="s">
        <v>2853</v>
      </c>
    </row>
    <row r="2461" spans="1:11" x14ac:dyDescent="0.25">
      <c r="A2461" t="s">
        <v>6930</v>
      </c>
      <c r="B2461" s="27" t="s">
        <v>2504</v>
      </c>
      <c r="D2461" s="28" t="s">
        <v>4365</v>
      </c>
      <c r="E2461" s="29" t="s">
        <v>21</v>
      </c>
      <c r="F2461" s="30">
        <v>1</v>
      </c>
      <c r="G2461" s="31">
        <v>233.78</v>
      </c>
      <c r="H2461" s="31">
        <f t="shared" si="157"/>
        <v>233.78</v>
      </c>
      <c r="I2461" s="170" t="s">
        <v>2842</v>
      </c>
      <c r="J2461" t="s">
        <v>2853</v>
      </c>
      <c r="K2461" s="188" t="s">
        <v>2853</v>
      </c>
    </row>
    <row r="2462" spans="1:11" x14ac:dyDescent="0.25">
      <c r="A2462" t="s">
        <v>6931</v>
      </c>
      <c r="B2462" s="27" t="s">
        <v>2505</v>
      </c>
      <c r="D2462" s="28" t="s">
        <v>4366</v>
      </c>
      <c r="E2462" s="29" t="s">
        <v>563</v>
      </c>
      <c r="F2462" s="30">
        <v>1</v>
      </c>
      <c r="G2462" s="31">
        <v>233.78</v>
      </c>
      <c r="H2462" s="31">
        <f t="shared" si="157"/>
        <v>233.78</v>
      </c>
      <c r="I2462" s="170" t="s">
        <v>2842</v>
      </c>
      <c r="J2462" t="s">
        <v>2853</v>
      </c>
      <c r="K2462" s="188" t="s">
        <v>2853</v>
      </c>
    </row>
    <row r="2463" spans="1:11" x14ac:dyDescent="0.25">
      <c r="A2463" t="s">
        <v>6932</v>
      </c>
      <c r="B2463" s="27" t="s">
        <v>2506</v>
      </c>
      <c r="D2463" s="28" t="s">
        <v>4367</v>
      </c>
      <c r="E2463" s="29" t="s">
        <v>563</v>
      </c>
      <c r="F2463" s="30">
        <v>1</v>
      </c>
      <c r="G2463" s="31">
        <v>233.78</v>
      </c>
      <c r="H2463" s="31">
        <f t="shared" si="157"/>
        <v>233.78</v>
      </c>
      <c r="I2463" s="170" t="s">
        <v>2842</v>
      </c>
      <c r="J2463" t="s">
        <v>2853</v>
      </c>
      <c r="K2463" s="188" t="s">
        <v>2853</v>
      </c>
    </row>
    <row r="2464" spans="1:11" x14ac:dyDescent="0.25">
      <c r="A2464" t="s">
        <v>6933</v>
      </c>
      <c r="B2464" s="27" t="s">
        <v>2507</v>
      </c>
      <c r="D2464" s="28" t="s">
        <v>4368</v>
      </c>
      <c r="E2464" s="29" t="s">
        <v>563</v>
      </c>
      <c r="F2464" s="30">
        <v>1</v>
      </c>
      <c r="G2464" s="31">
        <v>233.78</v>
      </c>
      <c r="H2464" s="31">
        <f t="shared" si="157"/>
        <v>233.78</v>
      </c>
      <c r="I2464" s="170" t="s">
        <v>2842</v>
      </c>
      <c r="J2464" t="s">
        <v>2853</v>
      </c>
      <c r="K2464" s="188" t="s">
        <v>2853</v>
      </c>
    </row>
    <row r="2465" spans="1:11" x14ac:dyDescent="0.25">
      <c r="A2465" t="s">
        <v>6934</v>
      </c>
      <c r="B2465" s="27" t="s">
        <v>2508</v>
      </c>
      <c r="D2465" s="28" t="s">
        <v>4369</v>
      </c>
      <c r="E2465" s="29" t="s">
        <v>671</v>
      </c>
      <c r="F2465" s="30">
        <v>1</v>
      </c>
      <c r="G2465" s="31">
        <v>233.78</v>
      </c>
      <c r="H2465" s="31">
        <f t="shared" si="157"/>
        <v>233.78</v>
      </c>
      <c r="I2465" s="170" t="s">
        <v>2842</v>
      </c>
      <c r="J2465" t="s">
        <v>2853</v>
      </c>
      <c r="K2465" s="188" t="s">
        <v>2853</v>
      </c>
    </row>
    <row r="2466" spans="1:11" x14ac:dyDescent="0.25">
      <c r="A2466" t="s">
        <v>6935</v>
      </c>
      <c r="B2466" s="27" t="s">
        <v>2509</v>
      </c>
      <c r="D2466" s="28" t="s">
        <v>4370</v>
      </c>
      <c r="E2466" s="29" t="s">
        <v>671</v>
      </c>
      <c r="F2466" s="30">
        <v>1</v>
      </c>
      <c r="G2466" s="31">
        <v>233.78</v>
      </c>
      <c r="H2466" s="31">
        <f t="shared" si="157"/>
        <v>233.78</v>
      </c>
      <c r="I2466" s="170" t="s">
        <v>2842</v>
      </c>
      <c r="J2466" t="s">
        <v>2853</v>
      </c>
      <c r="K2466" s="188" t="s">
        <v>2853</v>
      </c>
    </row>
    <row r="2467" spans="1:11" x14ac:dyDescent="0.25">
      <c r="A2467" t="s">
        <v>6936</v>
      </c>
      <c r="B2467" s="27" t="s">
        <v>2510</v>
      </c>
      <c r="D2467" s="28" t="s">
        <v>4371</v>
      </c>
      <c r="E2467" s="29" t="s">
        <v>671</v>
      </c>
      <c r="F2467" s="30">
        <v>1</v>
      </c>
      <c r="G2467" s="31">
        <v>233.78</v>
      </c>
      <c r="H2467" s="31">
        <f t="shared" si="157"/>
        <v>233.78</v>
      </c>
      <c r="I2467" s="170" t="s">
        <v>2842</v>
      </c>
      <c r="J2467" t="s">
        <v>2853</v>
      </c>
      <c r="K2467" s="188" t="s">
        <v>2853</v>
      </c>
    </row>
    <row r="2468" spans="1:11" x14ac:dyDescent="0.25">
      <c r="A2468" t="s">
        <v>6937</v>
      </c>
      <c r="B2468" s="27" t="s">
        <v>2511</v>
      </c>
      <c r="D2468" s="28" t="s">
        <v>4372</v>
      </c>
      <c r="E2468" s="29" t="s">
        <v>21</v>
      </c>
      <c r="F2468" s="30">
        <v>1</v>
      </c>
      <c r="G2468" s="31">
        <v>286.66000000000003</v>
      </c>
      <c r="H2468" s="31">
        <f t="shared" si="157"/>
        <v>286.66000000000003</v>
      </c>
      <c r="I2468" s="170" t="s">
        <v>2842</v>
      </c>
      <c r="J2468" t="s">
        <v>2853</v>
      </c>
      <c r="K2468" s="188" t="s">
        <v>2853</v>
      </c>
    </row>
    <row r="2469" spans="1:11" x14ac:dyDescent="0.25">
      <c r="A2469" t="s">
        <v>6938</v>
      </c>
      <c r="B2469" s="27" t="s">
        <v>2512</v>
      </c>
      <c r="D2469" s="28" t="s">
        <v>4373</v>
      </c>
      <c r="E2469" s="29" t="s">
        <v>21</v>
      </c>
      <c r="F2469" s="30">
        <v>1</v>
      </c>
      <c r="G2469" s="31">
        <v>286.66000000000003</v>
      </c>
      <c r="H2469" s="31">
        <f t="shared" si="157"/>
        <v>286.66000000000003</v>
      </c>
      <c r="I2469" s="170" t="s">
        <v>2842</v>
      </c>
      <c r="J2469" t="s">
        <v>2853</v>
      </c>
      <c r="K2469" s="188" t="s">
        <v>2853</v>
      </c>
    </row>
    <row r="2470" spans="1:11" x14ac:dyDescent="0.25">
      <c r="A2470" t="s">
        <v>6939</v>
      </c>
      <c r="B2470" s="27" t="s">
        <v>2513</v>
      </c>
      <c r="D2470" s="28" t="s">
        <v>4374</v>
      </c>
      <c r="E2470" s="29" t="s">
        <v>21</v>
      </c>
      <c r="F2470" s="30">
        <v>1</v>
      </c>
      <c r="G2470" s="31">
        <v>286.66000000000003</v>
      </c>
      <c r="H2470" s="31">
        <f t="shared" si="157"/>
        <v>286.66000000000003</v>
      </c>
      <c r="I2470" s="170" t="s">
        <v>2842</v>
      </c>
      <c r="J2470" t="s">
        <v>2853</v>
      </c>
      <c r="K2470" s="188" t="s">
        <v>2853</v>
      </c>
    </row>
    <row r="2471" spans="1:11" x14ac:dyDescent="0.25">
      <c r="A2471" t="s">
        <v>6940</v>
      </c>
      <c r="B2471" s="27" t="s">
        <v>2514</v>
      </c>
      <c r="D2471" s="28" t="s">
        <v>4375</v>
      </c>
      <c r="E2471" s="29" t="s">
        <v>563</v>
      </c>
      <c r="F2471" s="30">
        <v>1</v>
      </c>
      <c r="G2471" s="31">
        <v>286.66000000000003</v>
      </c>
      <c r="H2471" s="31">
        <f t="shared" si="157"/>
        <v>286.66000000000003</v>
      </c>
      <c r="I2471" s="170" t="s">
        <v>2842</v>
      </c>
      <c r="J2471" t="s">
        <v>2853</v>
      </c>
      <c r="K2471" s="188" t="s">
        <v>2853</v>
      </c>
    </row>
    <row r="2472" spans="1:11" x14ac:dyDescent="0.25">
      <c r="A2472" t="s">
        <v>6941</v>
      </c>
      <c r="B2472" s="27" t="s">
        <v>2515</v>
      </c>
      <c r="D2472" s="28" t="s">
        <v>4376</v>
      </c>
      <c r="E2472" s="29" t="s">
        <v>563</v>
      </c>
      <c r="F2472" s="30">
        <v>1</v>
      </c>
      <c r="G2472" s="31">
        <v>286.66000000000003</v>
      </c>
      <c r="H2472" s="31">
        <f t="shared" si="157"/>
        <v>286.66000000000003</v>
      </c>
      <c r="I2472" s="170" t="s">
        <v>2842</v>
      </c>
      <c r="J2472" t="s">
        <v>2853</v>
      </c>
      <c r="K2472" s="188" t="s">
        <v>2853</v>
      </c>
    </row>
    <row r="2473" spans="1:11" x14ac:dyDescent="0.25">
      <c r="A2473" t="s">
        <v>6942</v>
      </c>
      <c r="B2473" s="27" t="s">
        <v>2516</v>
      </c>
      <c r="D2473" s="28" t="s">
        <v>4377</v>
      </c>
      <c r="E2473" s="29" t="s">
        <v>563</v>
      </c>
      <c r="F2473" s="30">
        <v>1</v>
      </c>
      <c r="G2473" s="31">
        <v>286.66000000000003</v>
      </c>
      <c r="H2473" s="31">
        <f t="shared" si="157"/>
        <v>286.66000000000003</v>
      </c>
      <c r="I2473" s="170" t="s">
        <v>2842</v>
      </c>
      <c r="J2473" t="s">
        <v>2853</v>
      </c>
      <c r="K2473" s="188" t="s">
        <v>2853</v>
      </c>
    </row>
    <row r="2474" spans="1:11" x14ac:dyDescent="0.25">
      <c r="A2474" t="s">
        <v>6943</v>
      </c>
      <c r="B2474" s="27" t="s">
        <v>2517</v>
      </c>
      <c r="D2474" s="28" t="s">
        <v>4378</v>
      </c>
      <c r="E2474" s="29" t="s">
        <v>671</v>
      </c>
      <c r="F2474" s="30">
        <v>1</v>
      </c>
      <c r="G2474" s="31">
        <v>286.66000000000003</v>
      </c>
      <c r="H2474" s="31">
        <f t="shared" si="157"/>
        <v>286.66000000000003</v>
      </c>
      <c r="I2474" s="170" t="s">
        <v>2842</v>
      </c>
      <c r="J2474" t="s">
        <v>2853</v>
      </c>
      <c r="K2474" s="188" t="s">
        <v>2853</v>
      </c>
    </row>
    <row r="2475" spans="1:11" x14ac:dyDescent="0.25">
      <c r="A2475" t="s">
        <v>6944</v>
      </c>
      <c r="B2475" s="27" t="s">
        <v>2518</v>
      </c>
      <c r="D2475" s="28" t="s">
        <v>4379</v>
      </c>
      <c r="E2475" s="29" t="s">
        <v>671</v>
      </c>
      <c r="F2475" s="30">
        <v>1</v>
      </c>
      <c r="G2475" s="31">
        <v>286.66000000000003</v>
      </c>
      <c r="H2475" s="31">
        <f t="shared" si="157"/>
        <v>286.66000000000003</v>
      </c>
      <c r="I2475" s="170" t="s">
        <v>2842</v>
      </c>
      <c r="J2475" t="s">
        <v>2853</v>
      </c>
      <c r="K2475" s="188" t="s">
        <v>2853</v>
      </c>
    </row>
    <row r="2476" spans="1:11" x14ac:dyDescent="0.25">
      <c r="A2476" t="s">
        <v>6945</v>
      </c>
      <c r="B2476" s="27" t="s">
        <v>2519</v>
      </c>
      <c r="D2476" s="28" t="s">
        <v>4380</v>
      </c>
      <c r="E2476" s="29" t="s">
        <v>671</v>
      </c>
      <c r="F2476" s="30">
        <v>1</v>
      </c>
      <c r="G2476" s="31">
        <v>286.66000000000003</v>
      </c>
      <c r="H2476" s="31">
        <f t="shared" si="157"/>
        <v>286.66000000000003</v>
      </c>
      <c r="I2476" s="170" t="s">
        <v>2842</v>
      </c>
      <c r="J2476" t="s">
        <v>2853</v>
      </c>
      <c r="K2476" s="188" t="s">
        <v>2853</v>
      </c>
    </row>
    <row r="2477" spans="1:11" x14ac:dyDescent="0.25">
      <c r="A2477" t="s">
        <v>6946</v>
      </c>
      <c r="B2477" s="27" t="s">
        <v>2520</v>
      </c>
      <c r="D2477" s="28" t="s">
        <v>4381</v>
      </c>
      <c r="E2477" s="29" t="s">
        <v>21</v>
      </c>
      <c r="F2477" s="30">
        <v>1</v>
      </c>
      <c r="G2477" s="31">
        <v>332.93</v>
      </c>
      <c r="H2477" s="31">
        <f t="shared" si="157"/>
        <v>332.93</v>
      </c>
      <c r="I2477" s="170" t="s">
        <v>2842</v>
      </c>
      <c r="J2477" t="s">
        <v>2853</v>
      </c>
      <c r="K2477" s="188" t="s">
        <v>2853</v>
      </c>
    </row>
    <row r="2478" spans="1:11" x14ac:dyDescent="0.25">
      <c r="A2478" t="s">
        <v>6947</v>
      </c>
      <c r="B2478" s="27" t="s">
        <v>2521</v>
      </c>
      <c r="D2478" s="28" t="s">
        <v>4382</v>
      </c>
      <c r="E2478" s="29" t="s">
        <v>21</v>
      </c>
      <c r="F2478" s="30">
        <v>1</v>
      </c>
      <c r="G2478" s="31">
        <v>332.93</v>
      </c>
      <c r="H2478" s="31">
        <f t="shared" si="157"/>
        <v>332.93</v>
      </c>
      <c r="I2478" s="170" t="s">
        <v>2842</v>
      </c>
      <c r="J2478" t="s">
        <v>2853</v>
      </c>
      <c r="K2478" s="188" t="s">
        <v>2853</v>
      </c>
    </row>
    <row r="2479" spans="1:11" x14ac:dyDescent="0.25">
      <c r="A2479" t="s">
        <v>6948</v>
      </c>
      <c r="B2479" s="27" t="s">
        <v>2522</v>
      </c>
      <c r="D2479" s="28" t="s">
        <v>4383</v>
      </c>
      <c r="E2479" s="29" t="s">
        <v>21</v>
      </c>
      <c r="F2479" s="30">
        <v>1</v>
      </c>
      <c r="G2479" s="31">
        <v>332.93</v>
      </c>
      <c r="H2479" s="31">
        <f t="shared" si="157"/>
        <v>332.93</v>
      </c>
      <c r="I2479" s="170" t="s">
        <v>2842</v>
      </c>
      <c r="J2479" t="s">
        <v>2853</v>
      </c>
      <c r="K2479" s="188" t="s">
        <v>2853</v>
      </c>
    </row>
    <row r="2480" spans="1:11" x14ac:dyDescent="0.25">
      <c r="A2480" t="s">
        <v>6949</v>
      </c>
      <c r="B2480" s="27" t="s">
        <v>2523</v>
      </c>
      <c r="D2480" s="28" t="s">
        <v>4384</v>
      </c>
      <c r="E2480" s="29" t="s">
        <v>563</v>
      </c>
      <c r="F2480" s="30">
        <v>1</v>
      </c>
      <c r="G2480" s="31">
        <v>332.93</v>
      </c>
      <c r="H2480" s="31">
        <f t="shared" si="157"/>
        <v>332.93</v>
      </c>
      <c r="I2480" s="170" t="s">
        <v>2842</v>
      </c>
      <c r="J2480" t="s">
        <v>2853</v>
      </c>
      <c r="K2480" s="188" t="s">
        <v>2853</v>
      </c>
    </row>
    <row r="2481" spans="1:11" x14ac:dyDescent="0.25">
      <c r="A2481" t="s">
        <v>6950</v>
      </c>
      <c r="B2481" s="27" t="s">
        <v>2524</v>
      </c>
      <c r="D2481" s="28" t="s">
        <v>4385</v>
      </c>
      <c r="E2481" s="29" t="s">
        <v>563</v>
      </c>
      <c r="F2481" s="30">
        <v>1</v>
      </c>
      <c r="G2481" s="31">
        <v>332.93</v>
      </c>
      <c r="H2481" s="31">
        <f t="shared" si="157"/>
        <v>332.93</v>
      </c>
      <c r="I2481" s="170" t="s">
        <v>2842</v>
      </c>
      <c r="J2481" t="s">
        <v>2853</v>
      </c>
      <c r="K2481" s="188" t="s">
        <v>2853</v>
      </c>
    </row>
    <row r="2482" spans="1:11" x14ac:dyDescent="0.25">
      <c r="A2482" t="s">
        <v>6951</v>
      </c>
      <c r="B2482" s="27" t="s">
        <v>2525</v>
      </c>
      <c r="D2482" s="28" t="s">
        <v>4386</v>
      </c>
      <c r="E2482" s="29" t="s">
        <v>563</v>
      </c>
      <c r="F2482" s="30">
        <v>1</v>
      </c>
      <c r="G2482" s="31">
        <v>332.93</v>
      </c>
      <c r="H2482" s="31">
        <f t="shared" si="157"/>
        <v>332.93</v>
      </c>
      <c r="I2482" s="170" t="s">
        <v>2842</v>
      </c>
      <c r="J2482" t="s">
        <v>2853</v>
      </c>
      <c r="K2482" s="188" t="s">
        <v>2853</v>
      </c>
    </row>
    <row r="2483" spans="1:11" x14ac:dyDescent="0.25">
      <c r="A2483" t="s">
        <v>6952</v>
      </c>
      <c r="B2483" s="27" t="s">
        <v>2526</v>
      </c>
      <c r="D2483" s="28" t="s">
        <v>4387</v>
      </c>
      <c r="E2483" s="29" t="s">
        <v>671</v>
      </c>
      <c r="F2483" s="30">
        <v>1</v>
      </c>
      <c r="G2483" s="31">
        <v>332.93</v>
      </c>
      <c r="H2483" s="31">
        <f t="shared" si="157"/>
        <v>332.93</v>
      </c>
      <c r="I2483" s="170" t="s">
        <v>2842</v>
      </c>
      <c r="J2483" t="s">
        <v>2853</v>
      </c>
      <c r="K2483" s="188" t="s">
        <v>2853</v>
      </c>
    </row>
    <row r="2484" spans="1:11" x14ac:dyDescent="0.25">
      <c r="A2484" t="s">
        <v>6953</v>
      </c>
      <c r="B2484" s="27" t="s">
        <v>2527</v>
      </c>
      <c r="D2484" s="28" t="s">
        <v>4388</v>
      </c>
      <c r="E2484" s="29" t="s">
        <v>671</v>
      </c>
      <c r="F2484" s="30">
        <v>1</v>
      </c>
      <c r="G2484" s="31">
        <v>332.93</v>
      </c>
      <c r="H2484" s="31">
        <f t="shared" si="157"/>
        <v>332.93</v>
      </c>
      <c r="I2484" s="170" t="s">
        <v>2842</v>
      </c>
      <c r="J2484" t="s">
        <v>2853</v>
      </c>
      <c r="K2484" s="188" t="s">
        <v>2853</v>
      </c>
    </row>
    <row r="2485" spans="1:11" x14ac:dyDescent="0.25">
      <c r="A2485" t="s">
        <v>6954</v>
      </c>
      <c r="B2485" s="27" t="s">
        <v>2528</v>
      </c>
      <c r="D2485" s="28" t="s">
        <v>4389</v>
      </c>
      <c r="E2485" s="29" t="s">
        <v>671</v>
      </c>
      <c r="F2485" s="30">
        <v>1</v>
      </c>
      <c r="G2485" s="31">
        <v>332.93</v>
      </c>
      <c r="H2485" s="31">
        <f t="shared" si="157"/>
        <v>332.93</v>
      </c>
      <c r="I2485" s="170" t="s">
        <v>2842</v>
      </c>
      <c r="J2485" t="s">
        <v>2853</v>
      </c>
      <c r="K2485" s="188" t="s">
        <v>2853</v>
      </c>
    </row>
    <row r="2486" spans="1:11" x14ac:dyDescent="0.25">
      <c r="A2486" t="s">
        <v>6955</v>
      </c>
      <c r="B2486" s="27" t="s">
        <v>2529</v>
      </c>
      <c r="D2486" s="28" t="s">
        <v>4390</v>
      </c>
      <c r="E2486" s="29" t="s">
        <v>21</v>
      </c>
      <c r="F2486" s="30">
        <v>1</v>
      </c>
      <c r="G2486" s="31">
        <v>213.95</v>
      </c>
      <c r="H2486" s="31">
        <f t="shared" si="157"/>
        <v>213.95</v>
      </c>
      <c r="I2486" s="170" t="s">
        <v>2842</v>
      </c>
      <c r="J2486" t="s">
        <v>2853</v>
      </c>
      <c r="K2486" s="188" t="s">
        <v>2853</v>
      </c>
    </row>
    <row r="2487" spans="1:11" x14ac:dyDescent="0.25">
      <c r="A2487" t="s">
        <v>6956</v>
      </c>
      <c r="B2487" s="27" t="s">
        <v>2530</v>
      </c>
      <c r="D2487" s="28" t="s">
        <v>4391</v>
      </c>
      <c r="E2487" s="29" t="s">
        <v>21</v>
      </c>
      <c r="F2487" s="30">
        <v>1</v>
      </c>
      <c r="G2487" s="31">
        <v>213.95</v>
      </c>
      <c r="H2487" s="31">
        <f t="shared" si="157"/>
        <v>213.95</v>
      </c>
      <c r="I2487" s="170" t="s">
        <v>2842</v>
      </c>
      <c r="J2487" t="s">
        <v>2853</v>
      </c>
      <c r="K2487" s="188" t="s">
        <v>2853</v>
      </c>
    </row>
    <row r="2488" spans="1:11" x14ac:dyDescent="0.25">
      <c r="A2488" t="s">
        <v>6957</v>
      </c>
      <c r="B2488" s="27" t="s">
        <v>2531</v>
      </c>
      <c r="D2488" s="28" t="s">
        <v>4392</v>
      </c>
      <c r="E2488" s="29" t="s">
        <v>21</v>
      </c>
      <c r="F2488" s="30">
        <v>1</v>
      </c>
      <c r="G2488" s="31">
        <v>213.95</v>
      </c>
      <c r="H2488" s="31">
        <f t="shared" si="157"/>
        <v>213.95</v>
      </c>
      <c r="I2488" s="170" t="s">
        <v>2842</v>
      </c>
      <c r="J2488" t="s">
        <v>2853</v>
      </c>
      <c r="K2488" s="188" t="s">
        <v>2853</v>
      </c>
    </row>
    <row r="2489" spans="1:11" x14ac:dyDescent="0.25">
      <c r="A2489" t="s">
        <v>6958</v>
      </c>
      <c r="B2489" s="27" t="s">
        <v>2532</v>
      </c>
      <c r="D2489" s="28" t="s">
        <v>4393</v>
      </c>
      <c r="E2489" s="29" t="s">
        <v>563</v>
      </c>
      <c r="F2489" s="30">
        <v>1</v>
      </c>
      <c r="G2489" s="31">
        <v>213.95</v>
      </c>
      <c r="H2489" s="31">
        <f t="shared" si="157"/>
        <v>213.95</v>
      </c>
      <c r="I2489" s="170" t="s">
        <v>2842</v>
      </c>
      <c r="J2489" t="s">
        <v>2853</v>
      </c>
      <c r="K2489" s="188" t="s">
        <v>2853</v>
      </c>
    </row>
    <row r="2490" spans="1:11" x14ac:dyDescent="0.25">
      <c r="A2490" t="s">
        <v>6959</v>
      </c>
      <c r="B2490" s="27" t="s">
        <v>2533</v>
      </c>
      <c r="D2490" s="28" t="s">
        <v>4394</v>
      </c>
      <c r="E2490" s="29" t="s">
        <v>563</v>
      </c>
      <c r="F2490" s="30">
        <v>1</v>
      </c>
      <c r="G2490" s="31">
        <v>213.95</v>
      </c>
      <c r="H2490" s="31">
        <f t="shared" si="157"/>
        <v>213.95</v>
      </c>
      <c r="I2490" s="170" t="s">
        <v>2842</v>
      </c>
      <c r="J2490" t="s">
        <v>2853</v>
      </c>
      <c r="K2490" s="188" t="s">
        <v>2853</v>
      </c>
    </row>
    <row r="2491" spans="1:11" x14ac:dyDescent="0.25">
      <c r="A2491" t="s">
        <v>6960</v>
      </c>
      <c r="B2491" s="27" t="s">
        <v>2534</v>
      </c>
      <c r="D2491" s="28" t="s">
        <v>4395</v>
      </c>
      <c r="E2491" s="29" t="s">
        <v>563</v>
      </c>
      <c r="F2491" s="30">
        <v>1</v>
      </c>
      <c r="G2491" s="31">
        <v>213.95</v>
      </c>
      <c r="H2491" s="31">
        <f t="shared" si="157"/>
        <v>213.95</v>
      </c>
      <c r="I2491" s="170" t="s">
        <v>2842</v>
      </c>
      <c r="J2491" t="s">
        <v>2853</v>
      </c>
      <c r="K2491" s="188" t="s">
        <v>2853</v>
      </c>
    </row>
    <row r="2492" spans="1:11" x14ac:dyDescent="0.25">
      <c r="A2492" t="s">
        <v>6961</v>
      </c>
      <c r="B2492" s="27" t="s">
        <v>2535</v>
      </c>
      <c r="D2492" s="28" t="s">
        <v>4396</v>
      </c>
      <c r="E2492" s="29" t="s">
        <v>671</v>
      </c>
      <c r="F2492" s="30">
        <v>1</v>
      </c>
      <c r="G2492" s="31">
        <v>213.95</v>
      </c>
      <c r="H2492" s="31">
        <f t="shared" si="157"/>
        <v>213.95</v>
      </c>
      <c r="I2492" s="170" t="s">
        <v>2842</v>
      </c>
      <c r="J2492" t="s">
        <v>2853</v>
      </c>
      <c r="K2492" s="188" t="s">
        <v>2853</v>
      </c>
    </row>
    <row r="2493" spans="1:11" x14ac:dyDescent="0.25">
      <c r="A2493" t="s">
        <v>6962</v>
      </c>
      <c r="B2493" s="27" t="s">
        <v>2536</v>
      </c>
      <c r="D2493" s="28" t="s">
        <v>4397</v>
      </c>
      <c r="E2493" s="29" t="s">
        <v>671</v>
      </c>
      <c r="F2493" s="30">
        <v>1</v>
      </c>
      <c r="G2493" s="31">
        <v>213.95</v>
      </c>
      <c r="H2493" s="31">
        <f t="shared" si="157"/>
        <v>213.95</v>
      </c>
      <c r="I2493" s="170" t="s">
        <v>2842</v>
      </c>
      <c r="J2493" t="s">
        <v>2853</v>
      </c>
      <c r="K2493" s="188" t="s">
        <v>2853</v>
      </c>
    </row>
    <row r="2494" spans="1:11" x14ac:dyDescent="0.25">
      <c r="A2494" t="s">
        <v>6963</v>
      </c>
      <c r="B2494" s="27" t="s">
        <v>2537</v>
      </c>
      <c r="D2494" s="28" t="s">
        <v>4398</v>
      </c>
      <c r="E2494" s="29" t="s">
        <v>671</v>
      </c>
      <c r="F2494" s="30">
        <v>1</v>
      </c>
      <c r="G2494" s="31">
        <v>213.95</v>
      </c>
      <c r="H2494" s="31">
        <f t="shared" si="157"/>
        <v>213.95</v>
      </c>
      <c r="I2494" s="170" t="s">
        <v>2842</v>
      </c>
      <c r="J2494" t="s">
        <v>2853</v>
      </c>
      <c r="K2494" s="188" t="s">
        <v>2853</v>
      </c>
    </row>
    <row r="2495" spans="1:11" x14ac:dyDescent="0.25">
      <c r="A2495" t="s">
        <v>6964</v>
      </c>
      <c r="B2495" s="27" t="s">
        <v>2538</v>
      </c>
      <c r="D2495" s="28" t="s">
        <v>4399</v>
      </c>
      <c r="E2495" s="29" t="s">
        <v>21</v>
      </c>
      <c r="F2495" s="30">
        <v>1</v>
      </c>
      <c r="G2495" s="31">
        <v>260.23</v>
      </c>
      <c r="H2495" s="31">
        <f t="shared" si="157"/>
        <v>260.23</v>
      </c>
      <c r="I2495" s="170" t="s">
        <v>2842</v>
      </c>
      <c r="J2495" t="s">
        <v>2853</v>
      </c>
      <c r="K2495" s="188" t="s">
        <v>2853</v>
      </c>
    </row>
    <row r="2496" spans="1:11" x14ac:dyDescent="0.25">
      <c r="A2496" t="s">
        <v>6965</v>
      </c>
      <c r="B2496" s="27" t="s">
        <v>2539</v>
      </c>
      <c r="D2496" s="28" t="s">
        <v>4400</v>
      </c>
      <c r="E2496" s="29" t="s">
        <v>21</v>
      </c>
      <c r="F2496" s="30">
        <v>1</v>
      </c>
      <c r="G2496" s="31">
        <v>260.23</v>
      </c>
      <c r="H2496" s="31">
        <f t="shared" si="157"/>
        <v>260.23</v>
      </c>
      <c r="I2496" s="170" t="s">
        <v>2842</v>
      </c>
      <c r="J2496" t="s">
        <v>2853</v>
      </c>
      <c r="K2496" s="188" t="s">
        <v>2853</v>
      </c>
    </row>
    <row r="2497" spans="1:11" x14ac:dyDescent="0.25">
      <c r="A2497" t="s">
        <v>6966</v>
      </c>
      <c r="B2497" s="27" t="s">
        <v>2540</v>
      </c>
      <c r="D2497" s="28" t="s">
        <v>4401</v>
      </c>
      <c r="E2497" s="29" t="s">
        <v>21</v>
      </c>
      <c r="F2497" s="30">
        <v>1</v>
      </c>
      <c r="G2497" s="31">
        <v>260.23</v>
      </c>
      <c r="H2497" s="31">
        <f t="shared" si="157"/>
        <v>260.23</v>
      </c>
      <c r="I2497" s="170" t="s">
        <v>2842</v>
      </c>
      <c r="J2497" t="s">
        <v>2853</v>
      </c>
      <c r="K2497" s="188" t="s">
        <v>2853</v>
      </c>
    </row>
    <row r="2498" spans="1:11" x14ac:dyDescent="0.25">
      <c r="A2498" t="s">
        <v>6967</v>
      </c>
      <c r="B2498" s="27" t="s">
        <v>2541</v>
      </c>
      <c r="D2498" s="28" t="s">
        <v>4402</v>
      </c>
      <c r="E2498" s="29" t="s">
        <v>563</v>
      </c>
      <c r="F2498" s="30">
        <v>1</v>
      </c>
      <c r="G2498" s="31">
        <v>260.23</v>
      </c>
      <c r="H2498" s="31">
        <f t="shared" si="157"/>
        <v>260.23</v>
      </c>
      <c r="I2498" s="170" t="s">
        <v>2842</v>
      </c>
      <c r="J2498" t="s">
        <v>2853</v>
      </c>
      <c r="K2498" s="188" t="s">
        <v>2853</v>
      </c>
    </row>
    <row r="2499" spans="1:11" x14ac:dyDescent="0.25">
      <c r="A2499" t="s">
        <v>6968</v>
      </c>
      <c r="B2499" s="27" t="s">
        <v>2542</v>
      </c>
      <c r="D2499" s="28" t="s">
        <v>4403</v>
      </c>
      <c r="E2499" s="29" t="s">
        <v>563</v>
      </c>
      <c r="F2499" s="30">
        <v>1</v>
      </c>
      <c r="G2499" s="31">
        <v>260.23</v>
      </c>
      <c r="H2499" s="31">
        <f t="shared" si="157"/>
        <v>260.23</v>
      </c>
      <c r="I2499" s="170" t="s">
        <v>2842</v>
      </c>
      <c r="J2499" t="s">
        <v>2853</v>
      </c>
      <c r="K2499" s="188" t="s">
        <v>2853</v>
      </c>
    </row>
    <row r="2500" spans="1:11" x14ac:dyDescent="0.25">
      <c r="A2500" t="s">
        <v>6969</v>
      </c>
      <c r="B2500" s="27" t="s">
        <v>2543</v>
      </c>
      <c r="D2500" s="28" t="s">
        <v>4404</v>
      </c>
      <c r="E2500" s="29" t="s">
        <v>563</v>
      </c>
      <c r="F2500" s="30">
        <v>1</v>
      </c>
      <c r="G2500" s="31">
        <v>260.23</v>
      </c>
      <c r="H2500" s="31">
        <f t="shared" si="157"/>
        <v>260.23</v>
      </c>
      <c r="I2500" s="170" t="s">
        <v>2842</v>
      </c>
      <c r="J2500" t="s">
        <v>2853</v>
      </c>
      <c r="K2500" s="188" t="s">
        <v>2853</v>
      </c>
    </row>
    <row r="2501" spans="1:11" x14ac:dyDescent="0.25">
      <c r="A2501" t="s">
        <v>6970</v>
      </c>
      <c r="B2501" s="27" t="s">
        <v>2544</v>
      </c>
      <c r="D2501" s="28" t="s">
        <v>4405</v>
      </c>
      <c r="E2501" s="29" t="s">
        <v>671</v>
      </c>
      <c r="F2501" s="30">
        <v>1</v>
      </c>
      <c r="G2501" s="31">
        <v>260.23</v>
      </c>
      <c r="H2501" s="31">
        <f t="shared" si="157"/>
        <v>260.23</v>
      </c>
      <c r="I2501" s="170" t="s">
        <v>2842</v>
      </c>
      <c r="J2501" t="s">
        <v>2853</v>
      </c>
      <c r="K2501" s="188" t="s">
        <v>2853</v>
      </c>
    </row>
    <row r="2502" spans="1:11" x14ac:dyDescent="0.25">
      <c r="A2502" t="s">
        <v>6971</v>
      </c>
      <c r="B2502" s="27" t="s">
        <v>2545</v>
      </c>
      <c r="D2502" s="28" t="s">
        <v>4406</v>
      </c>
      <c r="E2502" s="29" t="s">
        <v>671</v>
      </c>
      <c r="F2502" s="30">
        <v>1</v>
      </c>
      <c r="G2502" s="31">
        <v>260.23</v>
      </c>
      <c r="H2502" s="31">
        <f t="shared" si="157"/>
        <v>260.23</v>
      </c>
      <c r="I2502" s="170" t="s">
        <v>2842</v>
      </c>
      <c r="J2502" t="s">
        <v>2853</v>
      </c>
      <c r="K2502" s="188" t="s">
        <v>2853</v>
      </c>
    </row>
    <row r="2503" spans="1:11" x14ac:dyDescent="0.25">
      <c r="A2503" t="s">
        <v>6972</v>
      </c>
      <c r="B2503" s="27" t="s">
        <v>2546</v>
      </c>
      <c r="D2503" s="28" t="s">
        <v>4407</v>
      </c>
      <c r="E2503" s="29" t="s">
        <v>671</v>
      </c>
      <c r="F2503" s="30">
        <v>1</v>
      </c>
      <c r="G2503" s="31">
        <v>260.23</v>
      </c>
      <c r="H2503" s="31">
        <f t="shared" si="157"/>
        <v>260.23</v>
      </c>
      <c r="I2503" s="170" t="s">
        <v>2842</v>
      </c>
      <c r="J2503" t="s">
        <v>2853</v>
      </c>
      <c r="K2503" s="188" t="s">
        <v>2853</v>
      </c>
    </row>
    <row r="2504" spans="1:11" x14ac:dyDescent="0.25">
      <c r="A2504" t="s">
        <v>6973</v>
      </c>
      <c r="B2504" s="27" t="s">
        <v>2547</v>
      </c>
      <c r="D2504" s="28" t="s">
        <v>4408</v>
      </c>
      <c r="E2504" s="29" t="s">
        <v>21</v>
      </c>
      <c r="F2504" s="30">
        <v>1</v>
      </c>
      <c r="G2504" s="31">
        <v>293.29000000000002</v>
      </c>
      <c r="H2504" s="31">
        <f t="shared" si="157"/>
        <v>293.29000000000002</v>
      </c>
      <c r="I2504" s="170" t="s">
        <v>2842</v>
      </c>
      <c r="J2504" t="s">
        <v>2853</v>
      </c>
      <c r="K2504" s="188" t="s">
        <v>2853</v>
      </c>
    </row>
    <row r="2505" spans="1:11" x14ac:dyDescent="0.25">
      <c r="A2505" t="s">
        <v>6974</v>
      </c>
      <c r="B2505" s="27" t="s">
        <v>2548</v>
      </c>
      <c r="D2505" s="28" t="s">
        <v>4409</v>
      </c>
      <c r="E2505" s="29" t="s">
        <v>21</v>
      </c>
      <c r="F2505" s="30">
        <v>1</v>
      </c>
      <c r="G2505" s="31">
        <v>293.29000000000002</v>
      </c>
      <c r="H2505" s="31">
        <f t="shared" si="157"/>
        <v>293.29000000000002</v>
      </c>
      <c r="I2505" s="170" t="s">
        <v>2842</v>
      </c>
      <c r="J2505" t="s">
        <v>2853</v>
      </c>
      <c r="K2505" s="188" t="s">
        <v>2853</v>
      </c>
    </row>
    <row r="2506" spans="1:11" x14ac:dyDescent="0.25">
      <c r="A2506" t="s">
        <v>6975</v>
      </c>
      <c r="B2506" s="27" t="s">
        <v>2549</v>
      </c>
      <c r="D2506" s="28" t="s">
        <v>4410</v>
      </c>
      <c r="E2506" s="29" t="s">
        <v>21</v>
      </c>
      <c r="F2506" s="30">
        <v>1</v>
      </c>
      <c r="G2506" s="31">
        <v>293.29000000000002</v>
      </c>
      <c r="H2506" s="31">
        <f t="shared" si="157"/>
        <v>293.29000000000002</v>
      </c>
      <c r="I2506" s="170" t="s">
        <v>2842</v>
      </c>
      <c r="J2506" t="s">
        <v>2853</v>
      </c>
      <c r="K2506" s="188" t="s">
        <v>2853</v>
      </c>
    </row>
    <row r="2507" spans="1:11" x14ac:dyDescent="0.25">
      <c r="A2507" t="s">
        <v>6976</v>
      </c>
      <c r="B2507" s="27" t="s">
        <v>2550</v>
      </c>
      <c r="D2507" s="28" t="s">
        <v>4411</v>
      </c>
      <c r="E2507" s="29" t="s">
        <v>563</v>
      </c>
      <c r="F2507" s="30">
        <v>1</v>
      </c>
      <c r="G2507" s="31">
        <v>293.29000000000002</v>
      </c>
      <c r="H2507" s="31">
        <f t="shared" si="157"/>
        <v>293.29000000000002</v>
      </c>
      <c r="I2507" s="170" t="s">
        <v>2842</v>
      </c>
      <c r="J2507" t="s">
        <v>2853</v>
      </c>
      <c r="K2507" s="188" t="s">
        <v>2853</v>
      </c>
    </row>
    <row r="2508" spans="1:11" x14ac:dyDescent="0.25">
      <c r="A2508" t="s">
        <v>6977</v>
      </c>
      <c r="B2508" s="27" t="s">
        <v>2551</v>
      </c>
      <c r="D2508" s="28" t="s">
        <v>4412</v>
      </c>
      <c r="E2508" s="29" t="s">
        <v>563</v>
      </c>
      <c r="F2508" s="30">
        <v>1</v>
      </c>
      <c r="G2508" s="31">
        <v>293.29000000000002</v>
      </c>
      <c r="H2508" s="31">
        <f t="shared" si="157"/>
        <v>293.29000000000002</v>
      </c>
      <c r="I2508" s="170" t="s">
        <v>2842</v>
      </c>
      <c r="J2508" t="s">
        <v>2853</v>
      </c>
      <c r="K2508" s="188" t="s">
        <v>2853</v>
      </c>
    </row>
    <row r="2509" spans="1:11" x14ac:dyDescent="0.25">
      <c r="A2509" t="s">
        <v>6978</v>
      </c>
      <c r="B2509" s="27" t="s">
        <v>2552</v>
      </c>
      <c r="D2509" s="28" t="s">
        <v>4413</v>
      </c>
      <c r="E2509" s="29" t="s">
        <v>563</v>
      </c>
      <c r="F2509" s="30">
        <v>1</v>
      </c>
      <c r="G2509" s="31">
        <v>293.29000000000002</v>
      </c>
      <c r="H2509" s="31">
        <f t="shared" si="157"/>
        <v>293.29000000000002</v>
      </c>
      <c r="I2509" s="170" t="s">
        <v>2842</v>
      </c>
      <c r="J2509" t="s">
        <v>2853</v>
      </c>
      <c r="K2509" s="188" t="s">
        <v>2853</v>
      </c>
    </row>
    <row r="2510" spans="1:11" x14ac:dyDescent="0.25">
      <c r="A2510" t="s">
        <v>6979</v>
      </c>
      <c r="B2510" s="27" t="s">
        <v>2553</v>
      </c>
      <c r="D2510" s="28" t="s">
        <v>4414</v>
      </c>
      <c r="E2510" s="29" t="s">
        <v>671</v>
      </c>
      <c r="F2510" s="30">
        <v>1</v>
      </c>
      <c r="G2510" s="31">
        <v>293.29000000000002</v>
      </c>
      <c r="H2510" s="31">
        <f t="shared" si="157"/>
        <v>293.29000000000002</v>
      </c>
      <c r="I2510" s="170" t="s">
        <v>2842</v>
      </c>
      <c r="J2510" t="s">
        <v>2853</v>
      </c>
      <c r="K2510" s="188" t="s">
        <v>2853</v>
      </c>
    </row>
    <row r="2511" spans="1:11" x14ac:dyDescent="0.25">
      <c r="A2511" t="s">
        <v>6980</v>
      </c>
      <c r="B2511" s="27" t="s">
        <v>2554</v>
      </c>
      <c r="D2511" s="28" t="s">
        <v>4415</v>
      </c>
      <c r="E2511" s="29" t="s">
        <v>671</v>
      </c>
      <c r="F2511" s="30">
        <v>1</v>
      </c>
      <c r="G2511" s="31">
        <v>293.29000000000002</v>
      </c>
      <c r="H2511" s="31">
        <f t="shared" si="157"/>
        <v>293.29000000000002</v>
      </c>
      <c r="I2511" s="170" t="s">
        <v>2842</v>
      </c>
      <c r="J2511" t="s">
        <v>2853</v>
      </c>
      <c r="K2511" s="188" t="s">
        <v>2853</v>
      </c>
    </row>
    <row r="2512" spans="1:11" x14ac:dyDescent="0.25">
      <c r="A2512" t="s">
        <v>6981</v>
      </c>
      <c r="B2512" s="27" t="s">
        <v>2555</v>
      </c>
      <c r="D2512" s="28" t="s">
        <v>4416</v>
      </c>
      <c r="E2512" s="29" t="s">
        <v>671</v>
      </c>
      <c r="F2512" s="30">
        <v>1</v>
      </c>
      <c r="G2512" s="31">
        <v>293.29000000000002</v>
      </c>
      <c r="H2512" s="31">
        <f t="shared" si="157"/>
        <v>293.29000000000002</v>
      </c>
      <c r="I2512" s="170" t="s">
        <v>2842</v>
      </c>
      <c r="J2512" t="s">
        <v>2853</v>
      </c>
      <c r="K2512" s="188" t="s">
        <v>2853</v>
      </c>
    </row>
    <row r="2513" spans="1:11" x14ac:dyDescent="0.25">
      <c r="A2513" t="s">
        <v>6982</v>
      </c>
      <c r="B2513" s="27" t="s">
        <v>2556</v>
      </c>
      <c r="D2513" s="28" t="s">
        <v>4417</v>
      </c>
      <c r="E2513" s="29" t="s">
        <v>21</v>
      </c>
      <c r="F2513" s="30">
        <v>1</v>
      </c>
      <c r="G2513" s="31">
        <v>339.55</v>
      </c>
      <c r="H2513" s="31">
        <f t="shared" si="157"/>
        <v>339.55</v>
      </c>
      <c r="I2513" s="170" t="s">
        <v>2842</v>
      </c>
      <c r="J2513" t="s">
        <v>2853</v>
      </c>
      <c r="K2513" s="188" t="s">
        <v>2853</v>
      </c>
    </row>
    <row r="2514" spans="1:11" x14ac:dyDescent="0.25">
      <c r="A2514" t="s">
        <v>6983</v>
      </c>
      <c r="B2514" s="27" t="s">
        <v>2557</v>
      </c>
      <c r="D2514" s="28" t="s">
        <v>4418</v>
      </c>
      <c r="E2514" s="29" t="s">
        <v>21</v>
      </c>
      <c r="F2514" s="30">
        <v>1</v>
      </c>
      <c r="G2514" s="31">
        <v>339.55</v>
      </c>
      <c r="H2514" s="31">
        <f t="shared" si="157"/>
        <v>339.55</v>
      </c>
      <c r="I2514" s="170" t="s">
        <v>2842</v>
      </c>
      <c r="J2514" t="s">
        <v>2853</v>
      </c>
      <c r="K2514" s="188" t="s">
        <v>2853</v>
      </c>
    </row>
    <row r="2515" spans="1:11" x14ac:dyDescent="0.25">
      <c r="A2515" t="s">
        <v>6984</v>
      </c>
      <c r="B2515" s="27" t="s">
        <v>2558</v>
      </c>
      <c r="D2515" s="28" t="s">
        <v>4419</v>
      </c>
      <c r="E2515" s="29" t="s">
        <v>21</v>
      </c>
      <c r="F2515" s="30">
        <v>1</v>
      </c>
      <c r="G2515" s="31">
        <v>339.55</v>
      </c>
      <c r="H2515" s="31">
        <f t="shared" si="157"/>
        <v>339.55</v>
      </c>
      <c r="I2515" s="170" t="s">
        <v>2842</v>
      </c>
      <c r="J2515" t="s">
        <v>2853</v>
      </c>
      <c r="K2515" s="188" t="s">
        <v>2853</v>
      </c>
    </row>
    <row r="2516" spans="1:11" x14ac:dyDescent="0.25">
      <c r="A2516" t="s">
        <v>6985</v>
      </c>
      <c r="B2516" s="27" t="s">
        <v>2559</v>
      </c>
      <c r="D2516" s="28" t="s">
        <v>4420</v>
      </c>
      <c r="E2516" s="29" t="s">
        <v>563</v>
      </c>
      <c r="F2516" s="30">
        <v>1</v>
      </c>
      <c r="G2516" s="31">
        <v>339.55</v>
      </c>
      <c r="H2516" s="31">
        <f t="shared" si="157"/>
        <v>339.55</v>
      </c>
      <c r="I2516" s="170" t="s">
        <v>2842</v>
      </c>
      <c r="J2516" t="s">
        <v>2853</v>
      </c>
      <c r="K2516" s="188" t="s">
        <v>2853</v>
      </c>
    </row>
    <row r="2517" spans="1:11" x14ac:dyDescent="0.25">
      <c r="A2517" t="s">
        <v>6986</v>
      </c>
      <c r="B2517" s="27" t="s">
        <v>2560</v>
      </c>
      <c r="D2517" s="28" t="s">
        <v>4421</v>
      </c>
      <c r="E2517" s="29" t="s">
        <v>563</v>
      </c>
      <c r="F2517" s="30">
        <v>1</v>
      </c>
      <c r="G2517" s="31">
        <v>339.55</v>
      </c>
      <c r="H2517" s="31">
        <f t="shared" si="157"/>
        <v>339.55</v>
      </c>
      <c r="I2517" s="170" t="s">
        <v>2842</v>
      </c>
      <c r="J2517" t="s">
        <v>2853</v>
      </c>
      <c r="K2517" s="188" t="s">
        <v>2853</v>
      </c>
    </row>
    <row r="2518" spans="1:11" x14ac:dyDescent="0.25">
      <c r="A2518" t="s">
        <v>6987</v>
      </c>
      <c r="B2518" s="27" t="s">
        <v>2561</v>
      </c>
      <c r="D2518" s="28" t="s">
        <v>4422</v>
      </c>
      <c r="E2518" s="29" t="s">
        <v>563</v>
      </c>
      <c r="F2518" s="30">
        <v>1</v>
      </c>
      <c r="G2518" s="31">
        <v>339.55</v>
      </c>
      <c r="H2518" s="31">
        <f t="shared" si="157"/>
        <v>339.55</v>
      </c>
      <c r="I2518" s="170" t="s">
        <v>2842</v>
      </c>
      <c r="J2518" t="s">
        <v>2853</v>
      </c>
      <c r="K2518" s="188" t="s">
        <v>2853</v>
      </c>
    </row>
    <row r="2519" spans="1:11" x14ac:dyDescent="0.25">
      <c r="A2519" t="s">
        <v>6988</v>
      </c>
      <c r="B2519" s="27" t="s">
        <v>2562</v>
      </c>
      <c r="D2519" s="28" t="s">
        <v>4423</v>
      </c>
      <c r="E2519" s="29" t="s">
        <v>671</v>
      </c>
      <c r="F2519" s="30">
        <v>1</v>
      </c>
      <c r="G2519" s="31">
        <v>339.55</v>
      </c>
      <c r="H2519" s="31">
        <f t="shared" si="157"/>
        <v>339.55</v>
      </c>
      <c r="I2519" s="170" t="s">
        <v>2842</v>
      </c>
      <c r="J2519" t="s">
        <v>2853</v>
      </c>
      <c r="K2519" s="188" t="s">
        <v>2853</v>
      </c>
    </row>
    <row r="2520" spans="1:11" x14ac:dyDescent="0.25">
      <c r="A2520" t="s">
        <v>6989</v>
      </c>
      <c r="B2520" s="27" t="s">
        <v>2563</v>
      </c>
      <c r="D2520" s="28" t="s">
        <v>4424</v>
      </c>
      <c r="E2520" s="29" t="s">
        <v>671</v>
      </c>
      <c r="F2520" s="30">
        <v>1</v>
      </c>
      <c r="G2520" s="31">
        <v>339.55</v>
      </c>
      <c r="H2520" s="31">
        <f t="shared" ref="H2520:H2583" si="158">+F2520*G2520</f>
        <v>339.55</v>
      </c>
      <c r="I2520" s="170" t="s">
        <v>2842</v>
      </c>
      <c r="J2520" t="s">
        <v>2853</v>
      </c>
      <c r="K2520" s="188" t="s">
        <v>2853</v>
      </c>
    </row>
    <row r="2521" spans="1:11" x14ac:dyDescent="0.25">
      <c r="A2521" t="s">
        <v>6990</v>
      </c>
      <c r="B2521" s="27" t="s">
        <v>2564</v>
      </c>
      <c r="D2521" s="28" t="s">
        <v>4425</v>
      </c>
      <c r="E2521" s="29" t="s">
        <v>671</v>
      </c>
      <c r="F2521" s="30">
        <v>1</v>
      </c>
      <c r="G2521" s="31">
        <v>339.55</v>
      </c>
      <c r="H2521" s="31">
        <f t="shared" si="158"/>
        <v>339.55</v>
      </c>
      <c r="I2521" s="170" t="s">
        <v>2842</v>
      </c>
      <c r="J2521" t="s">
        <v>2853</v>
      </c>
      <c r="K2521" s="188" t="s">
        <v>2853</v>
      </c>
    </row>
    <row r="2522" spans="1:11" x14ac:dyDescent="0.25">
      <c r="A2522" t="s">
        <v>6991</v>
      </c>
      <c r="B2522" s="27" t="s">
        <v>2565</v>
      </c>
      <c r="D2522" s="28" t="s">
        <v>4426</v>
      </c>
      <c r="E2522" s="29" t="s">
        <v>21</v>
      </c>
      <c r="F2522" s="30">
        <v>1</v>
      </c>
      <c r="G2522" s="31">
        <v>200.73</v>
      </c>
      <c r="H2522" s="31">
        <f t="shared" si="158"/>
        <v>200.73</v>
      </c>
      <c r="I2522" s="170" t="s">
        <v>2842</v>
      </c>
      <c r="J2522" t="s">
        <v>2853</v>
      </c>
      <c r="K2522" s="188" t="s">
        <v>2853</v>
      </c>
    </row>
    <row r="2523" spans="1:11" x14ac:dyDescent="0.25">
      <c r="A2523" t="s">
        <v>6992</v>
      </c>
      <c r="B2523" s="27" t="s">
        <v>2566</v>
      </c>
      <c r="D2523" s="28" t="s">
        <v>4427</v>
      </c>
      <c r="E2523" s="29" t="s">
        <v>21</v>
      </c>
      <c r="F2523" s="30">
        <v>1</v>
      </c>
      <c r="G2523" s="31">
        <v>200.73</v>
      </c>
      <c r="H2523" s="31">
        <f t="shared" si="158"/>
        <v>200.73</v>
      </c>
      <c r="I2523" s="170" t="s">
        <v>2842</v>
      </c>
      <c r="J2523" t="s">
        <v>2853</v>
      </c>
      <c r="K2523" s="188" t="s">
        <v>2853</v>
      </c>
    </row>
    <row r="2524" spans="1:11" x14ac:dyDescent="0.25">
      <c r="A2524" t="s">
        <v>6993</v>
      </c>
      <c r="B2524" s="27" t="s">
        <v>2567</v>
      </c>
      <c r="D2524" s="28" t="s">
        <v>4428</v>
      </c>
      <c r="E2524" s="29" t="s">
        <v>21</v>
      </c>
      <c r="F2524" s="30">
        <v>1</v>
      </c>
      <c r="G2524" s="31">
        <v>200.73</v>
      </c>
      <c r="H2524" s="31">
        <f t="shared" si="158"/>
        <v>200.73</v>
      </c>
      <c r="I2524" s="170" t="s">
        <v>2842</v>
      </c>
      <c r="J2524" t="s">
        <v>2853</v>
      </c>
      <c r="K2524" s="188" t="s">
        <v>2853</v>
      </c>
    </row>
    <row r="2525" spans="1:11" x14ac:dyDescent="0.25">
      <c r="A2525" t="s">
        <v>6994</v>
      </c>
      <c r="B2525" s="27" t="s">
        <v>2568</v>
      </c>
      <c r="D2525" s="28" t="s">
        <v>4429</v>
      </c>
      <c r="E2525" s="29" t="s">
        <v>563</v>
      </c>
      <c r="F2525" s="30">
        <v>1</v>
      </c>
      <c r="G2525" s="31">
        <v>200.73</v>
      </c>
      <c r="H2525" s="31">
        <f t="shared" si="158"/>
        <v>200.73</v>
      </c>
      <c r="I2525" s="170" t="s">
        <v>2842</v>
      </c>
      <c r="J2525" t="s">
        <v>2853</v>
      </c>
      <c r="K2525" s="188" t="s">
        <v>2853</v>
      </c>
    </row>
    <row r="2526" spans="1:11" x14ac:dyDescent="0.25">
      <c r="A2526" t="s">
        <v>6995</v>
      </c>
      <c r="B2526" s="27" t="s">
        <v>2569</v>
      </c>
      <c r="D2526" s="28" t="s">
        <v>4430</v>
      </c>
      <c r="E2526" s="29" t="s">
        <v>563</v>
      </c>
      <c r="F2526" s="30">
        <v>1</v>
      </c>
      <c r="G2526" s="31">
        <v>200.73</v>
      </c>
      <c r="H2526" s="31">
        <f t="shared" si="158"/>
        <v>200.73</v>
      </c>
      <c r="I2526" s="170" t="s">
        <v>2842</v>
      </c>
      <c r="J2526" t="s">
        <v>2853</v>
      </c>
      <c r="K2526" s="188" t="s">
        <v>2853</v>
      </c>
    </row>
    <row r="2527" spans="1:11" x14ac:dyDescent="0.25">
      <c r="A2527" t="s">
        <v>6996</v>
      </c>
      <c r="B2527" s="27" t="s">
        <v>2570</v>
      </c>
      <c r="D2527" s="28" t="s">
        <v>4431</v>
      </c>
      <c r="E2527" s="29" t="s">
        <v>563</v>
      </c>
      <c r="F2527" s="30">
        <v>1</v>
      </c>
      <c r="G2527" s="31">
        <v>200.73</v>
      </c>
      <c r="H2527" s="31">
        <f t="shared" si="158"/>
        <v>200.73</v>
      </c>
      <c r="I2527" s="170" t="s">
        <v>2842</v>
      </c>
      <c r="J2527" t="s">
        <v>2853</v>
      </c>
      <c r="K2527" s="188" t="s">
        <v>2853</v>
      </c>
    </row>
    <row r="2528" spans="1:11" x14ac:dyDescent="0.25">
      <c r="A2528" t="s">
        <v>6997</v>
      </c>
      <c r="B2528" s="27" t="s">
        <v>2571</v>
      </c>
      <c r="D2528" s="28" t="s">
        <v>4432</v>
      </c>
      <c r="E2528" s="29" t="s">
        <v>671</v>
      </c>
      <c r="F2528" s="30">
        <v>1</v>
      </c>
      <c r="G2528" s="31">
        <v>200.73</v>
      </c>
      <c r="H2528" s="31">
        <f t="shared" si="158"/>
        <v>200.73</v>
      </c>
      <c r="I2528" s="170" t="s">
        <v>2842</v>
      </c>
      <c r="J2528" t="s">
        <v>2853</v>
      </c>
      <c r="K2528" s="188" t="s">
        <v>2853</v>
      </c>
    </row>
    <row r="2529" spans="1:11" x14ac:dyDescent="0.25">
      <c r="A2529" t="s">
        <v>6998</v>
      </c>
      <c r="B2529" s="27" t="s">
        <v>2572</v>
      </c>
      <c r="D2529" s="28" t="s">
        <v>4433</v>
      </c>
      <c r="E2529" s="29" t="s">
        <v>671</v>
      </c>
      <c r="F2529" s="30">
        <v>1</v>
      </c>
      <c r="G2529" s="31">
        <v>200.73</v>
      </c>
      <c r="H2529" s="31">
        <f t="shared" si="158"/>
        <v>200.73</v>
      </c>
      <c r="I2529" s="170" t="s">
        <v>2842</v>
      </c>
      <c r="J2529" t="s">
        <v>2853</v>
      </c>
      <c r="K2529" s="188" t="s">
        <v>2853</v>
      </c>
    </row>
    <row r="2530" spans="1:11" x14ac:dyDescent="0.25">
      <c r="A2530" t="s">
        <v>6999</v>
      </c>
      <c r="B2530" s="27" t="s">
        <v>2573</v>
      </c>
      <c r="D2530" s="28" t="s">
        <v>4434</v>
      </c>
      <c r="E2530" s="29" t="s">
        <v>671</v>
      </c>
      <c r="F2530" s="30">
        <v>1</v>
      </c>
      <c r="G2530" s="31">
        <v>200.73</v>
      </c>
      <c r="H2530" s="31">
        <f t="shared" si="158"/>
        <v>200.73</v>
      </c>
      <c r="I2530" s="170" t="s">
        <v>2842</v>
      </c>
      <c r="J2530" t="s">
        <v>2853</v>
      </c>
      <c r="K2530" s="188" t="s">
        <v>2853</v>
      </c>
    </row>
    <row r="2531" spans="1:11" x14ac:dyDescent="0.25">
      <c r="A2531" t="s">
        <v>7000</v>
      </c>
      <c r="B2531" s="27" t="s">
        <v>2574</v>
      </c>
      <c r="D2531" s="28" t="s">
        <v>4435</v>
      </c>
      <c r="E2531" s="29" t="s">
        <v>21</v>
      </c>
      <c r="F2531" s="30">
        <v>1</v>
      </c>
      <c r="G2531" s="31">
        <v>233.78</v>
      </c>
      <c r="H2531" s="31">
        <f t="shared" si="158"/>
        <v>233.78</v>
      </c>
      <c r="I2531" s="170" t="s">
        <v>2842</v>
      </c>
      <c r="J2531" t="s">
        <v>2853</v>
      </c>
      <c r="K2531" s="188" t="s">
        <v>2853</v>
      </c>
    </row>
    <row r="2532" spans="1:11" x14ac:dyDescent="0.25">
      <c r="A2532" t="s">
        <v>7001</v>
      </c>
      <c r="B2532" s="27" t="s">
        <v>2575</v>
      </c>
      <c r="D2532" s="28" t="s">
        <v>4436</v>
      </c>
      <c r="E2532" s="29" t="s">
        <v>21</v>
      </c>
      <c r="F2532" s="30">
        <v>1</v>
      </c>
      <c r="G2532" s="31">
        <v>233.78</v>
      </c>
      <c r="H2532" s="31">
        <f t="shared" si="158"/>
        <v>233.78</v>
      </c>
      <c r="I2532" s="170" t="s">
        <v>2842</v>
      </c>
      <c r="J2532" t="s">
        <v>2853</v>
      </c>
      <c r="K2532" s="188" t="s">
        <v>2853</v>
      </c>
    </row>
    <row r="2533" spans="1:11" x14ac:dyDescent="0.25">
      <c r="A2533" t="s">
        <v>7002</v>
      </c>
      <c r="B2533" s="27" t="s">
        <v>2576</v>
      </c>
      <c r="D2533" s="28" t="s">
        <v>4437</v>
      </c>
      <c r="E2533" s="29" t="s">
        <v>21</v>
      </c>
      <c r="F2533" s="30">
        <v>1</v>
      </c>
      <c r="G2533" s="31">
        <v>233.78</v>
      </c>
      <c r="H2533" s="31">
        <f t="shared" si="158"/>
        <v>233.78</v>
      </c>
      <c r="I2533" s="170" t="s">
        <v>2842</v>
      </c>
      <c r="J2533" t="s">
        <v>2853</v>
      </c>
      <c r="K2533" s="188" t="s">
        <v>2853</v>
      </c>
    </row>
    <row r="2534" spans="1:11" x14ac:dyDescent="0.25">
      <c r="A2534" t="s">
        <v>7003</v>
      </c>
      <c r="B2534" s="27" t="s">
        <v>2577</v>
      </c>
      <c r="D2534" s="28" t="s">
        <v>4438</v>
      </c>
      <c r="E2534" s="29" t="s">
        <v>563</v>
      </c>
      <c r="F2534" s="30">
        <v>1</v>
      </c>
      <c r="G2534" s="31">
        <v>233.78</v>
      </c>
      <c r="H2534" s="31">
        <f t="shared" si="158"/>
        <v>233.78</v>
      </c>
      <c r="I2534" s="170" t="s">
        <v>2842</v>
      </c>
      <c r="J2534" t="s">
        <v>2853</v>
      </c>
      <c r="K2534" s="188" t="s">
        <v>2853</v>
      </c>
    </row>
    <row r="2535" spans="1:11" x14ac:dyDescent="0.25">
      <c r="A2535" t="s">
        <v>7004</v>
      </c>
      <c r="B2535" s="27" t="s">
        <v>2578</v>
      </c>
      <c r="D2535" s="28" t="s">
        <v>4439</v>
      </c>
      <c r="E2535" s="29" t="s">
        <v>563</v>
      </c>
      <c r="F2535" s="30">
        <v>1</v>
      </c>
      <c r="G2535" s="31">
        <v>233.78</v>
      </c>
      <c r="H2535" s="31">
        <f t="shared" si="158"/>
        <v>233.78</v>
      </c>
      <c r="I2535" s="170" t="s">
        <v>2842</v>
      </c>
      <c r="J2535" t="s">
        <v>2853</v>
      </c>
      <c r="K2535" s="188" t="s">
        <v>2853</v>
      </c>
    </row>
    <row r="2536" spans="1:11" x14ac:dyDescent="0.25">
      <c r="A2536" t="s">
        <v>7005</v>
      </c>
      <c r="B2536" s="27" t="s">
        <v>2579</v>
      </c>
      <c r="D2536" s="28" t="s">
        <v>4440</v>
      </c>
      <c r="E2536" s="29" t="s">
        <v>563</v>
      </c>
      <c r="F2536" s="30">
        <v>1</v>
      </c>
      <c r="G2536" s="31">
        <v>233.78</v>
      </c>
      <c r="H2536" s="31">
        <f t="shared" si="158"/>
        <v>233.78</v>
      </c>
      <c r="I2536" s="170" t="s">
        <v>2842</v>
      </c>
      <c r="J2536" t="s">
        <v>2853</v>
      </c>
      <c r="K2536" s="188" t="s">
        <v>2853</v>
      </c>
    </row>
    <row r="2537" spans="1:11" x14ac:dyDescent="0.25">
      <c r="A2537" t="s">
        <v>7006</v>
      </c>
      <c r="B2537" s="27" t="s">
        <v>2580</v>
      </c>
      <c r="D2537" s="28" t="s">
        <v>4441</v>
      </c>
      <c r="E2537" s="29" t="s">
        <v>671</v>
      </c>
      <c r="F2537" s="30">
        <v>1</v>
      </c>
      <c r="G2537" s="31">
        <v>233.78</v>
      </c>
      <c r="H2537" s="31">
        <f t="shared" si="158"/>
        <v>233.78</v>
      </c>
      <c r="I2537" s="170" t="s">
        <v>2842</v>
      </c>
      <c r="J2537" t="s">
        <v>2853</v>
      </c>
      <c r="K2537" s="188" t="s">
        <v>2853</v>
      </c>
    </row>
    <row r="2538" spans="1:11" x14ac:dyDescent="0.25">
      <c r="A2538" t="s">
        <v>7007</v>
      </c>
      <c r="B2538" s="27" t="s">
        <v>2581</v>
      </c>
      <c r="D2538" s="28" t="s">
        <v>4442</v>
      </c>
      <c r="E2538" s="29" t="s">
        <v>671</v>
      </c>
      <c r="F2538" s="30">
        <v>1</v>
      </c>
      <c r="G2538" s="31">
        <v>233.78</v>
      </c>
      <c r="H2538" s="31">
        <f t="shared" si="158"/>
        <v>233.78</v>
      </c>
      <c r="I2538" s="170" t="s">
        <v>2842</v>
      </c>
      <c r="J2538" t="s">
        <v>2853</v>
      </c>
      <c r="K2538" s="188" t="s">
        <v>2853</v>
      </c>
    </row>
    <row r="2539" spans="1:11" x14ac:dyDescent="0.25">
      <c r="A2539" t="s">
        <v>7008</v>
      </c>
      <c r="B2539" s="27" t="s">
        <v>2582</v>
      </c>
      <c r="D2539" s="28" t="s">
        <v>4443</v>
      </c>
      <c r="E2539" s="29" t="s">
        <v>671</v>
      </c>
      <c r="F2539" s="30">
        <v>1</v>
      </c>
      <c r="G2539" s="31">
        <v>233.78</v>
      </c>
      <c r="H2539" s="31">
        <f t="shared" si="158"/>
        <v>233.78</v>
      </c>
      <c r="I2539" s="170" t="s">
        <v>2842</v>
      </c>
      <c r="J2539" t="s">
        <v>2853</v>
      </c>
      <c r="K2539" s="188" t="s">
        <v>2853</v>
      </c>
    </row>
    <row r="2540" spans="1:11" x14ac:dyDescent="0.25">
      <c r="A2540" t="s">
        <v>7009</v>
      </c>
      <c r="B2540" s="27" t="s">
        <v>2583</v>
      </c>
      <c r="D2540" s="28" t="s">
        <v>4444</v>
      </c>
      <c r="E2540" s="29" t="s">
        <v>21</v>
      </c>
      <c r="F2540" s="30">
        <v>1</v>
      </c>
      <c r="G2540" s="31">
        <v>266.83999999999997</v>
      </c>
      <c r="H2540" s="31">
        <f t="shared" si="158"/>
        <v>266.83999999999997</v>
      </c>
      <c r="I2540" s="170" t="s">
        <v>2842</v>
      </c>
      <c r="J2540" t="s">
        <v>2853</v>
      </c>
      <c r="K2540" s="188" t="s">
        <v>2853</v>
      </c>
    </row>
    <row r="2541" spans="1:11" x14ac:dyDescent="0.25">
      <c r="A2541" t="s">
        <v>7010</v>
      </c>
      <c r="B2541" s="27" t="s">
        <v>2584</v>
      </c>
      <c r="D2541" s="28" t="s">
        <v>4445</v>
      </c>
      <c r="E2541" s="29" t="s">
        <v>21</v>
      </c>
      <c r="F2541" s="30">
        <v>1</v>
      </c>
      <c r="G2541" s="31">
        <v>266.83999999999997</v>
      </c>
      <c r="H2541" s="31">
        <f t="shared" si="158"/>
        <v>266.83999999999997</v>
      </c>
      <c r="I2541" s="170" t="s">
        <v>2842</v>
      </c>
      <c r="J2541" t="s">
        <v>2853</v>
      </c>
      <c r="K2541" s="188" t="s">
        <v>2853</v>
      </c>
    </row>
    <row r="2542" spans="1:11" x14ac:dyDescent="0.25">
      <c r="A2542" t="s">
        <v>7011</v>
      </c>
      <c r="B2542" s="27" t="s">
        <v>2585</v>
      </c>
      <c r="D2542" s="28" t="s">
        <v>4446</v>
      </c>
      <c r="E2542" s="29" t="s">
        <v>21</v>
      </c>
      <c r="F2542" s="30">
        <v>1</v>
      </c>
      <c r="G2542" s="31">
        <v>266.83999999999997</v>
      </c>
      <c r="H2542" s="31">
        <f t="shared" si="158"/>
        <v>266.83999999999997</v>
      </c>
      <c r="I2542" s="170" t="s">
        <v>2842</v>
      </c>
      <c r="J2542" t="s">
        <v>2853</v>
      </c>
      <c r="K2542" s="188" t="s">
        <v>2853</v>
      </c>
    </row>
    <row r="2543" spans="1:11" x14ac:dyDescent="0.25">
      <c r="A2543" t="s">
        <v>7012</v>
      </c>
      <c r="B2543" s="27" t="s">
        <v>2586</v>
      </c>
      <c r="D2543" s="28" t="s">
        <v>4447</v>
      </c>
      <c r="E2543" s="29" t="s">
        <v>563</v>
      </c>
      <c r="F2543" s="30">
        <v>1</v>
      </c>
      <c r="G2543" s="31">
        <v>266.83999999999997</v>
      </c>
      <c r="H2543" s="31">
        <f t="shared" si="158"/>
        <v>266.83999999999997</v>
      </c>
      <c r="I2543" s="170" t="s">
        <v>2842</v>
      </c>
      <c r="J2543" t="s">
        <v>2853</v>
      </c>
      <c r="K2543" s="188" t="s">
        <v>2853</v>
      </c>
    </row>
    <row r="2544" spans="1:11" x14ac:dyDescent="0.25">
      <c r="A2544" t="s">
        <v>7013</v>
      </c>
      <c r="B2544" s="27" t="s">
        <v>2587</v>
      </c>
      <c r="D2544" s="28" t="s">
        <v>4448</v>
      </c>
      <c r="E2544" s="29" t="s">
        <v>563</v>
      </c>
      <c r="F2544" s="30">
        <v>1</v>
      </c>
      <c r="G2544" s="31">
        <v>266.83999999999997</v>
      </c>
      <c r="H2544" s="31">
        <f t="shared" si="158"/>
        <v>266.83999999999997</v>
      </c>
      <c r="I2544" s="170" t="s">
        <v>2842</v>
      </c>
      <c r="J2544" t="s">
        <v>2853</v>
      </c>
      <c r="K2544" s="188" t="s">
        <v>2853</v>
      </c>
    </row>
    <row r="2545" spans="1:11" x14ac:dyDescent="0.25">
      <c r="A2545" t="s">
        <v>7014</v>
      </c>
      <c r="B2545" s="27" t="s">
        <v>2588</v>
      </c>
      <c r="D2545" s="28" t="s">
        <v>4449</v>
      </c>
      <c r="E2545" s="29" t="s">
        <v>563</v>
      </c>
      <c r="F2545" s="30">
        <v>1</v>
      </c>
      <c r="G2545" s="31">
        <v>266.83999999999997</v>
      </c>
      <c r="H2545" s="31">
        <f t="shared" si="158"/>
        <v>266.83999999999997</v>
      </c>
      <c r="I2545" s="170" t="s">
        <v>2842</v>
      </c>
      <c r="J2545" t="s">
        <v>2853</v>
      </c>
      <c r="K2545" s="188" t="s">
        <v>2853</v>
      </c>
    </row>
    <row r="2546" spans="1:11" x14ac:dyDescent="0.25">
      <c r="A2546" t="s">
        <v>7015</v>
      </c>
      <c r="B2546" s="27" t="s">
        <v>2589</v>
      </c>
      <c r="D2546" s="28" t="s">
        <v>4450</v>
      </c>
      <c r="E2546" s="29" t="s">
        <v>671</v>
      </c>
      <c r="F2546" s="30">
        <v>1</v>
      </c>
      <c r="G2546" s="31">
        <v>266.83999999999997</v>
      </c>
      <c r="H2546" s="31">
        <f t="shared" si="158"/>
        <v>266.83999999999997</v>
      </c>
      <c r="I2546" s="170" t="s">
        <v>2842</v>
      </c>
      <c r="J2546" t="s">
        <v>2853</v>
      </c>
      <c r="K2546" s="188" t="s">
        <v>2853</v>
      </c>
    </row>
    <row r="2547" spans="1:11" x14ac:dyDescent="0.25">
      <c r="A2547" t="s">
        <v>7016</v>
      </c>
      <c r="B2547" s="27" t="s">
        <v>2590</v>
      </c>
      <c r="D2547" s="28" t="s">
        <v>4451</v>
      </c>
      <c r="E2547" s="29" t="s">
        <v>671</v>
      </c>
      <c r="F2547" s="30">
        <v>1</v>
      </c>
      <c r="G2547" s="31">
        <v>266.83999999999997</v>
      </c>
      <c r="H2547" s="31">
        <f t="shared" si="158"/>
        <v>266.83999999999997</v>
      </c>
      <c r="I2547" s="170" t="s">
        <v>2842</v>
      </c>
      <c r="J2547" t="s">
        <v>2853</v>
      </c>
      <c r="K2547" s="188" t="s">
        <v>2853</v>
      </c>
    </row>
    <row r="2548" spans="1:11" x14ac:dyDescent="0.25">
      <c r="A2548" t="s">
        <v>7017</v>
      </c>
      <c r="B2548" s="27" t="s">
        <v>2591</v>
      </c>
      <c r="D2548" s="28" t="s">
        <v>4452</v>
      </c>
      <c r="E2548" s="29" t="s">
        <v>671</v>
      </c>
      <c r="F2548" s="30">
        <v>1</v>
      </c>
      <c r="G2548" s="31">
        <v>266.83999999999997</v>
      </c>
      <c r="H2548" s="31">
        <f t="shared" si="158"/>
        <v>266.83999999999997</v>
      </c>
      <c r="I2548" s="170" t="s">
        <v>2842</v>
      </c>
      <c r="J2548" t="s">
        <v>2853</v>
      </c>
      <c r="K2548" s="188" t="s">
        <v>2853</v>
      </c>
    </row>
    <row r="2549" spans="1:11" x14ac:dyDescent="0.25">
      <c r="A2549" t="s">
        <v>7018</v>
      </c>
      <c r="B2549" s="27" t="s">
        <v>2592</v>
      </c>
      <c r="D2549" s="28" t="s">
        <v>4453</v>
      </c>
      <c r="E2549" s="29" t="s">
        <v>21</v>
      </c>
      <c r="F2549" s="30">
        <v>1</v>
      </c>
      <c r="G2549" s="31">
        <v>299.89</v>
      </c>
      <c r="H2549" s="31">
        <f t="shared" si="158"/>
        <v>299.89</v>
      </c>
      <c r="I2549" s="170" t="s">
        <v>2842</v>
      </c>
      <c r="J2549" t="s">
        <v>2853</v>
      </c>
      <c r="K2549" s="188" t="s">
        <v>2853</v>
      </c>
    </row>
    <row r="2550" spans="1:11" x14ac:dyDescent="0.25">
      <c r="A2550" t="s">
        <v>7019</v>
      </c>
      <c r="B2550" s="27" t="s">
        <v>2593</v>
      </c>
      <c r="D2550" s="28" t="s">
        <v>4454</v>
      </c>
      <c r="E2550" s="29" t="s">
        <v>21</v>
      </c>
      <c r="F2550" s="30">
        <v>1</v>
      </c>
      <c r="G2550" s="31">
        <v>299.89</v>
      </c>
      <c r="H2550" s="31">
        <f t="shared" si="158"/>
        <v>299.89</v>
      </c>
      <c r="I2550" s="170" t="s">
        <v>2842</v>
      </c>
      <c r="J2550" t="s">
        <v>2853</v>
      </c>
      <c r="K2550" s="188" t="s">
        <v>2853</v>
      </c>
    </row>
    <row r="2551" spans="1:11" x14ac:dyDescent="0.25">
      <c r="A2551" t="s">
        <v>7020</v>
      </c>
      <c r="B2551" s="27" t="s">
        <v>2594</v>
      </c>
      <c r="D2551" s="28" t="s">
        <v>4455</v>
      </c>
      <c r="E2551" s="29" t="s">
        <v>21</v>
      </c>
      <c r="F2551" s="30">
        <v>1</v>
      </c>
      <c r="G2551" s="31">
        <v>299.89</v>
      </c>
      <c r="H2551" s="31">
        <f t="shared" si="158"/>
        <v>299.89</v>
      </c>
      <c r="I2551" s="170" t="s">
        <v>2842</v>
      </c>
      <c r="J2551" t="s">
        <v>2853</v>
      </c>
      <c r="K2551" s="188" t="s">
        <v>2853</v>
      </c>
    </row>
    <row r="2552" spans="1:11" x14ac:dyDescent="0.25">
      <c r="A2552" t="s">
        <v>7021</v>
      </c>
      <c r="B2552" s="27" t="s">
        <v>2595</v>
      </c>
      <c r="D2552" s="28" t="s">
        <v>4456</v>
      </c>
      <c r="E2552" s="29" t="s">
        <v>563</v>
      </c>
      <c r="F2552" s="30">
        <v>1</v>
      </c>
      <c r="G2552" s="31">
        <v>299.89</v>
      </c>
      <c r="H2552" s="31">
        <f t="shared" si="158"/>
        <v>299.89</v>
      </c>
      <c r="I2552" s="170" t="s">
        <v>2842</v>
      </c>
      <c r="J2552" t="s">
        <v>2853</v>
      </c>
      <c r="K2552" s="188" t="s">
        <v>2853</v>
      </c>
    </row>
    <row r="2553" spans="1:11" x14ac:dyDescent="0.25">
      <c r="A2553" t="s">
        <v>7022</v>
      </c>
      <c r="B2553" s="27" t="s">
        <v>2596</v>
      </c>
      <c r="D2553" s="28" t="s">
        <v>4457</v>
      </c>
      <c r="E2553" s="29" t="s">
        <v>563</v>
      </c>
      <c r="F2553" s="30">
        <v>1</v>
      </c>
      <c r="G2553" s="31">
        <v>299.89</v>
      </c>
      <c r="H2553" s="31">
        <f t="shared" si="158"/>
        <v>299.89</v>
      </c>
      <c r="I2553" s="170" t="s">
        <v>2842</v>
      </c>
      <c r="J2553" t="s">
        <v>2853</v>
      </c>
      <c r="K2553" s="188" t="s">
        <v>2853</v>
      </c>
    </row>
    <row r="2554" spans="1:11" x14ac:dyDescent="0.25">
      <c r="A2554" t="s">
        <v>7023</v>
      </c>
      <c r="B2554" s="27" t="s">
        <v>2597</v>
      </c>
      <c r="D2554" s="28" t="s">
        <v>4458</v>
      </c>
      <c r="E2554" s="29" t="s">
        <v>563</v>
      </c>
      <c r="F2554" s="30">
        <v>1</v>
      </c>
      <c r="G2554" s="31">
        <v>299.89</v>
      </c>
      <c r="H2554" s="31">
        <f t="shared" si="158"/>
        <v>299.89</v>
      </c>
      <c r="I2554" s="170" t="s">
        <v>2842</v>
      </c>
      <c r="J2554" t="s">
        <v>2853</v>
      </c>
      <c r="K2554" s="188" t="s">
        <v>2853</v>
      </c>
    </row>
    <row r="2555" spans="1:11" x14ac:dyDescent="0.25">
      <c r="A2555" t="s">
        <v>7024</v>
      </c>
      <c r="B2555" s="27" t="s">
        <v>2598</v>
      </c>
      <c r="D2555" s="28" t="s">
        <v>4459</v>
      </c>
      <c r="E2555" s="29" t="s">
        <v>671</v>
      </c>
      <c r="F2555" s="30">
        <v>1</v>
      </c>
      <c r="G2555" s="31">
        <v>299.89</v>
      </c>
      <c r="H2555" s="31">
        <f t="shared" si="158"/>
        <v>299.89</v>
      </c>
      <c r="I2555" s="170" t="s">
        <v>2842</v>
      </c>
      <c r="J2555" t="s">
        <v>2853</v>
      </c>
      <c r="K2555" s="188" t="s">
        <v>2853</v>
      </c>
    </row>
    <row r="2556" spans="1:11" x14ac:dyDescent="0.25">
      <c r="A2556" t="s">
        <v>7025</v>
      </c>
      <c r="B2556" s="27" t="s">
        <v>2599</v>
      </c>
      <c r="D2556" s="28" t="s">
        <v>4460</v>
      </c>
      <c r="E2556" s="29" t="s">
        <v>671</v>
      </c>
      <c r="F2556" s="30">
        <v>1</v>
      </c>
      <c r="G2556" s="31">
        <v>299.89</v>
      </c>
      <c r="H2556" s="31">
        <f t="shared" si="158"/>
        <v>299.89</v>
      </c>
      <c r="I2556" s="170" t="s">
        <v>2842</v>
      </c>
      <c r="J2556" t="s">
        <v>2853</v>
      </c>
      <c r="K2556" s="188" t="s">
        <v>2853</v>
      </c>
    </row>
    <row r="2557" spans="1:11" x14ac:dyDescent="0.25">
      <c r="A2557" t="s">
        <v>7026</v>
      </c>
      <c r="B2557" s="27" t="s">
        <v>2600</v>
      </c>
      <c r="D2557" s="28" t="s">
        <v>4461</v>
      </c>
      <c r="E2557" s="29" t="s">
        <v>671</v>
      </c>
      <c r="F2557" s="30">
        <v>1</v>
      </c>
      <c r="G2557" s="31">
        <v>299.89</v>
      </c>
      <c r="H2557" s="31">
        <f t="shared" si="158"/>
        <v>299.89</v>
      </c>
      <c r="I2557" s="170" t="s">
        <v>2842</v>
      </c>
      <c r="J2557" t="s">
        <v>2853</v>
      </c>
      <c r="K2557" s="188" t="s">
        <v>2853</v>
      </c>
    </row>
    <row r="2558" spans="1:11" x14ac:dyDescent="0.25">
      <c r="A2558" t="s">
        <v>7027</v>
      </c>
      <c r="B2558" s="27" t="s">
        <v>2601</v>
      </c>
      <c r="D2558" s="28" t="s">
        <v>4462</v>
      </c>
      <c r="E2558" s="29" t="s">
        <v>21</v>
      </c>
      <c r="F2558" s="30">
        <v>1</v>
      </c>
      <c r="G2558" s="31">
        <v>154.44</v>
      </c>
      <c r="H2558" s="31">
        <f t="shared" si="158"/>
        <v>154.44</v>
      </c>
      <c r="I2558" s="170" t="s">
        <v>2842</v>
      </c>
      <c r="J2558" t="s">
        <v>2853</v>
      </c>
      <c r="K2558" s="188" t="s">
        <v>2853</v>
      </c>
    </row>
    <row r="2559" spans="1:11" x14ac:dyDescent="0.25">
      <c r="A2559" t="s">
        <v>7028</v>
      </c>
      <c r="B2559" s="27" t="s">
        <v>2602</v>
      </c>
      <c r="D2559" s="28" t="s">
        <v>4463</v>
      </c>
      <c r="E2559" s="29" t="s">
        <v>21</v>
      </c>
      <c r="F2559" s="30">
        <v>1</v>
      </c>
      <c r="G2559" s="31">
        <v>154.44</v>
      </c>
      <c r="H2559" s="31">
        <f t="shared" si="158"/>
        <v>154.44</v>
      </c>
      <c r="I2559" s="170" t="s">
        <v>2842</v>
      </c>
      <c r="J2559" t="s">
        <v>2853</v>
      </c>
      <c r="K2559" s="188" t="s">
        <v>2853</v>
      </c>
    </row>
    <row r="2560" spans="1:11" x14ac:dyDescent="0.25">
      <c r="A2560" t="s">
        <v>7029</v>
      </c>
      <c r="B2560" s="27" t="s">
        <v>2603</v>
      </c>
      <c r="D2560" s="28" t="s">
        <v>4464</v>
      </c>
      <c r="E2560" s="29" t="s">
        <v>21</v>
      </c>
      <c r="F2560" s="30">
        <v>1</v>
      </c>
      <c r="G2560" s="31">
        <v>154.44</v>
      </c>
      <c r="H2560" s="31">
        <f t="shared" si="158"/>
        <v>154.44</v>
      </c>
      <c r="I2560" s="170" t="s">
        <v>2842</v>
      </c>
      <c r="J2560" t="s">
        <v>2853</v>
      </c>
      <c r="K2560" s="188" t="s">
        <v>2853</v>
      </c>
    </row>
    <row r="2561" spans="1:11" x14ac:dyDescent="0.25">
      <c r="A2561" t="s">
        <v>7030</v>
      </c>
      <c r="B2561" s="27" t="s">
        <v>2604</v>
      </c>
      <c r="D2561" s="28" t="s">
        <v>4465</v>
      </c>
      <c r="E2561" s="29" t="s">
        <v>563</v>
      </c>
      <c r="F2561" s="30">
        <v>1</v>
      </c>
      <c r="G2561" s="31">
        <v>154.44</v>
      </c>
      <c r="H2561" s="31">
        <f t="shared" si="158"/>
        <v>154.44</v>
      </c>
      <c r="I2561" s="170" t="s">
        <v>2842</v>
      </c>
      <c r="J2561" t="s">
        <v>2853</v>
      </c>
      <c r="K2561" s="188" t="s">
        <v>2853</v>
      </c>
    </row>
    <row r="2562" spans="1:11" x14ac:dyDescent="0.25">
      <c r="A2562" t="s">
        <v>7031</v>
      </c>
      <c r="B2562" s="27" t="s">
        <v>2605</v>
      </c>
      <c r="D2562" s="28" t="s">
        <v>4466</v>
      </c>
      <c r="E2562" s="29" t="s">
        <v>563</v>
      </c>
      <c r="F2562" s="30">
        <v>1</v>
      </c>
      <c r="G2562" s="31">
        <v>154.44</v>
      </c>
      <c r="H2562" s="31">
        <f t="shared" si="158"/>
        <v>154.44</v>
      </c>
      <c r="I2562" s="170" t="s">
        <v>2842</v>
      </c>
      <c r="J2562" t="s">
        <v>2853</v>
      </c>
      <c r="K2562" s="188" t="s">
        <v>2853</v>
      </c>
    </row>
    <row r="2563" spans="1:11" x14ac:dyDescent="0.25">
      <c r="A2563" t="s">
        <v>7032</v>
      </c>
      <c r="B2563" s="27" t="s">
        <v>2606</v>
      </c>
      <c r="D2563" s="28" t="s">
        <v>4467</v>
      </c>
      <c r="E2563" s="29" t="s">
        <v>563</v>
      </c>
      <c r="F2563" s="30">
        <v>1</v>
      </c>
      <c r="G2563" s="31">
        <v>154.44</v>
      </c>
      <c r="H2563" s="31">
        <f t="shared" si="158"/>
        <v>154.44</v>
      </c>
      <c r="I2563" s="170" t="s">
        <v>2842</v>
      </c>
      <c r="J2563" t="s">
        <v>2853</v>
      </c>
      <c r="K2563" s="188" t="s">
        <v>2853</v>
      </c>
    </row>
    <row r="2564" spans="1:11" x14ac:dyDescent="0.25">
      <c r="A2564" t="s">
        <v>7033</v>
      </c>
      <c r="B2564" s="27" t="s">
        <v>2607</v>
      </c>
      <c r="D2564" s="28" t="s">
        <v>4468</v>
      </c>
      <c r="E2564" s="29" t="s">
        <v>671</v>
      </c>
      <c r="F2564" s="30">
        <v>1</v>
      </c>
      <c r="G2564" s="31">
        <v>154.44</v>
      </c>
      <c r="H2564" s="31">
        <f t="shared" si="158"/>
        <v>154.44</v>
      </c>
      <c r="I2564" s="170" t="s">
        <v>2842</v>
      </c>
      <c r="J2564" t="s">
        <v>2853</v>
      </c>
      <c r="K2564" s="188" t="s">
        <v>2853</v>
      </c>
    </row>
    <row r="2565" spans="1:11" x14ac:dyDescent="0.25">
      <c r="A2565" t="s">
        <v>7034</v>
      </c>
      <c r="B2565" s="27" t="s">
        <v>2608</v>
      </c>
      <c r="D2565" s="28" t="s">
        <v>4469</v>
      </c>
      <c r="E2565" s="29" t="s">
        <v>671</v>
      </c>
      <c r="F2565" s="30">
        <v>1</v>
      </c>
      <c r="G2565" s="31">
        <v>154.44</v>
      </c>
      <c r="H2565" s="31">
        <f t="shared" si="158"/>
        <v>154.44</v>
      </c>
      <c r="I2565" s="170" t="s">
        <v>2842</v>
      </c>
      <c r="J2565" t="s">
        <v>2853</v>
      </c>
      <c r="K2565" s="188" t="s">
        <v>2853</v>
      </c>
    </row>
    <row r="2566" spans="1:11" x14ac:dyDescent="0.25">
      <c r="A2566" t="s">
        <v>7035</v>
      </c>
      <c r="B2566" s="27" t="s">
        <v>2609</v>
      </c>
      <c r="D2566" s="28" t="s">
        <v>4470</v>
      </c>
      <c r="E2566" s="29" t="s">
        <v>671</v>
      </c>
      <c r="F2566" s="30">
        <v>1</v>
      </c>
      <c r="G2566" s="31">
        <v>154.44</v>
      </c>
      <c r="H2566" s="31">
        <f t="shared" si="158"/>
        <v>154.44</v>
      </c>
      <c r="I2566" s="170" t="s">
        <v>2842</v>
      </c>
      <c r="J2566" t="s">
        <v>2853</v>
      </c>
      <c r="K2566" s="188" t="s">
        <v>2853</v>
      </c>
    </row>
    <row r="2567" spans="1:11" x14ac:dyDescent="0.25">
      <c r="A2567" t="s">
        <v>7036</v>
      </c>
      <c r="B2567" s="27" t="s">
        <v>2610</v>
      </c>
      <c r="D2567" s="28" t="s">
        <v>4471</v>
      </c>
      <c r="E2567" s="29" t="s">
        <v>21</v>
      </c>
      <c r="F2567" s="30">
        <v>1</v>
      </c>
      <c r="G2567" s="31">
        <v>174.29</v>
      </c>
      <c r="H2567" s="31">
        <f t="shared" si="158"/>
        <v>174.29</v>
      </c>
      <c r="I2567" s="170" t="s">
        <v>2842</v>
      </c>
      <c r="J2567" t="s">
        <v>2853</v>
      </c>
      <c r="K2567" s="188" t="s">
        <v>2853</v>
      </c>
    </row>
    <row r="2568" spans="1:11" x14ac:dyDescent="0.25">
      <c r="A2568" t="s">
        <v>7037</v>
      </c>
      <c r="B2568" s="27" t="s">
        <v>2611</v>
      </c>
      <c r="D2568" s="28" t="s">
        <v>4472</v>
      </c>
      <c r="E2568" s="29" t="s">
        <v>21</v>
      </c>
      <c r="F2568" s="30">
        <v>1</v>
      </c>
      <c r="G2568" s="31">
        <v>174.29</v>
      </c>
      <c r="H2568" s="31">
        <f t="shared" si="158"/>
        <v>174.29</v>
      </c>
      <c r="I2568" s="170" t="s">
        <v>2842</v>
      </c>
      <c r="J2568" t="s">
        <v>2853</v>
      </c>
      <c r="K2568" s="188" t="s">
        <v>2853</v>
      </c>
    </row>
    <row r="2569" spans="1:11" x14ac:dyDescent="0.25">
      <c r="A2569" t="s">
        <v>7038</v>
      </c>
      <c r="B2569" s="27" t="s">
        <v>2612</v>
      </c>
      <c r="D2569" s="28" t="s">
        <v>4473</v>
      </c>
      <c r="E2569" s="29" t="s">
        <v>21</v>
      </c>
      <c r="F2569" s="30">
        <v>1</v>
      </c>
      <c r="G2569" s="31">
        <v>174.29</v>
      </c>
      <c r="H2569" s="31">
        <f t="shared" si="158"/>
        <v>174.29</v>
      </c>
      <c r="I2569" s="170" t="s">
        <v>2842</v>
      </c>
      <c r="J2569" t="s">
        <v>2853</v>
      </c>
      <c r="K2569" s="188" t="s">
        <v>2853</v>
      </c>
    </row>
    <row r="2570" spans="1:11" x14ac:dyDescent="0.25">
      <c r="A2570" t="s">
        <v>7039</v>
      </c>
      <c r="B2570" s="27" t="s">
        <v>2613</v>
      </c>
      <c r="D2570" s="28" t="s">
        <v>4474</v>
      </c>
      <c r="E2570" s="29" t="s">
        <v>563</v>
      </c>
      <c r="F2570" s="30">
        <v>1</v>
      </c>
      <c r="G2570" s="31">
        <v>174.29</v>
      </c>
      <c r="H2570" s="31">
        <f t="shared" si="158"/>
        <v>174.29</v>
      </c>
      <c r="I2570" s="170" t="s">
        <v>2842</v>
      </c>
      <c r="J2570" t="s">
        <v>2853</v>
      </c>
      <c r="K2570" s="188" t="s">
        <v>2853</v>
      </c>
    </row>
    <row r="2571" spans="1:11" x14ac:dyDescent="0.25">
      <c r="A2571" t="s">
        <v>7040</v>
      </c>
      <c r="B2571" s="27" t="s">
        <v>2614</v>
      </c>
      <c r="D2571" s="28" t="s">
        <v>4475</v>
      </c>
      <c r="E2571" s="29" t="s">
        <v>563</v>
      </c>
      <c r="F2571" s="30">
        <v>1</v>
      </c>
      <c r="G2571" s="31">
        <v>174.29</v>
      </c>
      <c r="H2571" s="31">
        <f t="shared" si="158"/>
        <v>174.29</v>
      </c>
      <c r="I2571" s="170" t="s">
        <v>2842</v>
      </c>
      <c r="J2571" t="s">
        <v>2853</v>
      </c>
      <c r="K2571" s="188" t="s">
        <v>2853</v>
      </c>
    </row>
    <row r="2572" spans="1:11" x14ac:dyDescent="0.25">
      <c r="A2572" t="s">
        <v>7041</v>
      </c>
      <c r="B2572" s="27" t="s">
        <v>2615</v>
      </c>
      <c r="D2572" s="28" t="s">
        <v>4476</v>
      </c>
      <c r="E2572" s="29" t="s">
        <v>563</v>
      </c>
      <c r="F2572" s="30">
        <v>1</v>
      </c>
      <c r="G2572" s="31">
        <v>174.29</v>
      </c>
      <c r="H2572" s="31">
        <f t="shared" si="158"/>
        <v>174.29</v>
      </c>
      <c r="I2572" s="170" t="s">
        <v>2842</v>
      </c>
      <c r="J2572" t="s">
        <v>2853</v>
      </c>
      <c r="K2572" s="188" t="s">
        <v>2853</v>
      </c>
    </row>
    <row r="2573" spans="1:11" x14ac:dyDescent="0.25">
      <c r="A2573" t="s">
        <v>7042</v>
      </c>
      <c r="B2573" s="27" t="s">
        <v>2616</v>
      </c>
      <c r="D2573" s="28" t="s">
        <v>4477</v>
      </c>
      <c r="E2573" s="29" t="s">
        <v>671</v>
      </c>
      <c r="F2573" s="30">
        <v>1</v>
      </c>
      <c r="G2573" s="31">
        <v>174.29</v>
      </c>
      <c r="H2573" s="31">
        <f t="shared" si="158"/>
        <v>174.29</v>
      </c>
      <c r="I2573" s="170" t="s">
        <v>2842</v>
      </c>
      <c r="J2573" t="s">
        <v>2853</v>
      </c>
      <c r="K2573" s="188" t="s">
        <v>2853</v>
      </c>
    </row>
    <row r="2574" spans="1:11" x14ac:dyDescent="0.25">
      <c r="A2574" t="s">
        <v>7043</v>
      </c>
      <c r="B2574" s="27" t="s">
        <v>2617</v>
      </c>
      <c r="D2574" s="28" t="s">
        <v>4478</v>
      </c>
      <c r="E2574" s="29" t="s">
        <v>671</v>
      </c>
      <c r="F2574" s="30">
        <v>1</v>
      </c>
      <c r="G2574" s="31">
        <v>174.29</v>
      </c>
      <c r="H2574" s="31">
        <f t="shared" si="158"/>
        <v>174.29</v>
      </c>
      <c r="I2574" s="170" t="s">
        <v>2842</v>
      </c>
      <c r="J2574" t="s">
        <v>2853</v>
      </c>
      <c r="K2574" s="188" t="s">
        <v>2853</v>
      </c>
    </row>
    <row r="2575" spans="1:11" x14ac:dyDescent="0.25">
      <c r="A2575" t="s">
        <v>7044</v>
      </c>
      <c r="B2575" s="27" t="s">
        <v>2618</v>
      </c>
      <c r="D2575" s="28" t="s">
        <v>4479</v>
      </c>
      <c r="E2575" s="29" t="s">
        <v>671</v>
      </c>
      <c r="F2575" s="30">
        <v>1</v>
      </c>
      <c r="G2575" s="31">
        <v>174.29</v>
      </c>
      <c r="H2575" s="31">
        <f t="shared" si="158"/>
        <v>174.29</v>
      </c>
      <c r="I2575" s="170" t="s">
        <v>2842</v>
      </c>
      <c r="J2575" t="s">
        <v>2853</v>
      </c>
      <c r="K2575" s="188" t="s">
        <v>2853</v>
      </c>
    </row>
    <row r="2576" spans="1:11" x14ac:dyDescent="0.25">
      <c r="A2576" t="s">
        <v>7045</v>
      </c>
      <c r="B2576" s="27" t="s">
        <v>2619</v>
      </c>
      <c r="D2576" s="28" t="s">
        <v>4480</v>
      </c>
      <c r="E2576" s="29" t="s">
        <v>21</v>
      </c>
      <c r="F2576" s="30">
        <v>1</v>
      </c>
      <c r="G2576" s="31">
        <v>194.12</v>
      </c>
      <c r="H2576" s="31">
        <f t="shared" si="158"/>
        <v>194.12</v>
      </c>
      <c r="I2576" s="170" t="s">
        <v>2842</v>
      </c>
      <c r="J2576" t="s">
        <v>2853</v>
      </c>
      <c r="K2576" s="188" t="s">
        <v>2853</v>
      </c>
    </row>
    <row r="2577" spans="1:11" x14ac:dyDescent="0.25">
      <c r="A2577" t="s">
        <v>7046</v>
      </c>
      <c r="B2577" s="27" t="s">
        <v>2620</v>
      </c>
      <c r="D2577" s="28" t="s">
        <v>4481</v>
      </c>
      <c r="E2577" s="29" t="s">
        <v>21</v>
      </c>
      <c r="F2577" s="30">
        <v>1</v>
      </c>
      <c r="G2577" s="31">
        <v>194.12</v>
      </c>
      <c r="H2577" s="31">
        <f t="shared" si="158"/>
        <v>194.12</v>
      </c>
      <c r="I2577" s="170" t="s">
        <v>2842</v>
      </c>
      <c r="J2577" t="s">
        <v>2853</v>
      </c>
      <c r="K2577" s="188" t="s">
        <v>2853</v>
      </c>
    </row>
    <row r="2578" spans="1:11" x14ac:dyDescent="0.25">
      <c r="A2578" t="s">
        <v>7047</v>
      </c>
      <c r="B2578" s="27" t="s">
        <v>2621</v>
      </c>
      <c r="D2578" s="28" t="s">
        <v>4482</v>
      </c>
      <c r="E2578" s="29" t="s">
        <v>21</v>
      </c>
      <c r="F2578" s="30">
        <v>1</v>
      </c>
      <c r="G2578" s="31">
        <v>194.12</v>
      </c>
      <c r="H2578" s="31">
        <f t="shared" si="158"/>
        <v>194.12</v>
      </c>
      <c r="I2578" s="170" t="s">
        <v>2842</v>
      </c>
      <c r="J2578" t="s">
        <v>2853</v>
      </c>
      <c r="K2578" s="188" t="s">
        <v>2853</v>
      </c>
    </row>
    <row r="2579" spans="1:11" x14ac:dyDescent="0.25">
      <c r="A2579" t="s">
        <v>7048</v>
      </c>
      <c r="B2579" s="27" t="s">
        <v>2622</v>
      </c>
      <c r="D2579" s="28" t="s">
        <v>4483</v>
      </c>
      <c r="E2579" s="29" t="s">
        <v>563</v>
      </c>
      <c r="F2579" s="30">
        <v>1</v>
      </c>
      <c r="G2579" s="31">
        <v>194.12</v>
      </c>
      <c r="H2579" s="31">
        <f t="shared" si="158"/>
        <v>194.12</v>
      </c>
      <c r="I2579" s="170" t="s">
        <v>2842</v>
      </c>
      <c r="J2579" t="s">
        <v>2853</v>
      </c>
      <c r="K2579" s="188" t="s">
        <v>2853</v>
      </c>
    </row>
    <row r="2580" spans="1:11" x14ac:dyDescent="0.25">
      <c r="A2580" t="s">
        <v>7049</v>
      </c>
      <c r="B2580" s="27" t="s">
        <v>2623</v>
      </c>
      <c r="D2580" s="28" t="s">
        <v>4484</v>
      </c>
      <c r="E2580" s="29" t="s">
        <v>563</v>
      </c>
      <c r="F2580" s="30">
        <v>1</v>
      </c>
      <c r="G2580" s="31">
        <v>194.12</v>
      </c>
      <c r="H2580" s="31">
        <f t="shared" si="158"/>
        <v>194.12</v>
      </c>
      <c r="I2580" s="170" t="s">
        <v>2842</v>
      </c>
      <c r="J2580" t="s">
        <v>2853</v>
      </c>
      <c r="K2580" s="188" t="s">
        <v>2853</v>
      </c>
    </row>
    <row r="2581" spans="1:11" x14ac:dyDescent="0.25">
      <c r="A2581" t="s">
        <v>7050</v>
      </c>
      <c r="B2581" s="27" t="s">
        <v>2624</v>
      </c>
      <c r="D2581" s="28" t="s">
        <v>4485</v>
      </c>
      <c r="E2581" s="29" t="s">
        <v>563</v>
      </c>
      <c r="F2581" s="30">
        <v>1</v>
      </c>
      <c r="G2581" s="31">
        <v>194.12</v>
      </c>
      <c r="H2581" s="31">
        <f t="shared" si="158"/>
        <v>194.12</v>
      </c>
      <c r="I2581" s="170" t="s">
        <v>2842</v>
      </c>
      <c r="J2581" t="s">
        <v>2853</v>
      </c>
      <c r="K2581" s="188" t="s">
        <v>2853</v>
      </c>
    </row>
    <row r="2582" spans="1:11" x14ac:dyDescent="0.25">
      <c r="A2582" t="s">
        <v>7051</v>
      </c>
      <c r="B2582" s="27" t="s">
        <v>2625</v>
      </c>
      <c r="D2582" s="28" t="s">
        <v>4486</v>
      </c>
      <c r="E2582" s="29" t="s">
        <v>671</v>
      </c>
      <c r="F2582" s="30">
        <v>1</v>
      </c>
      <c r="G2582" s="31">
        <v>194.12</v>
      </c>
      <c r="H2582" s="31">
        <f t="shared" si="158"/>
        <v>194.12</v>
      </c>
      <c r="I2582" s="170" t="s">
        <v>2842</v>
      </c>
      <c r="J2582" t="s">
        <v>2853</v>
      </c>
      <c r="K2582" s="188" t="s">
        <v>2853</v>
      </c>
    </row>
    <row r="2583" spans="1:11" x14ac:dyDescent="0.25">
      <c r="A2583" t="s">
        <v>7052</v>
      </c>
      <c r="B2583" s="27" t="s">
        <v>2626</v>
      </c>
      <c r="D2583" s="28" t="s">
        <v>4487</v>
      </c>
      <c r="E2583" s="29" t="s">
        <v>671</v>
      </c>
      <c r="F2583" s="30">
        <v>1</v>
      </c>
      <c r="G2583" s="31">
        <v>194.12</v>
      </c>
      <c r="H2583" s="31">
        <f t="shared" si="158"/>
        <v>194.12</v>
      </c>
      <c r="I2583" s="170" t="s">
        <v>2842</v>
      </c>
      <c r="J2583" t="s">
        <v>2853</v>
      </c>
      <c r="K2583" s="188" t="s">
        <v>2853</v>
      </c>
    </row>
    <row r="2584" spans="1:11" x14ac:dyDescent="0.25">
      <c r="A2584" t="s">
        <v>7053</v>
      </c>
      <c r="B2584" s="27" t="s">
        <v>2627</v>
      </c>
      <c r="D2584" s="28" t="s">
        <v>4488</v>
      </c>
      <c r="E2584" s="29" t="s">
        <v>671</v>
      </c>
      <c r="F2584" s="30">
        <v>1</v>
      </c>
      <c r="G2584" s="31">
        <v>194.12</v>
      </c>
      <c r="H2584" s="31">
        <f t="shared" ref="H2584:H2647" si="159">+F2584*G2584</f>
        <v>194.12</v>
      </c>
      <c r="I2584" s="170" t="s">
        <v>2842</v>
      </c>
      <c r="J2584" t="s">
        <v>2853</v>
      </c>
      <c r="K2584" s="188" t="s">
        <v>2853</v>
      </c>
    </row>
    <row r="2585" spans="1:11" x14ac:dyDescent="0.25">
      <c r="A2585" t="s">
        <v>7054</v>
      </c>
      <c r="B2585" s="27" t="s">
        <v>2628</v>
      </c>
      <c r="D2585" s="28" t="s">
        <v>4489</v>
      </c>
      <c r="E2585" s="29" t="s">
        <v>21</v>
      </c>
      <c r="F2585" s="30">
        <v>1</v>
      </c>
      <c r="G2585" s="31">
        <v>213.95</v>
      </c>
      <c r="H2585" s="31">
        <f t="shared" si="159"/>
        <v>213.95</v>
      </c>
      <c r="I2585" s="170" t="s">
        <v>2842</v>
      </c>
      <c r="J2585" t="s">
        <v>2853</v>
      </c>
      <c r="K2585" s="188" t="s">
        <v>2853</v>
      </c>
    </row>
    <row r="2586" spans="1:11" x14ac:dyDescent="0.25">
      <c r="A2586" t="s">
        <v>7055</v>
      </c>
      <c r="B2586" s="27" t="s">
        <v>2629</v>
      </c>
      <c r="D2586" s="28" t="s">
        <v>4490</v>
      </c>
      <c r="E2586" s="29" t="s">
        <v>21</v>
      </c>
      <c r="F2586" s="30">
        <v>1</v>
      </c>
      <c r="G2586" s="31">
        <v>213.95</v>
      </c>
      <c r="H2586" s="31">
        <f t="shared" si="159"/>
        <v>213.95</v>
      </c>
      <c r="I2586" s="170" t="s">
        <v>2842</v>
      </c>
      <c r="J2586" t="s">
        <v>2853</v>
      </c>
      <c r="K2586" s="188" t="s">
        <v>2853</v>
      </c>
    </row>
    <row r="2587" spans="1:11" x14ac:dyDescent="0.25">
      <c r="A2587" t="s">
        <v>7056</v>
      </c>
      <c r="B2587" s="27" t="s">
        <v>2630</v>
      </c>
      <c r="D2587" s="28" t="s">
        <v>4491</v>
      </c>
      <c r="E2587" s="29" t="s">
        <v>21</v>
      </c>
      <c r="F2587" s="30">
        <v>1</v>
      </c>
      <c r="G2587" s="31">
        <v>213.95</v>
      </c>
      <c r="H2587" s="31">
        <f t="shared" si="159"/>
        <v>213.95</v>
      </c>
      <c r="I2587" s="170" t="s">
        <v>2842</v>
      </c>
      <c r="J2587" t="s">
        <v>2853</v>
      </c>
      <c r="K2587" s="188" t="s">
        <v>2853</v>
      </c>
    </row>
    <row r="2588" spans="1:11" x14ac:dyDescent="0.25">
      <c r="A2588" t="s">
        <v>7057</v>
      </c>
      <c r="B2588" s="27" t="s">
        <v>2631</v>
      </c>
      <c r="D2588" s="28" t="s">
        <v>4492</v>
      </c>
      <c r="E2588" s="29" t="s">
        <v>563</v>
      </c>
      <c r="F2588" s="30">
        <v>1</v>
      </c>
      <c r="G2588" s="31">
        <v>213.95</v>
      </c>
      <c r="H2588" s="31">
        <f t="shared" si="159"/>
        <v>213.95</v>
      </c>
      <c r="I2588" s="170" t="s">
        <v>2842</v>
      </c>
      <c r="J2588" t="s">
        <v>2853</v>
      </c>
      <c r="K2588" s="188" t="s">
        <v>2853</v>
      </c>
    </row>
    <row r="2589" spans="1:11" x14ac:dyDescent="0.25">
      <c r="A2589" t="s">
        <v>7058</v>
      </c>
      <c r="B2589" s="27" t="s">
        <v>2632</v>
      </c>
      <c r="D2589" s="28" t="s">
        <v>4493</v>
      </c>
      <c r="E2589" s="29" t="s">
        <v>563</v>
      </c>
      <c r="F2589" s="30">
        <v>1</v>
      </c>
      <c r="G2589" s="31">
        <v>213.95</v>
      </c>
      <c r="H2589" s="31">
        <f t="shared" si="159"/>
        <v>213.95</v>
      </c>
      <c r="I2589" s="170" t="s">
        <v>2842</v>
      </c>
      <c r="J2589" t="s">
        <v>2853</v>
      </c>
      <c r="K2589" s="188" t="s">
        <v>2853</v>
      </c>
    </row>
    <row r="2590" spans="1:11" x14ac:dyDescent="0.25">
      <c r="A2590" t="s">
        <v>7059</v>
      </c>
      <c r="B2590" s="27" t="s">
        <v>2633</v>
      </c>
      <c r="D2590" s="28" t="s">
        <v>4494</v>
      </c>
      <c r="E2590" s="29" t="s">
        <v>563</v>
      </c>
      <c r="F2590" s="30">
        <v>1</v>
      </c>
      <c r="G2590" s="31">
        <v>213.95</v>
      </c>
      <c r="H2590" s="31">
        <f t="shared" si="159"/>
        <v>213.95</v>
      </c>
      <c r="I2590" s="170" t="s">
        <v>2842</v>
      </c>
      <c r="J2590" t="s">
        <v>2853</v>
      </c>
      <c r="K2590" s="188" t="s">
        <v>2853</v>
      </c>
    </row>
    <row r="2591" spans="1:11" x14ac:dyDescent="0.25">
      <c r="A2591" t="s">
        <v>7060</v>
      </c>
      <c r="B2591" s="27" t="s">
        <v>2634</v>
      </c>
      <c r="D2591" s="28" t="s">
        <v>4495</v>
      </c>
      <c r="E2591" s="29" t="s">
        <v>671</v>
      </c>
      <c r="F2591" s="30">
        <v>1</v>
      </c>
      <c r="G2591" s="31">
        <v>213.95</v>
      </c>
      <c r="H2591" s="31">
        <f t="shared" si="159"/>
        <v>213.95</v>
      </c>
      <c r="I2591" s="170" t="s">
        <v>2842</v>
      </c>
      <c r="J2591" t="s">
        <v>2853</v>
      </c>
      <c r="K2591" s="188" t="s">
        <v>2853</v>
      </c>
    </row>
    <row r="2592" spans="1:11" x14ac:dyDescent="0.25">
      <c r="A2592" t="s">
        <v>7061</v>
      </c>
      <c r="B2592" s="27" t="s">
        <v>2635</v>
      </c>
      <c r="D2592" s="28" t="s">
        <v>4496</v>
      </c>
      <c r="E2592" s="29" t="s">
        <v>671</v>
      </c>
      <c r="F2592" s="30">
        <v>1</v>
      </c>
      <c r="G2592" s="31">
        <v>213.95</v>
      </c>
      <c r="H2592" s="31">
        <f t="shared" si="159"/>
        <v>213.95</v>
      </c>
      <c r="I2592" s="170" t="s">
        <v>2842</v>
      </c>
      <c r="J2592" t="s">
        <v>2853</v>
      </c>
      <c r="K2592" s="188" t="s">
        <v>2853</v>
      </c>
    </row>
    <row r="2593" spans="1:11" x14ac:dyDescent="0.25">
      <c r="A2593" t="s">
        <v>7062</v>
      </c>
      <c r="B2593" s="27" t="s">
        <v>2636</v>
      </c>
      <c r="D2593" s="28" t="s">
        <v>4497</v>
      </c>
      <c r="E2593" s="29" t="s">
        <v>671</v>
      </c>
      <c r="F2593" s="30">
        <v>1</v>
      </c>
      <c r="G2593" s="31">
        <v>213.95</v>
      </c>
      <c r="H2593" s="31">
        <f t="shared" si="159"/>
        <v>213.95</v>
      </c>
      <c r="I2593" s="170" t="s">
        <v>2842</v>
      </c>
      <c r="J2593" t="s">
        <v>2853</v>
      </c>
      <c r="K2593" s="188" t="s">
        <v>2853</v>
      </c>
    </row>
    <row r="2594" spans="1:11" x14ac:dyDescent="0.25">
      <c r="A2594" t="s">
        <v>7063</v>
      </c>
      <c r="B2594" s="27" t="s">
        <v>2637</v>
      </c>
      <c r="D2594" s="28" t="s">
        <v>4498</v>
      </c>
      <c r="E2594" s="29" t="s">
        <v>21</v>
      </c>
      <c r="F2594" s="30">
        <v>1</v>
      </c>
      <c r="G2594" s="31">
        <v>180.89</v>
      </c>
      <c r="H2594" s="31">
        <f t="shared" si="159"/>
        <v>180.89</v>
      </c>
      <c r="I2594" s="170" t="s">
        <v>2842</v>
      </c>
      <c r="J2594" t="s">
        <v>2853</v>
      </c>
      <c r="K2594" s="188" t="s">
        <v>2853</v>
      </c>
    </row>
    <row r="2595" spans="1:11" x14ac:dyDescent="0.25">
      <c r="A2595" t="s">
        <v>7064</v>
      </c>
      <c r="B2595" s="27" t="s">
        <v>2638</v>
      </c>
      <c r="D2595" s="28" t="s">
        <v>4499</v>
      </c>
      <c r="E2595" s="29" t="s">
        <v>21</v>
      </c>
      <c r="F2595" s="30">
        <v>1</v>
      </c>
      <c r="G2595" s="31">
        <v>180.89</v>
      </c>
      <c r="H2595" s="31">
        <f t="shared" si="159"/>
        <v>180.89</v>
      </c>
      <c r="I2595" s="170" t="s">
        <v>2842</v>
      </c>
      <c r="J2595" t="s">
        <v>2853</v>
      </c>
      <c r="K2595" s="188" t="s">
        <v>2853</v>
      </c>
    </row>
    <row r="2596" spans="1:11" x14ac:dyDescent="0.25">
      <c r="A2596" t="s">
        <v>7065</v>
      </c>
      <c r="B2596" s="27" t="s">
        <v>2639</v>
      </c>
      <c r="D2596" s="28" t="s">
        <v>4500</v>
      </c>
      <c r="E2596" s="29" t="s">
        <v>21</v>
      </c>
      <c r="F2596" s="30">
        <v>1</v>
      </c>
      <c r="G2596" s="31">
        <v>180.89</v>
      </c>
      <c r="H2596" s="31">
        <f t="shared" si="159"/>
        <v>180.89</v>
      </c>
      <c r="I2596" s="170" t="s">
        <v>2842</v>
      </c>
      <c r="J2596" t="s">
        <v>2853</v>
      </c>
      <c r="K2596" s="188" t="s">
        <v>2853</v>
      </c>
    </row>
    <row r="2597" spans="1:11" x14ac:dyDescent="0.25">
      <c r="A2597" t="s">
        <v>7066</v>
      </c>
      <c r="B2597" s="27" t="s">
        <v>2640</v>
      </c>
      <c r="D2597" s="28" t="s">
        <v>4501</v>
      </c>
      <c r="E2597" s="29" t="s">
        <v>563</v>
      </c>
      <c r="F2597" s="30">
        <v>1</v>
      </c>
      <c r="G2597" s="31">
        <v>180.89</v>
      </c>
      <c r="H2597" s="31">
        <f t="shared" si="159"/>
        <v>180.89</v>
      </c>
      <c r="I2597" s="170" t="s">
        <v>2842</v>
      </c>
      <c r="J2597" t="s">
        <v>2853</v>
      </c>
      <c r="K2597" s="188" t="s">
        <v>2853</v>
      </c>
    </row>
    <row r="2598" spans="1:11" x14ac:dyDescent="0.25">
      <c r="A2598" t="s">
        <v>7067</v>
      </c>
      <c r="B2598" s="27" t="s">
        <v>2641</v>
      </c>
      <c r="D2598" s="28" t="s">
        <v>4502</v>
      </c>
      <c r="E2598" s="29" t="s">
        <v>563</v>
      </c>
      <c r="F2598" s="30">
        <v>1</v>
      </c>
      <c r="G2598" s="31">
        <v>180.89</v>
      </c>
      <c r="H2598" s="31">
        <f t="shared" si="159"/>
        <v>180.89</v>
      </c>
      <c r="I2598" s="170" t="s">
        <v>2842</v>
      </c>
      <c r="J2598" t="s">
        <v>2853</v>
      </c>
      <c r="K2598" s="188" t="s">
        <v>2853</v>
      </c>
    </row>
    <row r="2599" spans="1:11" x14ac:dyDescent="0.25">
      <c r="A2599" t="s">
        <v>7068</v>
      </c>
      <c r="B2599" s="27" t="s">
        <v>2642</v>
      </c>
      <c r="D2599" s="28" t="s">
        <v>4503</v>
      </c>
      <c r="E2599" s="29" t="s">
        <v>563</v>
      </c>
      <c r="F2599" s="30">
        <v>1</v>
      </c>
      <c r="G2599" s="31">
        <v>180.89</v>
      </c>
      <c r="H2599" s="31">
        <f t="shared" si="159"/>
        <v>180.89</v>
      </c>
      <c r="I2599" s="170" t="s">
        <v>2842</v>
      </c>
      <c r="J2599" t="s">
        <v>2853</v>
      </c>
      <c r="K2599" s="188" t="s">
        <v>2853</v>
      </c>
    </row>
    <row r="2600" spans="1:11" x14ac:dyDescent="0.25">
      <c r="A2600" t="s">
        <v>7069</v>
      </c>
      <c r="B2600" s="27" t="s">
        <v>2643</v>
      </c>
      <c r="D2600" s="28" t="s">
        <v>4504</v>
      </c>
      <c r="E2600" s="29" t="s">
        <v>671</v>
      </c>
      <c r="F2600" s="30">
        <v>1</v>
      </c>
      <c r="G2600" s="31">
        <v>180.89</v>
      </c>
      <c r="H2600" s="31">
        <f t="shared" si="159"/>
        <v>180.89</v>
      </c>
      <c r="I2600" s="170" t="s">
        <v>2842</v>
      </c>
      <c r="J2600" t="s">
        <v>2853</v>
      </c>
      <c r="K2600" s="188" t="s">
        <v>2853</v>
      </c>
    </row>
    <row r="2601" spans="1:11" x14ac:dyDescent="0.25">
      <c r="A2601" t="s">
        <v>7070</v>
      </c>
      <c r="B2601" s="27" t="s">
        <v>2644</v>
      </c>
      <c r="D2601" s="28" t="s">
        <v>4505</v>
      </c>
      <c r="E2601" s="29" t="s">
        <v>671</v>
      </c>
      <c r="F2601" s="30">
        <v>1</v>
      </c>
      <c r="G2601" s="31">
        <v>180.89</v>
      </c>
      <c r="H2601" s="31">
        <f t="shared" si="159"/>
        <v>180.89</v>
      </c>
      <c r="I2601" s="170" t="s">
        <v>2842</v>
      </c>
      <c r="J2601" t="s">
        <v>2853</v>
      </c>
      <c r="K2601" s="188" t="s">
        <v>2853</v>
      </c>
    </row>
    <row r="2602" spans="1:11" x14ac:dyDescent="0.25">
      <c r="A2602" t="s">
        <v>7071</v>
      </c>
      <c r="B2602" s="27" t="s">
        <v>2645</v>
      </c>
      <c r="D2602" s="28" t="s">
        <v>4506</v>
      </c>
      <c r="E2602" s="29" t="s">
        <v>671</v>
      </c>
      <c r="F2602" s="30">
        <v>1</v>
      </c>
      <c r="G2602" s="31">
        <v>180.89</v>
      </c>
      <c r="H2602" s="31">
        <f t="shared" si="159"/>
        <v>180.89</v>
      </c>
      <c r="I2602" s="170" t="s">
        <v>2842</v>
      </c>
      <c r="J2602" t="s">
        <v>2853</v>
      </c>
      <c r="K2602" s="188" t="s">
        <v>2853</v>
      </c>
    </row>
    <row r="2603" spans="1:11" x14ac:dyDescent="0.25">
      <c r="A2603" t="s">
        <v>7072</v>
      </c>
      <c r="B2603" s="27" t="s">
        <v>2646</v>
      </c>
      <c r="D2603" s="28" t="s">
        <v>4507</v>
      </c>
      <c r="E2603" s="29" t="s">
        <v>21</v>
      </c>
      <c r="F2603" s="30">
        <v>1</v>
      </c>
      <c r="G2603" s="31">
        <v>200.73</v>
      </c>
      <c r="H2603" s="31">
        <f t="shared" si="159"/>
        <v>200.73</v>
      </c>
      <c r="I2603" s="170" t="s">
        <v>2842</v>
      </c>
      <c r="J2603" t="s">
        <v>2853</v>
      </c>
      <c r="K2603" s="188" t="s">
        <v>2853</v>
      </c>
    </row>
    <row r="2604" spans="1:11" x14ac:dyDescent="0.25">
      <c r="A2604" t="s">
        <v>7073</v>
      </c>
      <c r="B2604" s="27" t="s">
        <v>2647</v>
      </c>
      <c r="D2604" s="28" t="s">
        <v>4508</v>
      </c>
      <c r="E2604" s="29" t="s">
        <v>21</v>
      </c>
      <c r="F2604" s="30">
        <v>1</v>
      </c>
      <c r="G2604" s="31">
        <v>200.73</v>
      </c>
      <c r="H2604" s="31">
        <f t="shared" si="159"/>
        <v>200.73</v>
      </c>
      <c r="I2604" s="170" t="s">
        <v>2842</v>
      </c>
      <c r="J2604" t="s">
        <v>2853</v>
      </c>
      <c r="K2604" s="188" t="s">
        <v>2853</v>
      </c>
    </row>
    <row r="2605" spans="1:11" x14ac:dyDescent="0.25">
      <c r="A2605" t="s">
        <v>7074</v>
      </c>
      <c r="B2605" s="27" t="s">
        <v>2648</v>
      </c>
      <c r="D2605" s="28" t="s">
        <v>4509</v>
      </c>
      <c r="E2605" s="29" t="s">
        <v>21</v>
      </c>
      <c r="F2605" s="30">
        <v>1</v>
      </c>
      <c r="G2605" s="31">
        <v>200.73</v>
      </c>
      <c r="H2605" s="31">
        <f t="shared" si="159"/>
        <v>200.73</v>
      </c>
      <c r="I2605" s="170" t="s">
        <v>2842</v>
      </c>
      <c r="J2605" t="s">
        <v>2853</v>
      </c>
      <c r="K2605" s="188" t="s">
        <v>2853</v>
      </c>
    </row>
    <row r="2606" spans="1:11" x14ac:dyDescent="0.25">
      <c r="A2606" t="s">
        <v>7075</v>
      </c>
      <c r="B2606" s="27" t="s">
        <v>2649</v>
      </c>
      <c r="D2606" s="28" t="s">
        <v>4510</v>
      </c>
      <c r="E2606" s="29" t="s">
        <v>563</v>
      </c>
      <c r="F2606" s="30">
        <v>1</v>
      </c>
      <c r="G2606" s="31">
        <v>200.73</v>
      </c>
      <c r="H2606" s="31">
        <f t="shared" si="159"/>
        <v>200.73</v>
      </c>
      <c r="I2606" s="170" t="s">
        <v>2842</v>
      </c>
      <c r="J2606" t="s">
        <v>2853</v>
      </c>
      <c r="K2606" s="188" t="s">
        <v>2853</v>
      </c>
    </row>
    <row r="2607" spans="1:11" x14ac:dyDescent="0.25">
      <c r="A2607" t="s">
        <v>7076</v>
      </c>
      <c r="B2607" s="27" t="s">
        <v>2650</v>
      </c>
      <c r="D2607" s="28" t="s">
        <v>4511</v>
      </c>
      <c r="E2607" s="29" t="s">
        <v>563</v>
      </c>
      <c r="F2607" s="30">
        <v>1</v>
      </c>
      <c r="G2607" s="31">
        <v>200.73</v>
      </c>
      <c r="H2607" s="31">
        <f t="shared" si="159"/>
        <v>200.73</v>
      </c>
      <c r="I2607" s="170" t="s">
        <v>2842</v>
      </c>
      <c r="J2607" t="s">
        <v>2853</v>
      </c>
      <c r="K2607" s="188" t="s">
        <v>2853</v>
      </c>
    </row>
    <row r="2608" spans="1:11" x14ac:dyDescent="0.25">
      <c r="A2608" t="s">
        <v>7077</v>
      </c>
      <c r="B2608" s="27" t="s">
        <v>2651</v>
      </c>
      <c r="D2608" s="28" t="s">
        <v>4512</v>
      </c>
      <c r="E2608" s="29" t="s">
        <v>563</v>
      </c>
      <c r="F2608" s="30">
        <v>1</v>
      </c>
      <c r="G2608" s="31">
        <v>200.73</v>
      </c>
      <c r="H2608" s="31">
        <f t="shared" si="159"/>
        <v>200.73</v>
      </c>
      <c r="I2608" s="170" t="s">
        <v>2842</v>
      </c>
      <c r="J2608" t="s">
        <v>2853</v>
      </c>
      <c r="K2608" s="188" t="s">
        <v>2853</v>
      </c>
    </row>
    <row r="2609" spans="1:11" x14ac:dyDescent="0.25">
      <c r="A2609" t="s">
        <v>7078</v>
      </c>
      <c r="B2609" s="27" t="s">
        <v>2652</v>
      </c>
      <c r="D2609" s="28" t="s">
        <v>4513</v>
      </c>
      <c r="E2609" s="29" t="s">
        <v>671</v>
      </c>
      <c r="F2609" s="30">
        <v>1</v>
      </c>
      <c r="G2609" s="31">
        <v>200.73</v>
      </c>
      <c r="H2609" s="31">
        <f t="shared" si="159"/>
        <v>200.73</v>
      </c>
      <c r="I2609" s="170" t="s">
        <v>2842</v>
      </c>
      <c r="J2609" t="s">
        <v>2853</v>
      </c>
      <c r="K2609" s="188" t="s">
        <v>2853</v>
      </c>
    </row>
    <row r="2610" spans="1:11" x14ac:dyDescent="0.25">
      <c r="A2610" t="s">
        <v>7079</v>
      </c>
      <c r="B2610" s="27" t="s">
        <v>2653</v>
      </c>
      <c r="D2610" s="28" t="s">
        <v>4514</v>
      </c>
      <c r="E2610" s="29" t="s">
        <v>671</v>
      </c>
      <c r="F2610" s="30">
        <v>1</v>
      </c>
      <c r="G2610" s="31">
        <v>200.73</v>
      </c>
      <c r="H2610" s="31">
        <f t="shared" si="159"/>
        <v>200.73</v>
      </c>
      <c r="I2610" s="170" t="s">
        <v>2842</v>
      </c>
      <c r="J2610" t="s">
        <v>2853</v>
      </c>
      <c r="K2610" s="188" t="s">
        <v>2853</v>
      </c>
    </row>
    <row r="2611" spans="1:11" x14ac:dyDescent="0.25">
      <c r="A2611" t="s">
        <v>7080</v>
      </c>
      <c r="B2611" s="27" t="s">
        <v>2654</v>
      </c>
      <c r="D2611" s="28" t="s">
        <v>4515</v>
      </c>
      <c r="E2611" s="29" t="s">
        <v>671</v>
      </c>
      <c r="F2611" s="30">
        <v>1</v>
      </c>
      <c r="G2611" s="31">
        <v>200.73</v>
      </c>
      <c r="H2611" s="31">
        <f t="shared" si="159"/>
        <v>200.73</v>
      </c>
      <c r="I2611" s="170" t="s">
        <v>2842</v>
      </c>
      <c r="J2611" t="s">
        <v>2853</v>
      </c>
      <c r="K2611" s="188" t="s">
        <v>2853</v>
      </c>
    </row>
    <row r="2612" spans="1:11" x14ac:dyDescent="0.25">
      <c r="A2612" t="s">
        <v>7081</v>
      </c>
      <c r="B2612" s="27" t="s">
        <v>2655</v>
      </c>
      <c r="D2612" s="28" t="s">
        <v>4516</v>
      </c>
      <c r="E2612" s="29" t="s">
        <v>21</v>
      </c>
      <c r="F2612" s="30">
        <v>1</v>
      </c>
      <c r="G2612" s="31">
        <v>220.55</v>
      </c>
      <c r="H2612" s="31">
        <f t="shared" si="159"/>
        <v>220.55</v>
      </c>
      <c r="I2612" s="170" t="s">
        <v>2842</v>
      </c>
      <c r="J2612" t="s">
        <v>2853</v>
      </c>
      <c r="K2612" s="188" t="s">
        <v>2853</v>
      </c>
    </row>
    <row r="2613" spans="1:11" x14ac:dyDescent="0.25">
      <c r="A2613" t="s">
        <v>7082</v>
      </c>
      <c r="B2613" s="27" t="s">
        <v>2656</v>
      </c>
      <c r="D2613" s="28" t="s">
        <v>4517</v>
      </c>
      <c r="E2613" s="29" t="s">
        <v>21</v>
      </c>
      <c r="F2613" s="30">
        <v>1</v>
      </c>
      <c r="G2613" s="31">
        <v>220.55</v>
      </c>
      <c r="H2613" s="31">
        <f t="shared" si="159"/>
        <v>220.55</v>
      </c>
      <c r="I2613" s="170" t="s">
        <v>2842</v>
      </c>
      <c r="J2613" t="s">
        <v>2853</v>
      </c>
      <c r="K2613" s="188" t="s">
        <v>2853</v>
      </c>
    </row>
    <row r="2614" spans="1:11" x14ac:dyDescent="0.25">
      <c r="A2614" t="s">
        <v>7083</v>
      </c>
      <c r="B2614" s="27" t="s">
        <v>2657</v>
      </c>
      <c r="D2614" s="28" t="s">
        <v>4518</v>
      </c>
      <c r="E2614" s="29" t="s">
        <v>21</v>
      </c>
      <c r="F2614" s="30">
        <v>1</v>
      </c>
      <c r="G2614" s="31">
        <v>220.55</v>
      </c>
      <c r="H2614" s="31">
        <f t="shared" si="159"/>
        <v>220.55</v>
      </c>
      <c r="I2614" s="170" t="s">
        <v>2842</v>
      </c>
      <c r="J2614" t="s">
        <v>2853</v>
      </c>
      <c r="K2614" s="188" t="s">
        <v>2853</v>
      </c>
    </row>
    <row r="2615" spans="1:11" x14ac:dyDescent="0.25">
      <c r="A2615" t="s">
        <v>7084</v>
      </c>
      <c r="B2615" s="27" t="s">
        <v>2658</v>
      </c>
      <c r="D2615" s="28" t="s">
        <v>4519</v>
      </c>
      <c r="E2615" s="29" t="s">
        <v>563</v>
      </c>
      <c r="F2615" s="30">
        <v>1</v>
      </c>
      <c r="G2615" s="31">
        <v>220.55</v>
      </c>
      <c r="H2615" s="31">
        <f t="shared" si="159"/>
        <v>220.55</v>
      </c>
      <c r="I2615" s="170" t="s">
        <v>2842</v>
      </c>
      <c r="J2615" t="s">
        <v>2853</v>
      </c>
      <c r="K2615" s="188" t="s">
        <v>2853</v>
      </c>
    </row>
    <row r="2616" spans="1:11" x14ac:dyDescent="0.25">
      <c r="A2616" t="s">
        <v>7085</v>
      </c>
      <c r="B2616" s="27" t="s">
        <v>2659</v>
      </c>
      <c r="D2616" s="28" t="s">
        <v>4520</v>
      </c>
      <c r="E2616" s="29" t="s">
        <v>563</v>
      </c>
      <c r="F2616" s="30">
        <v>1</v>
      </c>
      <c r="G2616" s="31">
        <v>220.55</v>
      </c>
      <c r="H2616" s="31">
        <f t="shared" si="159"/>
        <v>220.55</v>
      </c>
      <c r="I2616" s="170" t="s">
        <v>2842</v>
      </c>
      <c r="J2616" t="s">
        <v>2853</v>
      </c>
      <c r="K2616" s="188" t="s">
        <v>2853</v>
      </c>
    </row>
    <row r="2617" spans="1:11" x14ac:dyDescent="0.25">
      <c r="A2617" t="s">
        <v>7086</v>
      </c>
      <c r="B2617" s="27" t="s">
        <v>2660</v>
      </c>
      <c r="D2617" s="28" t="s">
        <v>4521</v>
      </c>
      <c r="E2617" s="29" t="s">
        <v>563</v>
      </c>
      <c r="F2617" s="30">
        <v>1</v>
      </c>
      <c r="G2617" s="31">
        <v>220.55</v>
      </c>
      <c r="H2617" s="31">
        <f t="shared" si="159"/>
        <v>220.55</v>
      </c>
      <c r="I2617" s="170" t="s">
        <v>2842</v>
      </c>
      <c r="J2617" t="s">
        <v>2853</v>
      </c>
      <c r="K2617" s="188" t="s">
        <v>2853</v>
      </c>
    </row>
    <row r="2618" spans="1:11" x14ac:dyDescent="0.25">
      <c r="A2618" t="s">
        <v>7087</v>
      </c>
      <c r="B2618" s="27" t="s">
        <v>2661</v>
      </c>
      <c r="D2618" s="28" t="s">
        <v>4522</v>
      </c>
      <c r="E2618" s="29" t="s">
        <v>671</v>
      </c>
      <c r="F2618" s="30">
        <v>1</v>
      </c>
      <c r="G2618" s="31">
        <v>220.55</v>
      </c>
      <c r="H2618" s="31">
        <f t="shared" si="159"/>
        <v>220.55</v>
      </c>
      <c r="I2618" s="170" t="s">
        <v>2842</v>
      </c>
      <c r="J2618" t="s">
        <v>2853</v>
      </c>
      <c r="K2618" s="188" t="s">
        <v>2853</v>
      </c>
    </row>
    <row r="2619" spans="1:11" x14ac:dyDescent="0.25">
      <c r="A2619" t="s">
        <v>7088</v>
      </c>
      <c r="B2619" s="27" t="s">
        <v>2662</v>
      </c>
      <c r="D2619" s="28" t="s">
        <v>4523</v>
      </c>
      <c r="E2619" s="29" t="s">
        <v>671</v>
      </c>
      <c r="F2619" s="30">
        <v>1</v>
      </c>
      <c r="G2619" s="31">
        <v>220.55</v>
      </c>
      <c r="H2619" s="31">
        <f t="shared" si="159"/>
        <v>220.55</v>
      </c>
      <c r="I2619" s="170" t="s">
        <v>2842</v>
      </c>
      <c r="J2619" t="s">
        <v>2853</v>
      </c>
      <c r="K2619" s="188" t="s">
        <v>2853</v>
      </c>
    </row>
    <row r="2620" spans="1:11" x14ac:dyDescent="0.25">
      <c r="A2620" t="s">
        <v>7089</v>
      </c>
      <c r="B2620" s="27" t="s">
        <v>2663</v>
      </c>
      <c r="D2620" s="28" t="s">
        <v>4524</v>
      </c>
      <c r="E2620" s="29" t="s">
        <v>671</v>
      </c>
      <c r="F2620" s="30">
        <v>1</v>
      </c>
      <c r="G2620" s="31">
        <v>220.55</v>
      </c>
      <c r="H2620" s="31">
        <f t="shared" si="159"/>
        <v>220.55</v>
      </c>
      <c r="I2620" s="170" t="s">
        <v>2842</v>
      </c>
      <c r="J2620" t="s">
        <v>2853</v>
      </c>
      <c r="K2620" s="188" t="s">
        <v>2853</v>
      </c>
    </row>
    <row r="2621" spans="1:11" x14ac:dyDescent="0.25">
      <c r="A2621" t="s">
        <v>7090</v>
      </c>
      <c r="B2621" s="27" t="s">
        <v>2664</v>
      </c>
      <c r="D2621" s="28" t="s">
        <v>4525</v>
      </c>
      <c r="E2621" s="29" t="s">
        <v>21</v>
      </c>
      <c r="F2621" s="30">
        <v>1</v>
      </c>
      <c r="G2621" s="31">
        <v>247</v>
      </c>
      <c r="H2621" s="31">
        <f t="shared" si="159"/>
        <v>247</v>
      </c>
      <c r="I2621" s="170" t="s">
        <v>2842</v>
      </c>
      <c r="J2621" t="s">
        <v>2853</v>
      </c>
      <c r="K2621" s="188" t="s">
        <v>2853</v>
      </c>
    </row>
    <row r="2622" spans="1:11" x14ac:dyDescent="0.25">
      <c r="A2622" t="s">
        <v>7091</v>
      </c>
      <c r="B2622" s="27" t="s">
        <v>2665</v>
      </c>
      <c r="D2622" s="28" t="s">
        <v>4526</v>
      </c>
      <c r="E2622" s="29" t="s">
        <v>21</v>
      </c>
      <c r="F2622" s="30">
        <v>1</v>
      </c>
      <c r="G2622" s="31">
        <v>247</v>
      </c>
      <c r="H2622" s="31">
        <f t="shared" si="159"/>
        <v>247</v>
      </c>
      <c r="I2622" s="170" t="s">
        <v>2842</v>
      </c>
      <c r="J2622" t="s">
        <v>2853</v>
      </c>
      <c r="K2622" s="188" t="s">
        <v>2853</v>
      </c>
    </row>
    <row r="2623" spans="1:11" x14ac:dyDescent="0.25">
      <c r="A2623" t="s">
        <v>7092</v>
      </c>
      <c r="B2623" s="27" t="s">
        <v>2666</v>
      </c>
      <c r="D2623" s="28" t="s">
        <v>4527</v>
      </c>
      <c r="E2623" s="29" t="s">
        <v>21</v>
      </c>
      <c r="F2623" s="30">
        <v>1</v>
      </c>
      <c r="G2623" s="31">
        <v>247</v>
      </c>
      <c r="H2623" s="31">
        <f t="shared" si="159"/>
        <v>247</v>
      </c>
      <c r="I2623" s="170" t="s">
        <v>2842</v>
      </c>
      <c r="J2623" t="s">
        <v>2853</v>
      </c>
      <c r="K2623" s="188" t="s">
        <v>2853</v>
      </c>
    </row>
    <row r="2624" spans="1:11" x14ac:dyDescent="0.25">
      <c r="A2624" t="s">
        <v>7093</v>
      </c>
      <c r="B2624" s="27" t="s">
        <v>2667</v>
      </c>
      <c r="D2624" s="28" t="s">
        <v>4528</v>
      </c>
      <c r="E2624" s="29" t="s">
        <v>563</v>
      </c>
      <c r="F2624" s="30">
        <v>1</v>
      </c>
      <c r="G2624" s="31">
        <v>247</v>
      </c>
      <c r="H2624" s="31">
        <f t="shared" si="159"/>
        <v>247</v>
      </c>
      <c r="I2624" s="170" t="s">
        <v>2842</v>
      </c>
      <c r="J2624" t="s">
        <v>2853</v>
      </c>
      <c r="K2624" s="188" t="s">
        <v>2853</v>
      </c>
    </row>
    <row r="2625" spans="1:11" x14ac:dyDescent="0.25">
      <c r="A2625" t="s">
        <v>7094</v>
      </c>
      <c r="B2625" s="27" t="s">
        <v>2668</v>
      </c>
      <c r="D2625" s="28" t="s">
        <v>4529</v>
      </c>
      <c r="E2625" s="29" t="s">
        <v>563</v>
      </c>
      <c r="F2625" s="30">
        <v>1</v>
      </c>
      <c r="G2625" s="31">
        <v>247</v>
      </c>
      <c r="H2625" s="31">
        <f t="shared" si="159"/>
        <v>247</v>
      </c>
      <c r="I2625" s="170" t="s">
        <v>2842</v>
      </c>
      <c r="J2625" t="s">
        <v>2853</v>
      </c>
      <c r="K2625" s="188" t="s">
        <v>2853</v>
      </c>
    </row>
    <row r="2626" spans="1:11" x14ac:dyDescent="0.25">
      <c r="A2626" t="s">
        <v>7095</v>
      </c>
      <c r="B2626" s="27" t="s">
        <v>2669</v>
      </c>
      <c r="D2626" s="28" t="s">
        <v>4530</v>
      </c>
      <c r="E2626" s="29" t="s">
        <v>563</v>
      </c>
      <c r="F2626" s="30">
        <v>1</v>
      </c>
      <c r="G2626" s="31">
        <v>247</v>
      </c>
      <c r="H2626" s="31">
        <f t="shared" si="159"/>
        <v>247</v>
      </c>
      <c r="I2626" s="170" t="s">
        <v>2842</v>
      </c>
      <c r="J2626" t="s">
        <v>2853</v>
      </c>
      <c r="K2626" s="188" t="s">
        <v>2853</v>
      </c>
    </row>
    <row r="2627" spans="1:11" x14ac:dyDescent="0.25">
      <c r="A2627" t="s">
        <v>7096</v>
      </c>
      <c r="B2627" s="27" t="s">
        <v>2670</v>
      </c>
      <c r="D2627" s="28" t="s">
        <v>4531</v>
      </c>
      <c r="E2627" s="29" t="s">
        <v>671</v>
      </c>
      <c r="F2627" s="30">
        <v>1</v>
      </c>
      <c r="G2627" s="31">
        <v>247</v>
      </c>
      <c r="H2627" s="31">
        <f t="shared" si="159"/>
        <v>247</v>
      </c>
      <c r="I2627" s="170" t="s">
        <v>2842</v>
      </c>
      <c r="J2627" t="s">
        <v>2853</v>
      </c>
      <c r="K2627" s="188" t="s">
        <v>2853</v>
      </c>
    </row>
    <row r="2628" spans="1:11" x14ac:dyDescent="0.25">
      <c r="A2628" t="s">
        <v>7097</v>
      </c>
      <c r="B2628" s="27" t="s">
        <v>2671</v>
      </c>
      <c r="D2628" s="28" t="s">
        <v>4532</v>
      </c>
      <c r="E2628" s="29" t="s">
        <v>671</v>
      </c>
      <c r="F2628" s="30">
        <v>1</v>
      </c>
      <c r="G2628" s="31">
        <v>247</v>
      </c>
      <c r="H2628" s="31">
        <f t="shared" si="159"/>
        <v>247</v>
      </c>
      <c r="I2628" s="170" t="s">
        <v>2842</v>
      </c>
      <c r="J2628" t="s">
        <v>2853</v>
      </c>
      <c r="K2628" s="188" t="s">
        <v>2853</v>
      </c>
    </row>
    <row r="2629" spans="1:11" x14ac:dyDescent="0.25">
      <c r="A2629" t="s">
        <v>7098</v>
      </c>
      <c r="B2629" s="27" t="s">
        <v>2672</v>
      </c>
      <c r="D2629" s="28" t="s">
        <v>4533</v>
      </c>
      <c r="E2629" s="29" t="s">
        <v>671</v>
      </c>
      <c r="F2629" s="30">
        <v>1</v>
      </c>
      <c r="G2629" s="31">
        <v>247</v>
      </c>
      <c r="H2629" s="31">
        <f t="shared" si="159"/>
        <v>247</v>
      </c>
      <c r="I2629" s="170" t="s">
        <v>2842</v>
      </c>
      <c r="J2629" t="s">
        <v>2853</v>
      </c>
      <c r="K2629" s="188" t="s">
        <v>2853</v>
      </c>
    </row>
    <row r="2630" spans="1:11" x14ac:dyDescent="0.25">
      <c r="A2630" t="s">
        <v>7099</v>
      </c>
      <c r="B2630" s="27" t="s">
        <v>2673</v>
      </c>
      <c r="D2630" s="28" t="s">
        <v>4534</v>
      </c>
      <c r="E2630" s="29" t="s">
        <v>21</v>
      </c>
      <c r="F2630" s="30">
        <v>1</v>
      </c>
      <c r="G2630" s="31">
        <v>187.5</v>
      </c>
      <c r="H2630" s="31">
        <f t="shared" si="159"/>
        <v>187.5</v>
      </c>
      <c r="I2630" s="170" t="s">
        <v>2842</v>
      </c>
      <c r="J2630" t="s">
        <v>2853</v>
      </c>
      <c r="K2630" s="188" t="s">
        <v>2853</v>
      </c>
    </row>
    <row r="2631" spans="1:11" x14ac:dyDescent="0.25">
      <c r="A2631" t="s">
        <v>7100</v>
      </c>
      <c r="B2631" s="27" t="s">
        <v>2674</v>
      </c>
      <c r="D2631" s="28" t="s">
        <v>4535</v>
      </c>
      <c r="E2631" s="29" t="s">
        <v>21</v>
      </c>
      <c r="F2631" s="30">
        <v>1</v>
      </c>
      <c r="G2631" s="31">
        <v>187.5</v>
      </c>
      <c r="H2631" s="31">
        <f t="shared" si="159"/>
        <v>187.5</v>
      </c>
      <c r="I2631" s="170" t="s">
        <v>2842</v>
      </c>
      <c r="J2631" t="s">
        <v>2853</v>
      </c>
      <c r="K2631" s="188" t="s">
        <v>2853</v>
      </c>
    </row>
    <row r="2632" spans="1:11" x14ac:dyDescent="0.25">
      <c r="A2632" t="s">
        <v>7101</v>
      </c>
      <c r="B2632" s="27" t="s">
        <v>2675</v>
      </c>
      <c r="D2632" s="28" t="s">
        <v>4536</v>
      </c>
      <c r="E2632" s="29" t="s">
        <v>21</v>
      </c>
      <c r="F2632" s="30">
        <v>1</v>
      </c>
      <c r="G2632" s="31">
        <v>187.5</v>
      </c>
      <c r="H2632" s="31">
        <f t="shared" si="159"/>
        <v>187.5</v>
      </c>
      <c r="I2632" s="170" t="s">
        <v>2842</v>
      </c>
      <c r="J2632" t="s">
        <v>2853</v>
      </c>
      <c r="K2632" s="188" t="s">
        <v>2853</v>
      </c>
    </row>
    <row r="2633" spans="1:11" x14ac:dyDescent="0.25">
      <c r="A2633" t="s">
        <v>7102</v>
      </c>
      <c r="B2633" s="27" t="s">
        <v>2676</v>
      </c>
      <c r="D2633" s="28" t="s">
        <v>4537</v>
      </c>
      <c r="E2633" s="29" t="s">
        <v>563</v>
      </c>
      <c r="F2633" s="30">
        <v>1</v>
      </c>
      <c r="G2633" s="31">
        <v>187.5</v>
      </c>
      <c r="H2633" s="31">
        <f t="shared" si="159"/>
        <v>187.5</v>
      </c>
      <c r="I2633" s="170" t="s">
        <v>2842</v>
      </c>
      <c r="J2633" t="s">
        <v>2853</v>
      </c>
      <c r="K2633" s="188" t="s">
        <v>2853</v>
      </c>
    </row>
    <row r="2634" spans="1:11" x14ac:dyDescent="0.25">
      <c r="A2634" t="s">
        <v>7103</v>
      </c>
      <c r="B2634" s="27" t="s">
        <v>2677</v>
      </c>
      <c r="D2634" s="28" t="s">
        <v>4538</v>
      </c>
      <c r="E2634" s="29" t="s">
        <v>563</v>
      </c>
      <c r="F2634" s="30">
        <v>1</v>
      </c>
      <c r="G2634" s="31">
        <v>187.5</v>
      </c>
      <c r="H2634" s="31">
        <f t="shared" si="159"/>
        <v>187.5</v>
      </c>
      <c r="I2634" s="170" t="s">
        <v>2842</v>
      </c>
      <c r="J2634" t="s">
        <v>2853</v>
      </c>
      <c r="K2634" s="188" t="s">
        <v>2853</v>
      </c>
    </row>
    <row r="2635" spans="1:11" x14ac:dyDescent="0.25">
      <c r="A2635" t="s">
        <v>7104</v>
      </c>
      <c r="B2635" s="27" t="s">
        <v>2678</v>
      </c>
      <c r="D2635" s="28" t="s">
        <v>4539</v>
      </c>
      <c r="E2635" s="29" t="s">
        <v>563</v>
      </c>
      <c r="F2635" s="30">
        <v>1</v>
      </c>
      <c r="G2635" s="31">
        <v>187.5</v>
      </c>
      <c r="H2635" s="31">
        <f t="shared" si="159"/>
        <v>187.5</v>
      </c>
      <c r="I2635" s="170" t="s">
        <v>2842</v>
      </c>
      <c r="J2635" t="s">
        <v>2853</v>
      </c>
      <c r="K2635" s="188" t="s">
        <v>2853</v>
      </c>
    </row>
    <row r="2636" spans="1:11" x14ac:dyDescent="0.25">
      <c r="A2636" t="s">
        <v>7105</v>
      </c>
      <c r="B2636" s="27" t="s">
        <v>2679</v>
      </c>
      <c r="D2636" s="28" t="s">
        <v>4540</v>
      </c>
      <c r="E2636" s="29" t="s">
        <v>671</v>
      </c>
      <c r="F2636" s="30">
        <v>1</v>
      </c>
      <c r="G2636" s="31">
        <v>187.5</v>
      </c>
      <c r="H2636" s="31">
        <f t="shared" si="159"/>
        <v>187.5</v>
      </c>
      <c r="I2636" s="170" t="s">
        <v>2842</v>
      </c>
      <c r="J2636" t="s">
        <v>2853</v>
      </c>
      <c r="K2636" s="188" t="s">
        <v>2853</v>
      </c>
    </row>
    <row r="2637" spans="1:11" x14ac:dyDescent="0.25">
      <c r="A2637" t="s">
        <v>7106</v>
      </c>
      <c r="B2637" s="27" t="s">
        <v>2680</v>
      </c>
      <c r="D2637" s="28" t="s">
        <v>4541</v>
      </c>
      <c r="E2637" s="29" t="s">
        <v>671</v>
      </c>
      <c r="F2637" s="30">
        <v>1</v>
      </c>
      <c r="G2637" s="31">
        <v>187.5</v>
      </c>
      <c r="H2637" s="31">
        <f t="shared" si="159"/>
        <v>187.5</v>
      </c>
      <c r="I2637" s="170" t="s">
        <v>2842</v>
      </c>
      <c r="J2637" t="s">
        <v>2853</v>
      </c>
      <c r="K2637" s="188" t="s">
        <v>2853</v>
      </c>
    </row>
    <row r="2638" spans="1:11" x14ac:dyDescent="0.25">
      <c r="A2638" t="s">
        <v>7107</v>
      </c>
      <c r="B2638" s="27" t="s">
        <v>2681</v>
      </c>
      <c r="D2638" s="28" t="s">
        <v>4542</v>
      </c>
      <c r="E2638" s="29" t="s">
        <v>671</v>
      </c>
      <c r="F2638" s="30">
        <v>1</v>
      </c>
      <c r="G2638" s="31">
        <v>187.5</v>
      </c>
      <c r="H2638" s="31">
        <f t="shared" si="159"/>
        <v>187.5</v>
      </c>
      <c r="I2638" s="170" t="s">
        <v>2842</v>
      </c>
      <c r="J2638" t="s">
        <v>2853</v>
      </c>
      <c r="K2638" s="188" t="s">
        <v>2853</v>
      </c>
    </row>
    <row r="2639" spans="1:11" x14ac:dyDescent="0.25">
      <c r="A2639" t="s">
        <v>7108</v>
      </c>
      <c r="B2639" s="27" t="s">
        <v>2682</v>
      </c>
      <c r="D2639" s="28" t="s">
        <v>4543</v>
      </c>
      <c r="E2639" s="29" t="s">
        <v>21</v>
      </c>
      <c r="F2639" s="30">
        <v>1</v>
      </c>
      <c r="G2639" s="31">
        <v>207.33</v>
      </c>
      <c r="H2639" s="31">
        <f t="shared" si="159"/>
        <v>207.33</v>
      </c>
      <c r="I2639" s="170" t="s">
        <v>2842</v>
      </c>
      <c r="J2639" t="s">
        <v>2853</v>
      </c>
      <c r="K2639" s="188" t="s">
        <v>2853</v>
      </c>
    </row>
    <row r="2640" spans="1:11" x14ac:dyDescent="0.25">
      <c r="A2640" t="s">
        <v>7109</v>
      </c>
      <c r="B2640" s="27" t="s">
        <v>2683</v>
      </c>
      <c r="D2640" s="28" t="s">
        <v>4544</v>
      </c>
      <c r="E2640" s="29" t="s">
        <v>21</v>
      </c>
      <c r="F2640" s="30">
        <v>1</v>
      </c>
      <c r="G2640" s="31">
        <v>207.33</v>
      </c>
      <c r="H2640" s="31">
        <f t="shared" si="159"/>
        <v>207.33</v>
      </c>
      <c r="I2640" s="170" t="s">
        <v>2842</v>
      </c>
      <c r="J2640" t="s">
        <v>2853</v>
      </c>
      <c r="K2640" s="188" t="s">
        <v>2853</v>
      </c>
    </row>
    <row r="2641" spans="1:11" x14ac:dyDescent="0.25">
      <c r="A2641" t="s">
        <v>7110</v>
      </c>
      <c r="B2641" s="27" t="s">
        <v>2684</v>
      </c>
      <c r="D2641" s="28" t="s">
        <v>4545</v>
      </c>
      <c r="E2641" s="29" t="s">
        <v>21</v>
      </c>
      <c r="F2641" s="30">
        <v>1</v>
      </c>
      <c r="G2641" s="31">
        <v>207.33</v>
      </c>
      <c r="H2641" s="31">
        <f t="shared" si="159"/>
        <v>207.33</v>
      </c>
      <c r="I2641" s="170" t="s">
        <v>2842</v>
      </c>
      <c r="J2641" t="s">
        <v>2853</v>
      </c>
      <c r="K2641" s="188" t="s">
        <v>2853</v>
      </c>
    </row>
    <row r="2642" spans="1:11" x14ac:dyDescent="0.25">
      <c r="A2642" t="s">
        <v>7111</v>
      </c>
      <c r="B2642" s="27" t="s">
        <v>2685</v>
      </c>
      <c r="D2642" s="28" t="s">
        <v>4546</v>
      </c>
      <c r="E2642" s="29" t="s">
        <v>563</v>
      </c>
      <c r="F2642" s="30">
        <v>1</v>
      </c>
      <c r="G2642" s="31">
        <v>207.33</v>
      </c>
      <c r="H2642" s="31">
        <f t="shared" si="159"/>
        <v>207.33</v>
      </c>
      <c r="I2642" s="170" t="s">
        <v>2842</v>
      </c>
      <c r="J2642" t="s">
        <v>2853</v>
      </c>
      <c r="K2642" s="188" t="s">
        <v>2853</v>
      </c>
    </row>
    <row r="2643" spans="1:11" x14ac:dyDescent="0.25">
      <c r="A2643" t="s">
        <v>7112</v>
      </c>
      <c r="B2643" s="27" t="s">
        <v>2686</v>
      </c>
      <c r="D2643" s="28" t="s">
        <v>4547</v>
      </c>
      <c r="E2643" s="29" t="s">
        <v>563</v>
      </c>
      <c r="F2643" s="30">
        <v>1</v>
      </c>
      <c r="G2643" s="31">
        <v>207.33</v>
      </c>
      <c r="H2643" s="31">
        <f t="shared" si="159"/>
        <v>207.33</v>
      </c>
      <c r="I2643" s="170" t="s">
        <v>2842</v>
      </c>
      <c r="J2643" t="s">
        <v>2853</v>
      </c>
      <c r="K2643" s="188" t="s">
        <v>2853</v>
      </c>
    </row>
    <row r="2644" spans="1:11" x14ac:dyDescent="0.25">
      <c r="A2644" t="s">
        <v>7113</v>
      </c>
      <c r="B2644" s="27" t="s">
        <v>2687</v>
      </c>
      <c r="D2644" s="28" t="s">
        <v>4548</v>
      </c>
      <c r="E2644" s="29" t="s">
        <v>563</v>
      </c>
      <c r="F2644" s="30">
        <v>1</v>
      </c>
      <c r="G2644" s="31">
        <v>207.33</v>
      </c>
      <c r="H2644" s="31">
        <f t="shared" si="159"/>
        <v>207.33</v>
      </c>
      <c r="I2644" s="170" t="s">
        <v>2842</v>
      </c>
      <c r="J2644" t="s">
        <v>2853</v>
      </c>
      <c r="K2644" s="188" t="s">
        <v>2853</v>
      </c>
    </row>
    <row r="2645" spans="1:11" x14ac:dyDescent="0.25">
      <c r="A2645" t="s">
        <v>7114</v>
      </c>
      <c r="B2645" s="27" t="s">
        <v>2688</v>
      </c>
      <c r="D2645" s="28" t="s">
        <v>4549</v>
      </c>
      <c r="E2645" s="29" t="s">
        <v>671</v>
      </c>
      <c r="F2645" s="30">
        <v>1</v>
      </c>
      <c r="G2645" s="31">
        <v>207.33</v>
      </c>
      <c r="H2645" s="31">
        <f t="shared" si="159"/>
        <v>207.33</v>
      </c>
      <c r="I2645" s="170" t="s">
        <v>2842</v>
      </c>
      <c r="J2645" t="s">
        <v>2853</v>
      </c>
      <c r="K2645" s="188" t="s">
        <v>2853</v>
      </c>
    </row>
    <row r="2646" spans="1:11" x14ac:dyDescent="0.25">
      <c r="A2646" t="s">
        <v>7115</v>
      </c>
      <c r="B2646" s="27" t="s">
        <v>2689</v>
      </c>
      <c r="D2646" s="28" t="s">
        <v>4550</v>
      </c>
      <c r="E2646" s="29" t="s">
        <v>671</v>
      </c>
      <c r="F2646" s="30">
        <v>1</v>
      </c>
      <c r="G2646" s="31">
        <v>207.33</v>
      </c>
      <c r="H2646" s="31">
        <f t="shared" si="159"/>
        <v>207.33</v>
      </c>
      <c r="I2646" s="170" t="s">
        <v>2842</v>
      </c>
      <c r="J2646" t="s">
        <v>2853</v>
      </c>
      <c r="K2646" s="188" t="s">
        <v>2853</v>
      </c>
    </row>
    <row r="2647" spans="1:11" x14ac:dyDescent="0.25">
      <c r="A2647" t="s">
        <v>7116</v>
      </c>
      <c r="B2647" s="27" t="s">
        <v>2690</v>
      </c>
      <c r="D2647" s="28" t="s">
        <v>4551</v>
      </c>
      <c r="E2647" s="29" t="s">
        <v>671</v>
      </c>
      <c r="F2647" s="30">
        <v>1</v>
      </c>
      <c r="G2647" s="31">
        <v>207.33</v>
      </c>
      <c r="H2647" s="31">
        <f t="shared" si="159"/>
        <v>207.33</v>
      </c>
      <c r="I2647" s="170" t="s">
        <v>2842</v>
      </c>
      <c r="J2647" t="s">
        <v>2853</v>
      </c>
      <c r="K2647" s="188" t="s">
        <v>2853</v>
      </c>
    </row>
    <row r="2648" spans="1:11" x14ac:dyDescent="0.25">
      <c r="A2648" t="s">
        <v>7117</v>
      </c>
      <c r="B2648" s="27" t="s">
        <v>2691</v>
      </c>
      <c r="D2648" s="28" t="s">
        <v>4552</v>
      </c>
      <c r="E2648" s="29" t="s">
        <v>21</v>
      </c>
      <c r="F2648" s="30">
        <v>1</v>
      </c>
      <c r="G2648" s="31">
        <v>227.18</v>
      </c>
      <c r="H2648" s="31">
        <f t="shared" ref="H2648:H2711" si="160">+F2648*G2648</f>
        <v>227.18</v>
      </c>
      <c r="I2648" s="170" t="s">
        <v>2842</v>
      </c>
      <c r="J2648" t="s">
        <v>2853</v>
      </c>
      <c r="K2648" s="188" t="s">
        <v>2853</v>
      </c>
    </row>
    <row r="2649" spans="1:11" x14ac:dyDescent="0.25">
      <c r="A2649" t="s">
        <v>7118</v>
      </c>
      <c r="B2649" s="27" t="s">
        <v>2692</v>
      </c>
      <c r="D2649" s="28" t="s">
        <v>4553</v>
      </c>
      <c r="E2649" s="29" t="s">
        <v>21</v>
      </c>
      <c r="F2649" s="30">
        <v>1</v>
      </c>
      <c r="G2649" s="31">
        <v>227.18</v>
      </c>
      <c r="H2649" s="31">
        <f t="shared" si="160"/>
        <v>227.18</v>
      </c>
      <c r="I2649" s="170" t="s">
        <v>2842</v>
      </c>
      <c r="J2649" t="s">
        <v>2853</v>
      </c>
      <c r="K2649" s="188" t="s">
        <v>2853</v>
      </c>
    </row>
    <row r="2650" spans="1:11" x14ac:dyDescent="0.25">
      <c r="A2650" t="s">
        <v>7119</v>
      </c>
      <c r="B2650" s="27" t="s">
        <v>2693</v>
      </c>
      <c r="D2650" s="28" t="s">
        <v>4554</v>
      </c>
      <c r="E2650" s="29" t="s">
        <v>21</v>
      </c>
      <c r="F2650" s="30">
        <v>1</v>
      </c>
      <c r="G2650" s="31">
        <v>227.18</v>
      </c>
      <c r="H2650" s="31">
        <f t="shared" si="160"/>
        <v>227.18</v>
      </c>
      <c r="I2650" s="170" t="s">
        <v>2842</v>
      </c>
      <c r="J2650" t="s">
        <v>2853</v>
      </c>
      <c r="K2650" s="188" t="s">
        <v>2853</v>
      </c>
    </row>
    <row r="2651" spans="1:11" x14ac:dyDescent="0.25">
      <c r="A2651" t="s">
        <v>7120</v>
      </c>
      <c r="B2651" s="27" t="s">
        <v>2694</v>
      </c>
      <c r="D2651" s="28" t="s">
        <v>4555</v>
      </c>
      <c r="E2651" s="29" t="s">
        <v>563</v>
      </c>
      <c r="F2651" s="30">
        <v>1</v>
      </c>
      <c r="G2651" s="31">
        <v>227.18</v>
      </c>
      <c r="H2651" s="31">
        <f t="shared" si="160"/>
        <v>227.18</v>
      </c>
      <c r="I2651" s="170" t="s">
        <v>2842</v>
      </c>
      <c r="J2651" t="s">
        <v>2853</v>
      </c>
      <c r="K2651" s="188" t="s">
        <v>2853</v>
      </c>
    </row>
    <row r="2652" spans="1:11" x14ac:dyDescent="0.25">
      <c r="A2652" t="s">
        <v>7121</v>
      </c>
      <c r="B2652" s="27" t="s">
        <v>2695</v>
      </c>
      <c r="D2652" s="28" t="s">
        <v>4556</v>
      </c>
      <c r="E2652" s="29" t="s">
        <v>563</v>
      </c>
      <c r="F2652" s="30">
        <v>1</v>
      </c>
      <c r="G2652" s="31">
        <v>227.18</v>
      </c>
      <c r="H2652" s="31">
        <f t="shared" si="160"/>
        <v>227.18</v>
      </c>
      <c r="I2652" s="170" t="s">
        <v>2842</v>
      </c>
      <c r="J2652" t="s">
        <v>2853</v>
      </c>
      <c r="K2652" s="188" t="s">
        <v>2853</v>
      </c>
    </row>
    <row r="2653" spans="1:11" x14ac:dyDescent="0.25">
      <c r="A2653" t="s">
        <v>7122</v>
      </c>
      <c r="B2653" s="27" t="s">
        <v>2696</v>
      </c>
      <c r="D2653" s="28" t="s">
        <v>4557</v>
      </c>
      <c r="E2653" s="29" t="s">
        <v>563</v>
      </c>
      <c r="F2653" s="30">
        <v>1</v>
      </c>
      <c r="G2653" s="31">
        <v>227.18</v>
      </c>
      <c r="H2653" s="31">
        <f t="shared" si="160"/>
        <v>227.18</v>
      </c>
      <c r="I2653" s="170" t="s">
        <v>2842</v>
      </c>
      <c r="J2653" t="s">
        <v>2853</v>
      </c>
      <c r="K2653" s="188" t="s">
        <v>2853</v>
      </c>
    </row>
    <row r="2654" spans="1:11" x14ac:dyDescent="0.25">
      <c r="A2654" t="s">
        <v>7123</v>
      </c>
      <c r="B2654" s="27" t="s">
        <v>2697</v>
      </c>
      <c r="D2654" s="28" t="s">
        <v>4558</v>
      </c>
      <c r="E2654" s="29" t="s">
        <v>671</v>
      </c>
      <c r="F2654" s="30">
        <v>1</v>
      </c>
      <c r="G2654" s="31">
        <v>227.18</v>
      </c>
      <c r="H2654" s="31">
        <f t="shared" si="160"/>
        <v>227.18</v>
      </c>
      <c r="I2654" s="170" t="s">
        <v>2842</v>
      </c>
      <c r="J2654" t="s">
        <v>2853</v>
      </c>
      <c r="K2654" s="188" t="s">
        <v>2853</v>
      </c>
    </row>
    <row r="2655" spans="1:11" x14ac:dyDescent="0.25">
      <c r="A2655" t="s">
        <v>7124</v>
      </c>
      <c r="B2655" s="27" t="s">
        <v>2698</v>
      </c>
      <c r="D2655" s="28" t="s">
        <v>4559</v>
      </c>
      <c r="E2655" s="29" t="s">
        <v>671</v>
      </c>
      <c r="F2655" s="30">
        <v>1</v>
      </c>
      <c r="G2655" s="31">
        <v>227.18</v>
      </c>
      <c r="H2655" s="31">
        <f t="shared" si="160"/>
        <v>227.18</v>
      </c>
      <c r="I2655" s="170" t="s">
        <v>2842</v>
      </c>
      <c r="J2655" t="s">
        <v>2853</v>
      </c>
      <c r="K2655" s="188" t="s">
        <v>2853</v>
      </c>
    </row>
    <row r="2656" spans="1:11" x14ac:dyDescent="0.25">
      <c r="A2656" t="s">
        <v>7125</v>
      </c>
      <c r="B2656" s="27" t="s">
        <v>2699</v>
      </c>
      <c r="D2656" s="28" t="s">
        <v>4560</v>
      </c>
      <c r="E2656" s="29" t="s">
        <v>671</v>
      </c>
      <c r="F2656" s="30">
        <v>1</v>
      </c>
      <c r="G2656" s="31">
        <v>227.18</v>
      </c>
      <c r="H2656" s="31">
        <f t="shared" si="160"/>
        <v>227.18</v>
      </c>
      <c r="I2656" s="170" t="s">
        <v>2842</v>
      </c>
      <c r="J2656" t="s">
        <v>2853</v>
      </c>
      <c r="K2656" s="188" t="s">
        <v>2853</v>
      </c>
    </row>
    <row r="2657" spans="1:11" x14ac:dyDescent="0.25">
      <c r="A2657" t="s">
        <v>7126</v>
      </c>
      <c r="B2657" s="27" t="s">
        <v>2700</v>
      </c>
      <c r="D2657" s="28" t="s">
        <v>4561</v>
      </c>
      <c r="E2657" s="29" t="s">
        <v>21</v>
      </c>
      <c r="F2657" s="30">
        <v>1</v>
      </c>
      <c r="G2657" s="31">
        <v>247</v>
      </c>
      <c r="H2657" s="31">
        <f t="shared" si="160"/>
        <v>247</v>
      </c>
      <c r="I2657" s="170" t="s">
        <v>2842</v>
      </c>
      <c r="J2657" t="s">
        <v>2853</v>
      </c>
      <c r="K2657" s="188" t="s">
        <v>2853</v>
      </c>
    </row>
    <row r="2658" spans="1:11" x14ac:dyDescent="0.25">
      <c r="A2658" t="s">
        <v>7127</v>
      </c>
      <c r="B2658" s="27" t="s">
        <v>2701</v>
      </c>
      <c r="D2658" s="28" t="s">
        <v>4562</v>
      </c>
      <c r="E2658" s="29" t="s">
        <v>21</v>
      </c>
      <c r="F2658" s="30">
        <v>1</v>
      </c>
      <c r="G2658" s="31">
        <v>247</v>
      </c>
      <c r="H2658" s="31">
        <f t="shared" si="160"/>
        <v>247</v>
      </c>
      <c r="I2658" s="170" t="s">
        <v>2842</v>
      </c>
      <c r="J2658" t="s">
        <v>2853</v>
      </c>
      <c r="K2658" s="188" t="s">
        <v>2853</v>
      </c>
    </row>
    <row r="2659" spans="1:11" x14ac:dyDescent="0.25">
      <c r="A2659" t="s">
        <v>7128</v>
      </c>
      <c r="B2659" s="27" t="s">
        <v>2702</v>
      </c>
      <c r="D2659" s="28" t="s">
        <v>4563</v>
      </c>
      <c r="E2659" s="29" t="s">
        <v>21</v>
      </c>
      <c r="F2659" s="30">
        <v>1</v>
      </c>
      <c r="G2659" s="31">
        <v>247</v>
      </c>
      <c r="H2659" s="31">
        <f t="shared" si="160"/>
        <v>247</v>
      </c>
      <c r="I2659" s="170" t="s">
        <v>2842</v>
      </c>
      <c r="J2659" t="s">
        <v>2853</v>
      </c>
      <c r="K2659" s="188" t="s">
        <v>2853</v>
      </c>
    </row>
    <row r="2660" spans="1:11" x14ac:dyDescent="0.25">
      <c r="A2660" t="s">
        <v>7129</v>
      </c>
      <c r="B2660" s="27" t="s">
        <v>2703</v>
      </c>
      <c r="D2660" s="28" t="s">
        <v>4564</v>
      </c>
      <c r="E2660" s="29" t="s">
        <v>563</v>
      </c>
      <c r="F2660" s="30">
        <v>1</v>
      </c>
      <c r="G2660" s="31">
        <v>247</v>
      </c>
      <c r="H2660" s="31">
        <f t="shared" si="160"/>
        <v>247</v>
      </c>
      <c r="I2660" s="170" t="s">
        <v>2842</v>
      </c>
      <c r="J2660" t="s">
        <v>2853</v>
      </c>
      <c r="K2660" s="188" t="s">
        <v>2853</v>
      </c>
    </row>
    <row r="2661" spans="1:11" x14ac:dyDescent="0.25">
      <c r="A2661" t="s">
        <v>7130</v>
      </c>
      <c r="B2661" s="27" t="s">
        <v>2704</v>
      </c>
      <c r="D2661" s="28" t="s">
        <v>4565</v>
      </c>
      <c r="E2661" s="29" t="s">
        <v>563</v>
      </c>
      <c r="F2661" s="30">
        <v>1</v>
      </c>
      <c r="G2661" s="31">
        <v>247</v>
      </c>
      <c r="H2661" s="31">
        <f t="shared" si="160"/>
        <v>247</v>
      </c>
      <c r="I2661" s="170" t="s">
        <v>2842</v>
      </c>
      <c r="J2661" t="s">
        <v>2853</v>
      </c>
      <c r="K2661" s="188" t="s">
        <v>2853</v>
      </c>
    </row>
    <row r="2662" spans="1:11" x14ac:dyDescent="0.25">
      <c r="A2662" t="s">
        <v>7131</v>
      </c>
      <c r="B2662" s="27" t="s">
        <v>2705</v>
      </c>
      <c r="D2662" s="28" t="s">
        <v>4566</v>
      </c>
      <c r="E2662" s="29" t="s">
        <v>563</v>
      </c>
      <c r="F2662" s="30">
        <v>1</v>
      </c>
      <c r="G2662" s="31">
        <v>247</v>
      </c>
      <c r="H2662" s="31">
        <f t="shared" si="160"/>
        <v>247</v>
      </c>
      <c r="I2662" s="170" t="s">
        <v>2842</v>
      </c>
      <c r="J2662" t="s">
        <v>2853</v>
      </c>
      <c r="K2662" s="188" t="s">
        <v>2853</v>
      </c>
    </row>
    <row r="2663" spans="1:11" x14ac:dyDescent="0.25">
      <c r="A2663" t="s">
        <v>7132</v>
      </c>
      <c r="B2663" s="27" t="s">
        <v>2706</v>
      </c>
      <c r="D2663" s="28" t="s">
        <v>4567</v>
      </c>
      <c r="E2663" s="29" t="s">
        <v>671</v>
      </c>
      <c r="F2663" s="30">
        <v>1</v>
      </c>
      <c r="G2663" s="31">
        <v>247</v>
      </c>
      <c r="H2663" s="31">
        <f t="shared" si="160"/>
        <v>247</v>
      </c>
      <c r="I2663" s="170" t="s">
        <v>2842</v>
      </c>
      <c r="J2663" t="s">
        <v>2853</v>
      </c>
      <c r="K2663" s="188" t="s">
        <v>2853</v>
      </c>
    </row>
    <row r="2664" spans="1:11" x14ac:dyDescent="0.25">
      <c r="A2664" t="s">
        <v>7133</v>
      </c>
      <c r="B2664" s="27" t="s">
        <v>2707</v>
      </c>
      <c r="D2664" s="28" t="s">
        <v>4568</v>
      </c>
      <c r="E2664" s="29" t="s">
        <v>671</v>
      </c>
      <c r="F2664" s="30">
        <v>1</v>
      </c>
      <c r="G2664" s="31">
        <v>247</v>
      </c>
      <c r="H2664" s="31">
        <f t="shared" si="160"/>
        <v>247</v>
      </c>
      <c r="I2664" s="170" t="s">
        <v>2842</v>
      </c>
      <c r="J2664" t="s">
        <v>2853</v>
      </c>
      <c r="K2664" s="188" t="s">
        <v>2853</v>
      </c>
    </row>
    <row r="2665" spans="1:11" x14ac:dyDescent="0.25">
      <c r="A2665" t="s">
        <v>7134</v>
      </c>
      <c r="B2665" s="27" t="s">
        <v>2708</v>
      </c>
      <c r="D2665" s="28" t="s">
        <v>4569</v>
      </c>
      <c r="E2665" s="29" t="s">
        <v>671</v>
      </c>
      <c r="F2665" s="30">
        <v>1</v>
      </c>
      <c r="G2665" s="31">
        <v>247</v>
      </c>
      <c r="H2665" s="31">
        <f t="shared" si="160"/>
        <v>247</v>
      </c>
      <c r="I2665" s="170" t="s">
        <v>2842</v>
      </c>
      <c r="J2665" t="s">
        <v>2853</v>
      </c>
      <c r="K2665" s="188" t="s">
        <v>2853</v>
      </c>
    </row>
    <row r="2666" spans="1:11" x14ac:dyDescent="0.25">
      <c r="A2666" t="s">
        <v>7135</v>
      </c>
      <c r="B2666" s="27" t="s">
        <v>2709</v>
      </c>
      <c r="D2666" s="28" t="s">
        <v>4570</v>
      </c>
      <c r="E2666" s="29" t="s">
        <v>21</v>
      </c>
      <c r="F2666" s="30">
        <v>1</v>
      </c>
      <c r="G2666" s="31">
        <v>200.73</v>
      </c>
      <c r="H2666" s="31">
        <f t="shared" si="160"/>
        <v>200.73</v>
      </c>
      <c r="I2666" s="170" t="s">
        <v>2842</v>
      </c>
      <c r="J2666" t="s">
        <v>2853</v>
      </c>
      <c r="K2666" s="188" t="s">
        <v>2853</v>
      </c>
    </row>
    <row r="2667" spans="1:11" x14ac:dyDescent="0.25">
      <c r="A2667" t="s">
        <v>7136</v>
      </c>
      <c r="B2667" s="27" t="s">
        <v>2710</v>
      </c>
      <c r="D2667" s="28" t="s">
        <v>4571</v>
      </c>
      <c r="E2667" s="29" t="s">
        <v>21</v>
      </c>
      <c r="F2667" s="30">
        <v>1</v>
      </c>
      <c r="G2667" s="31">
        <v>200.73</v>
      </c>
      <c r="H2667" s="31">
        <f t="shared" si="160"/>
        <v>200.73</v>
      </c>
      <c r="I2667" s="170" t="s">
        <v>2842</v>
      </c>
      <c r="J2667" t="s">
        <v>2853</v>
      </c>
      <c r="K2667" s="188" t="s">
        <v>2853</v>
      </c>
    </row>
    <row r="2668" spans="1:11" x14ac:dyDescent="0.25">
      <c r="A2668" t="s">
        <v>7137</v>
      </c>
      <c r="B2668" s="27" t="s">
        <v>2711</v>
      </c>
      <c r="D2668" s="28" t="s">
        <v>4572</v>
      </c>
      <c r="E2668" s="29" t="s">
        <v>21</v>
      </c>
      <c r="F2668" s="30">
        <v>1</v>
      </c>
      <c r="G2668" s="31">
        <v>200.73</v>
      </c>
      <c r="H2668" s="31">
        <f t="shared" si="160"/>
        <v>200.73</v>
      </c>
      <c r="I2668" s="170" t="s">
        <v>2842</v>
      </c>
      <c r="J2668" t="s">
        <v>2853</v>
      </c>
      <c r="K2668" s="188" t="s">
        <v>2853</v>
      </c>
    </row>
    <row r="2669" spans="1:11" x14ac:dyDescent="0.25">
      <c r="A2669" t="s">
        <v>7138</v>
      </c>
      <c r="B2669" s="27" t="s">
        <v>2712</v>
      </c>
      <c r="D2669" s="28" t="s">
        <v>4573</v>
      </c>
      <c r="E2669" s="29" t="s">
        <v>563</v>
      </c>
      <c r="F2669" s="30">
        <v>1</v>
      </c>
      <c r="G2669" s="31">
        <v>200.73</v>
      </c>
      <c r="H2669" s="31">
        <f t="shared" si="160"/>
        <v>200.73</v>
      </c>
      <c r="I2669" s="170" t="s">
        <v>2842</v>
      </c>
      <c r="J2669" t="s">
        <v>2853</v>
      </c>
      <c r="K2669" s="188" t="s">
        <v>2853</v>
      </c>
    </row>
    <row r="2670" spans="1:11" x14ac:dyDescent="0.25">
      <c r="A2670" t="s">
        <v>7139</v>
      </c>
      <c r="B2670" s="27" t="s">
        <v>2713</v>
      </c>
      <c r="D2670" s="28" t="s">
        <v>4574</v>
      </c>
      <c r="E2670" s="29" t="s">
        <v>563</v>
      </c>
      <c r="F2670" s="30">
        <v>1</v>
      </c>
      <c r="G2670" s="31">
        <v>200.73</v>
      </c>
      <c r="H2670" s="31">
        <f t="shared" si="160"/>
        <v>200.73</v>
      </c>
      <c r="I2670" s="170" t="s">
        <v>2842</v>
      </c>
      <c r="J2670" t="s">
        <v>2853</v>
      </c>
      <c r="K2670" s="188" t="s">
        <v>2853</v>
      </c>
    </row>
    <row r="2671" spans="1:11" x14ac:dyDescent="0.25">
      <c r="A2671" t="s">
        <v>7140</v>
      </c>
      <c r="B2671" s="27" t="s">
        <v>2714</v>
      </c>
      <c r="D2671" s="28" t="s">
        <v>4575</v>
      </c>
      <c r="E2671" s="29" t="s">
        <v>563</v>
      </c>
      <c r="F2671" s="30">
        <v>1</v>
      </c>
      <c r="G2671" s="31">
        <v>200.73</v>
      </c>
      <c r="H2671" s="31">
        <f t="shared" si="160"/>
        <v>200.73</v>
      </c>
      <c r="I2671" s="170" t="s">
        <v>2842</v>
      </c>
      <c r="J2671" t="s">
        <v>2853</v>
      </c>
      <c r="K2671" s="188" t="s">
        <v>2853</v>
      </c>
    </row>
    <row r="2672" spans="1:11" x14ac:dyDescent="0.25">
      <c r="A2672" t="s">
        <v>7141</v>
      </c>
      <c r="B2672" s="27" t="s">
        <v>2715</v>
      </c>
      <c r="D2672" s="28" t="s">
        <v>4576</v>
      </c>
      <c r="E2672" s="29" t="s">
        <v>671</v>
      </c>
      <c r="F2672" s="30">
        <v>1</v>
      </c>
      <c r="G2672" s="31">
        <v>200.73</v>
      </c>
      <c r="H2672" s="31">
        <f t="shared" si="160"/>
        <v>200.73</v>
      </c>
      <c r="I2672" s="170" t="s">
        <v>2842</v>
      </c>
      <c r="J2672" t="s">
        <v>2853</v>
      </c>
      <c r="K2672" s="188" t="s">
        <v>2853</v>
      </c>
    </row>
    <row r="2673" spans="1:11" x14ac:dyDescent="0.25">
      <c r="A2673" t="s">
        <v>7142</v>
      </c>
      <c r="B2673" s="27" t="s">
        <v>2716</v>
      </c>
      <c r="D2673" s="28" t="s">
        <v>4577</v>
      </c>
      <c r="E2673" s="29" t="s">
        <v>671</v>
      </c>
      <c r="F2673" s="30">
        <v>1</v>
      </c>
      <c r="G2673" s="31">
        <v>200.73</v>
      </c>
      <c r="H2673" s="31">
        <f t="shared" si="160"/>
        <v>200.73</v>
      </c>
      <c r="I2673" s="170" t="s">
        <v>2842</v>
      </c>
      <c r="J2673" t="s">
        <v>2853</v>
      </c>
      <c r="K2673" s="188" t="s">
        <v>2853</v>
      </c>
    </row>
    <row r="2674" spans="1:11" x14ac:dyDescent="0.25">
      <c r="A2674" t="s">
        <v>7143</v>
      </c>
      <c r="B2674" s="27" t="s">
        <v>2717</v>
      </c>
      <c r="D2674" s="28" t="s">
        <v>4578</v>
      </c>
      <c r="E2674" s="29" t="s">
        <v>671</v>
      </c>
      <c r="F2674" s="30">
        <v>1</v>
      </c>
      <c r="G2674" s="31">
        <v>200.73</v>
      </c>
      <c r="H2674" s="31">
        <f t="shared" si="160"/>
        <v>200.73</v>
      </c>
      <c r="I2674" s="170" t="s">
        <v>2842</v>
      </c>
      <c r="J2674" t="s">
        <v>2853</v>
      </c>
      <c r="K2674" s="188" t="s">
        <v>2853</v>
      </c>
    </row>
    <row r="2675" spans="1:11" x14ac:dyDescent="0.25">
      <c r="A2675" t="s">
        <v>7144</v>
      </c>
      <c r="B2675" s="27" t="s">
        <v>2718</v>
      </c>
      <c r="D2675" s="28" t="s">
        <v>4579</v>
      </c>
      <c r="E2675" s="29" t="s">
        <v>21</v>
      </c>
      <c r="F2675" s="30">
        <v>1</v>
      </c>
      <c r="G2675" s="31">
        <v>240.39</v>
      </c>
      <c r="H2675" s="31">
        <f t="shared" si="160"/>
        <v>240.39</v>
      </c>
      <c r="I2675" s="170" t="s">
        <v>2842</v>
      </c>
      <c r="J2675" t="s">
        <v>2853</v>
      </c>
      <c r="K2675" s="188" t="s">
        <v>2853</v>
      </c>
    </row>
    <row r="2676" spans="1:11" x14ac:dyDescent="0.25">
      <c r="A2676" t="s">
        <v>7145</v>
      </c>
      <c r="B2676" s="27" t="s">
        <v>2719</v>
      </c>
      <c r="D2676" s="28" t="s">
        <v>4580</v>
      </c>
      <c r="E2676" s="29" t="s">
        <v>21</v>
      </c>
      <c r="F2676" s="30">
        <v>1</v>
      </c>
      <c r="G2676" s="31">
        <v>240.39</v>
      </c>
      <c r="H2676" s="31">
        <f t="shared" si="160"/>
        <v>240.39</v>
      </c>
      <c r="I2676" s="170" t="s">
        <v>2842</v>
      </c>
      <c r="J2676" t="s">
        <v>2853</v>
      </c>
      <c r="K2676" s="188" t="s">
        <v>2853</v>
      </c>
    </row>
    <row r="2677" spans="1:11" x14ac:dyDescent="0.25">
      <c r="A2677" t="s">
        <v>7146</v>
      </c>
      <c r="B2677" s="27" t="s">
        <v>2720</v>
      </c>
      <c r="D2677" s="28" t="s">
        <v>4581</v>
      </c>
      <c r="E2677" s="29" t="s">
        <v>21</v>
      </c>
      <c r="F2677" s="30">
        <v>1</v>
      </c>
      <c r="G2677" s="31">
        <v>240.39</v>
      </c>
      <c r="H2677" s="31">
        <f t="shared" si="160"/>
        <v>240.39</v>
      </c>
      <c r="I2677" s="170" t="s">
        <v>2842</v>
      </c>
      <c r="J2677" t="s">
        <v>2853</v>
      </c>
      <c r="K2677" s="188" t="s">
        <v>2853</v>
      </c>
    </row>
    <row r="2678" spans="1:11" x14ac:dyDescent="0.25">
      <c r="A2678" t="s">
        <v>7147</v>
      </c>
      <c r="B2678" s="27" t="s">
        <v>2721</v>
      </c>
      <c r="D2678" s="28" t="s">
        <v>4582</v>
      </c>
      <c r="E2678" s="29" t="s">
        <v>563</v>
      </c>
      <c r="F2678" s="30">
        <v>1</v>
      </c>
      <c r="G2678" s="31">
        <v>240.39</v>
      </c>
      <c r="H2678" s="31">
        <f t="shared" si="160"/>
        <v>240.39</v>
      </c>
      <c r="I2678" s="170" t="s">
        <v>2842</v>
      </c>
      <c r="J2678" t="s">
        <v>2853</v>
      </c>
      <c r="K2678" s="188" t="s">
        <v>2853</v>
      </c>
    </row>
    <row r="2679" spans="1:11" x14ac:dyDescent="0.25">
      <c r="A2679" t="s">
        <v>7148</v>
      </c>
      <c r="B2679" s="27" t="s">
        <v>2722</v>
      </c>
      <c r="D2679" s="28" t="s">
        <v>4583</v>
      </c>
      <c r="E2679" s="29" t="s">
        <v>563</v>
      </c>
      <c r="F2679" s="30">
        <v>1</v>
      </c>
      <c r="G2679" s="31">
        <v>240.39</v>
      </c>
      <c r="H2679" s="31">
        <f t="shared" si="160"/>
        <v>240.39</v>
      </c>
      <c r="I2679" s="170" t="s">
        <v>2842</v>
      </c>
      <c r="J2679" t="s">
        <v>2853</v>
      </c>
      <c r="K2679" s="188" t="s">
        <v>2853</v>
      </c>
    </row>
    <row r="2680" spans="1:11" x14ac:dyDescent="0.25">
      <c r="A2680" t="s">
        <v>7149</v>
      </c>
      <c r="B2680" s="27" t="s">
        <v>2723</v>
      </c>
      <c r="D2680" s="28" t="s">
        <v>4584</v>
      </c>
      <c r="E2680" s="29" t="s">
        <v>563</v>
      </c>
      <c r="F2680" s="30">
        <v>1</v>
      </c>
      <c r="G2680" s="31">
        <v>240.39</v>
      </c>
      <c r="H2680" s="31">
        <f t="shared" si="160"/>
        <v>240.39</v>
      </c>
      <c r="I2680" s="170" t="s">
        <v>2842</v>
      </c>
      <c r="J2680" t="s">
        <v>2853</v>
      </c>
      <c r="K2680" s="188" t="s">
        <v>2853</v>
      </c>
    </row>
    <row r="2681" spans="1:11" x14ac:dyDescent="0.25">
      <c r="A2681" t="s">
        <v>7150</v>
      </c>
      <c r="B2681" s="27" t="s">
        <v>2724</v>
      </c>
      <c r="D2681" s="28" t="s">
        <v>4585</v>
      </c>
      <c r="E2681" s="29" t="s">
        <v>671</v>
      </c>
      <c r="F2681" s="30">
        <v>1</v>
      </c>
      <c r="G2681" s="31">
        <v>240.39</v>
      </c>
      <c r="H2681" s="31">
        <f t="shared" si="160"/>
        <v>240.39</v>
      </c>
      <c r="I2681" s="170" t="s">
        <v>2842</v>
      </c>
      <c r="J2681" t="s">
        <v>2853</v>
      </c>
      <c r="K2681" s="188" t="s">
        <v>2853</v>
      </c>
    </row>
    <row r="2682" spans="1:11" x14ac:dyDescent="0.25">
      <c r="A2682" t="s">
        <v>7151</v>
      </c>
      <c r="B2682" s="27" t="s">
        <v>2725</v>
      </c>
      <c r="D2682" s="28" t="s">
        <v>4586</v>
      </c>
      <c r="E2682" s="29" t="s">
        <v>671</v>
      </c>
      <c r="F2682" s="30">
        <v>1</v>
      </c>
      <c r="G2682" s="31">
        <v>240.39</v>
      </c>
      <c r="H2682" s="31">
        <f t="shared" si="160"/>
        <v>240.39</v>
      </c>
      <c r="I2682" s="170" t="s">
        <v>2842</v>
      </c>
      <c r="J2682" t="s">
        <v>2853</v>
      </c>
      <c r="K2682" s="188" t="s">
        <v>2853</v>
      </c>
    </row>
    <row r="2683" spans="1:11" x14ac:dyDescent="0.25">
      <c r="A2683" t="s">
        <v>7152</v>
      </c>
      <c r="B2683" s="27" t="s">
        <v>2726</v>
      </c>
      <c r="D2683" s="28" t="s">
        <v>4587</v>
      </c>
      <c r="E2683" s="29" t="s">
        <v>671</v>
      </c>
      <c r="F2683" s="30">
        <v>1</v>
      </c>
      <c r="G2683" s="31">
        <v>240.39</v>
      </c>
      <c r="H2683" s="31">
        <f t="shared" si="160"/>
        <v>240.39</v>
      </c>
      <c r="I2683" s="170" t="s">
        <v>2842</v>
      </c>
      <c r="J2683" t="s">
        <v>2853</v>
      </c>
      <c r="K2683" s="188" t="s">
        <v>2853</v>
      </c>
    </row>
    <row r="2684" spans="1:11" x14ac:dyDescent="0.25">
      <c r="A2684" t="s">
        <v>7153</v>
      </c>
      <c r="B2684" s="27" t="s">
        <v>2727</v>
      </c>
      <c r="D2684" s="28" t="s">
        <v>4588</v>
      </c>
      <c r="E2684" s="29" t="s">
        <v>21</v>
      </c>
      <c r="F2684" s="30">
        <v>1</v>
      </c>
      <c r="G2684" s="31">
        <v>260.23</v>
      </c>
      <c r="H2684" s="31">
        <f t="shared" si="160"/>
        <v>260.23</v>
      </c>
      <c r="I2684" s="170" t="s">
        <v>2842</v>
      </c>
      <c r="J2684" t="s">
        <v>2853</v>
      </c>
      <c r="K2684" s="188" t="s">
        <v>2853</v>
      </c>
    </row>
    <row r="2685" spans="1:11" x14ac:dyDescent="0.25">
      <c r="A2685" t="s">
        <v>7154</v>
      </c>
      <c r="B2685" s="27" t="s">
        <v>2728</v>
      </c>
      <c r="D2685" s="28" t="s">
        <v>4589</v>
      </c>
      <c r="E2685" s="29" t="s">
        <v>21</v>
      </c>
      <c r="F2685" s="30">
        <v>1</v>
      </c>
      <c r="G2685" s="31">
        <v>260.23</v>
      </c>
      <c r="H2685" s="31">
        <f t="shared" si="160"/>
        <v>260.23</v>
      </c>
      <c r="I2685" s="170" t="s">
        <v>2842</v>
      </c>
      <c r="J2685" t="s">
        <v>2853</v>
      </c>
      <c r="K2685" s="188" t="s">
        <v>2853</v>
      </c>
    </row>
    <row r="2686" spans="1:11" x14ac:dyDescent="0.25">
      <c r="A2686" t="s">
        <v>7155</v>
      </c>
      <c r="B2686" s="27" t="s">
        <v>2729</v>
      </c>
      <c r="D2686" s="28" t="s">
        <v>4590</v>
      </c>
      <c r="E2686" s="29" t="s">
        <v>21</v>
      </c>
      <c r="F2686" s="30">
        <v>1</v>
      </c>
      <c r="G2686" s="31">
        <v>260.23</v>
      </c>
      <c r="H2686" s="31">
        <f t="shared" si="160"/>
        <v>260.23</v>
      </c>
      <c r="I2686" s="170" t="s">
        <v>2842</v>
      </c>
      <c r="J2686" t="s">
        <v>2853</v>
      </c>
      <c r="K2686" s="188" t="s">
        <v>2853</v>
      </c>
    </row>
    <row r="2687" spans="1:11" x14ac:dyDescent="0.25">
      <c r="A2687" t="s">
        <v>7156</v>
      </c>
      <c r="B2687" s="27" t="s">
        <v>2730</v>
      </c>
      <c r="D2687" s="28" t="s">
        <v>4591</v>
      </c>
      <c r="E2687" s="29" t="s">
        <v>563</v>
      </c>
      <c r="F2687" s="30">
        <v>1</v>
      </c>
      <c r="G2687" s="31">
        <v>260.23</v>
      </c>
      <c r="H2687" s="31">
        <f t="shared" si="160"/>
        <v>260.23</v>
      </c>
      <c r="I2687" s="170" t="s">
        <v>2842</v>
      </c>
      <c r="J2687" t="s">
        <v>2853</v>
      </c>
      <c r="K2687" s="188" t="s">
        <v>2853</v>
      </c>
    </row>
    <row r="2688" spans="1:11" x14ac:dyDescent="0.25">
      <c r="A2688" t="s">
        <v>7157</v>
      </c>
      <c r="B2688" s="27" t="s">
        <v>2731</v>
      </c>
      <c r="D2688" s="28" t="s">
        <v>4592</v>
      </c>
      <c r="E2688" s="29" t="s">
        <v>563</v>
      </c>
      <c r="F2688" s="30">
        <v>1</v>
      </c>
      <c r="G2688" s="31">
        <v>260.23</v>
      </c>
      <c r="H2688" s="31">
        <f t="shared" si="160"/>
        <v>260.23</v>
      </c>
      <c r="I2688" s="170" t="s">
        <v>2842</v>
      </c>
      <c r="J2688" t="s">
        <v>2853</v>
      </c>
      <c r="K2688" s="188" t="s">
        <v>2853</v>
      </c>
    </row>
    <row r="2689" spans="1:11" x14ac:dyDescent="0.25">
      <c r="A2689" t="s">
        <v>7158</v>
      </c>
      <c r="B2689" s="27" t="s">
        <v>2732</v>
      </c>
      <c r="D2689" s="28" t="s">
        <v>4593</v>
      </c>
      <c r="E2689" s="29" t="s">
        <v>563</v>
      </c>
      <c r="F2689" s="30">
        <v>1</v>
      </c>
      <c r="G2689" s="31">
        <v>260.23</v>
      </c>
      <c r="H2689" s="31">
        <f t="shared" si="160"/>
        <v>260.23</v>
      </c>
      <c r="I2689" s="170" t="s">
        <v>2842</v>
      </c>
      <c r="J2689" t="s">
        <v>2853</v>
      </c>
      <c r="K2689" s="188" t="s">
        <v>2853</v>
      </c>
    </row>
    <row r="2690" spans="1:11" x14ac:dyDescent="0.25">
      <c r="A2690" t="s">
        <v>7159</v>
      </c>
      <c r="B2690" s="27" t="s">
        <v>2733</v>
      </c>
      <c r="D2690" s="28" t="s">
        <v>4594</v>
      </c>
      <c r="E2690" s="29" t="s">
        <v>671</v>
      </c>
      <c r="F2690" s="30">
        <v>1</v>
      </c>
      <c r="G2690" s="31">
        <v>260.23</v>
      </c>
      <c r="H2690" s="31">
        <f t="shared" si="160"/>
        <v>260.23</v>
      </c>
      <c r="I2690" s="170" t="s">
        <v>2842</v>
      </c>
      <c r="J2690" t="s">
        <v>2853</v>
      </c>
      <c r="K2690" s="188" t="s">
        <v>2853</v>
      </c>
    </row>
    <row r="2691" spans="1:11" x14ac:dyDescent="0.25">
      <c r="A2691" t="s">
        <v>7160</v>
      </c>
      <c r="B2691" s="27" t="s">
        <v>2734</v>
      </c>
      <c r="D2691" s="28" t="s">
        <v>4595</v>
      </c>
      <c r="E2691" s="29" t="s">
        <v>671</v>
      </c>
      <c r="F2691" s="30">
        <v>1</v>
      </c>
      <c r="G2691" s="31">
        <v>260.23</v>
      </c>
      <c r="H2691" s="31">
        <f t="shared" si="160"/>
        <v>260.23</v>
      </c>
      <c r="I2691" s="170" t="s">
        <v>2842</v>
      </c>
      <c r="J2691" t="s">
        <v>2853</v>
      </c>
      <c r="K2691" s="188" t="s">
        <v>2853</v>
      </c>
    </row>
    <row r="2692" spans="1:11" x14ac:dyDescent="0.25">
      <c r="A2692" t="s">
        <v>7161</v>
      </c>
      <c r="B2692" s="27" t="s">
        <v>2735</v>
      </c>
      <c r="D2692" s="28" t="s">
        <v>4596</v>
      </c>
      <c r="E2692" s="29" t="s">
        <v>671</v>
      </c>
      <c r="F2692" s="30">
        <v>1</v>
      </c>
      <c r="G2692" s="31">
        <v>260.23</v>
      </c>
      <c r="H2692" s="31">
        <f t="shared" si="160"/>
        <v>260.23</v>
      </c>
      <c r="I2692" s="170" t="s">
        <v>2842</v>
      </c>
      <c r="J2692" t="s">
        <v>2853</v>
      </c>
      <c r="K2692" s="188" t="s">
        <v>2853</v>
      </c>
    </row>
    <row r="2693" spans="1:11" x14ac:dyDescent="0.25">
      <c r="A2693" t="s">
        <v>7162</v>
      </c>
      <c r="B2693" s="27" t="s">
        <v>2736</v>
      </c>
      <c r="D2693" s="28" t="s">
        <v>4597</v>
      </c>
      <c r="E2693" s="29" t="s">
        <v>21</v>
      </c>
      <c r="F2693" s="30">
        <v>1</v>
      </c>
      <c r="G2693" s="31">
        <v>280.06</v>
      </c>
      <c r="H2693" s="31">
        <f t="shared" si="160"/>
        <v>280.06</v>
      </c>
      <c r="I2693" s="170" t="s">
        <v>2842</v>
      </c>
      <c r="J2693" t="s">
        <v>2853</v>
      </c>
      <c r="K2693" s="188" t="s">
        <v>2853</v>
      </c>
    </row>
    <row r="2694" spans="1:11" x14ac:dyDescent="0.25">
      <c r="A2694" t="s">
        <v>7163</v>
      </c>
      <c r="B2694" s="27" t="s">
        <v>2737</v>
      </c>
      <c r="D2694" s="28" t="s">
        <v>4598</v>
      </c>
      <c r="E2694" s="29" t="s">
        <v>21</v>
      </c>
      <c r="F2694" s="30">
        <v>1</v>
      </c>
      <c r="G2694" s="31">
        <v>280.06</v>
      </c>
      <c r="H2694" s="31">
        <f t="shared" si="160"/>
        <v>280.06</v>
      </c>
      <c r="I2694" s="170" t="s">
        <v>2842</v>
      </c>
      <c r="J2694" t="s">
        <v>2853</v>
      </c>
      <c r="K2694" s="188" t="s">
        <v>2853</v>
      </c>
    </row>
    <row r="2695" spans="1:11" x14ac:dyDescent="0.25">
      <c r="A2695" t="s">
        <v>7164</v>
      </c>
      <c r="B2695" s="27" t="s">
        <v>2738</v>
      </c>
      <c r="D2695" s="28" t="s">
        <v>4599</v>
      </c>
      <c r="E2695" s="29" t="s">
        <v>21</v>
      </c>
      <c r="F2695" s="30">
        <v>1</v>
      </c>
      <c r="G2695" s="31">
        <v>280.06</v>
      </c>
      <c r="H2695" s="31">
        <f t="shared" si="160"/>
        <v>280.06</v>
      </c>
      <c r="I2695" s="170" t="s">
        <v>2842</v>
      </c>
      <c r="J2695" t="s">
        <v>2853</v>
      </c>
      <c r="K2695" s="188" t="s">
        <v>2853</v>
      </c>
    </row>
    <row r="2696" spans="1:11" x14ac:dyDescent="0.25">
      <c r="A2696" t="s">
        <v>7165</v>
      </c>
      <c r="B2696" s="27" t="s">
        <v>2739</v>
      </c>
      <c r="D2696" s="28" t="s">
        <v>4600</v>
      </c>
      <c r="E2696" s="29" t="s">
        <v>563</v>
      </c>
      <c r="F2696" s="30">
        <v>1</v>
      </c>
      <c r="G2696" s="31">
        <v>280.06</v>
      </c>
      <c r="H2696" s="31">
        <f t="shared" si="160"/>
        <v>280.06</v>
      </c>
      <c r="I2696" s="170" t="s">
        <v>2842</v>
      </c>
      <c r="J2696" t="s">
        <v>2853</v>
      </c>
      <c r="K2696" s="188" t="s">
        <v>2853</v>
      </c>
    </row>
    <row r="2697" spans="1:11" x14ac:dyDescent="0.25">
      <c r="A2697" t="s">
        <v>7166</v>
      </c>
      <c r="B2697" s="27" t="s">
        <v>2740</v>
      </c>
      <c r="D2697" s="28" t="s">
        <v>4601</v>
      </c>
      <c r="E2697" s="29" t="s">
        <v>563</v>
      </c>
      <c r="F2697" s="30">
        <v>1</v>
      </c>
      <c r="G2697" s="31">
        <v>280.06</v>
      </c>
      <c r="H2697" s="31">
        <f t="shared" si="160"/>
        <v>280.06</v>
      </c>
      <c r="I2697" s="170" t="s">
        <v>2842</v>
      </c>
      <c r="J2697" t="s">
        <v>2853</v>
      </c>
      <c r="K2697" s="188" t="s">
        <v>2853</v>
      </c>
    </row>
    <row r="2698" spans="1:11" x14ac:dyDescent="0.25">
      <c r="A2698" t="s">
        <v>7167</v>
      </c>
      <c r="B2698" s="27" t="s">
        <v>2741</v>
      </c>
      <c r="D2698" s="28" t="s">
        <v>4602</v>
      </c>
      <c r="E2698" s="29" t="s">
        <v>563</v>
      </c>
      <c r="F2698" s="30">
        <v>1</v>
      </c>
      <c r="G2698" s="31">
        <v>280.06</v>
      </c>
      <c r="H2698" s="31">
        <f t="shared" si="160"/>
        <v>280.06</v>
      </c>
      <c r="I2698" s="170" t="s">
        <v>2842</v>
      </c>
      <c r="J2698" t="s">
        <v>2853</v>
      </c>
      <c r="K2698" s="188" t="s">
        <v>2853</v>
      </c>
    </row>
    <row r="2699" spans="1:11" x14ac:dyDescent="0.25">
      <c r="A2699" t="s">
        <v>7168</v>
      </c>
      <c r="B2699" s="27" t="s">
        <v>2742</v>
      </c>
      <c r="D2699" s="28" t="s">
        <v>4603</v>
      </c>
      <c r="E2699" s="29" t="s">
        <v>671</v>
      </c>
      <c r="F2699" s="30">
        <v>1</v>
      </c>
      <c r="G2699" s="31">
        <v>280.06</v>
      </c>
      <c r="H2699" s="31">
        <f t="shared" si="160"/>
        <v>280.06</v>
      </c>
      <c r="I2699" s="170" t="s">
        <v>2842</v>
      </c>
      <c r="J2699" t="s">
        <v>2853</v>
      </c>
      <c r="K2699" s="188" t="s">
        <v>2853</v>
      </c>
    </row>
    <row r="2700" spans="1:11" x14ac:dyDescent="0.25">
      <c r="A2700" t="s">
        <v>7169</v>
      </c>
      <c r="B2700" s="27" t="s">
        <v>2743</v>
      </c>
      <c r="D2700" s="28" t="s">
        <v>4604</v>
      </c>
      <c r="E2700" s="29" t="s">
        <v>671</v>
      </c>
      <c r="F2700" s="30">
        <v>1</v>
      </c>
      <c r="G2700" s="31">
        <v>280.06</v>
      </c>
      <c r="H2700" s="31">
        <f t="shared" si="160"/>
        <v>280.06</v>
      </c>
      <c r="I2700" s="170" t="s">
        <v>2842</v>
      </c>
      <c r="J2700" t="s">
        <v>2853</v>
      </c>
      <c r="K2700" s="188" t="s">
        <v>2853</v>
      </c>
    </row>
    <row r="2701" spans="1:11" x14ac:dyDescent="0.25">
      <c r="A2701" t="s">
        <v>7170</v>
      </c>
      <c r="B2701" s="27" t="s">
        <v>2744</v>
      </c>
      <c r="D2701" s="28" t="s">
        <v>4605</v>
      </c>
      <c r="E2701" s="29" t="s">
        <v>671</v>
      </c>
      <c r="F2701" s="30">
        <v>1</v>
      </c>
      <c r="G2701" s="31">
        <v>280.06</v>
      </c>
      <c r="H2701" s="31">
        <f t="shared" si="160"/>
        <v>280.06</v>
      </c>
      <c r="I2701" s="170" t="s">
        <v>2842</v>
      </c>
      <c r="J2701" t="s">
        <v>2853</v>
      </c>
      <c r="K2701" s="188" t="s">
        <v>2853</v>
      </c>
    </row>
    <row r="2702" spans="1:11" x14ac:dyDescent="0.25">
      <c r="A2702" t="s">
        <v>7171</v>
      </c>
      <c r="B2702" s="27" t="s">
        <v>2745</v>
      </c>
      <c r="D2702" s="28" t="s">
        <v>4606</v>
      </c>
      <c r="E2702" s="29" t="s">
        <v>21</v>
      </c>
      <c r="F2702" s="30">
        <v>1</v>
      </c>
      <c r="G2702" s="31">
        <v>147.84</v>
      </c>
      <c r="H2702" s="31">
        <f t="shared" si="160"/>
        <v>147.84</v>
      </c>
      <c r="I2702" s="170" t="s">
        <v>2842</v>
      </c>
      <c r="J2702" t="s">
        <v>2853</v>
      </c>
      <c r="K2702" s="188" t="s">
        <v>2853</v>
      </c>
    </row>
    <row r="2703" spans="1:11" x14ac:dyDescent="0.25">
      <c r="A2703" t="s">
        <v>7172</v>
      </c>
      <c r="B2703" s="27" t="s">
        <v>2746</v>
      </c>
      <c r="D2703" s="28" t="s">
        <v>4607</v>
      </c>
      <c r="E2703" s="29" t="s">
        <v>563</v>
      </c>
      <c r="F2703" s="30">
        <v>1</v>
      </c>
      <c r="G2703" s="31">
        <v>147.84</v>
      </c>
      <c r="H2703" s="31">
        <f t="shared" si="160"/>
        <v>147.84</v>
      </c>
      <c r="I2703" s="170" t="s">
        <v>2842</v>
      </c>
      <c r="J2703" t="s">
        <v>2853</v>
      </c>
      <c r="K2703" s="188" t="s">
        <v>2853</v>
      </c>
    </row>
    <row r="2704" spans="1:11" x14ac:dyDescent="0.25">
      <c r="A2704" t="s">
        <v>7173</v>
      </c>
      <c r="B2704" s="27" t="s">
        <v>2747</v>
      </c>
      <c r="D2704" s="28" t="s">
        <v>4608</v>
      </c>
      <c r="E2704" s="29" t="s">
        <v>671</v>
      </c>
      <c r="F2704" s="30">
        <v>1</v>
      </c>
      <c r="G2704" s="31">
        <v>147.84</v>
      </c>
      <c r="H2704" s="31">
        <f t="shared" si="160"/>
        <v>147.84</v>
      </c>
      <c r="I2704" s="170" t="s">
        <v>2842</v>
      </c>
      <c r="J2704" t="s">
        <v>2853</v>
      </c>
      <c r="K2704" s="188" t="s">
        <v>2853</v>
      </c>
    </row>
    <row r="2705" spans="1:11" x14ac:dyDescent="0.25">
      <c r="A2705" t="s">
        <v>7174</v>
      </c>
      <c r="B2705" s="27" t="s">
        <v>2748</v>
      </c>
      <c r="D2705" s="28" t="s">
        <v>4609</v>
      </c>
      <c r="E2705" s="29" t="s">
        <v>21</v>
      </c>
      <c r="F2705" s="30">
        <v>1</v>
      </c>
      <c r="G2705" s="31">
        <v>161.07</v>
      </c>
      <c r="H2705" s="31">
        <f t="shared" si="160"/>
        <v>161.07</v>
      </c>
      <c r="I2705" s="170" t="s">
        <v>2842</v>
      </c>
      <c r="J2705" t="s">
        <v>2853</v>
      </c>
      <c r="K2705" s="188" t="s">
        <v>2853</v>
      </c>
    </row>
    <row r="2706" spans="1:11" x14ac:dyDescent="0.25">
      <c r="A2706" t="s">
        <v>7175</v>
      </c>
      <c r="B2706" s="27" t="s">
        <v>2749</v>
      </c>
      <c r="D2706" s="28" t="s">
        <v>4610</v>
      </c>
      <c r="E2706" s="29" t="s">
        <v>563</v>
      </c>
      <c r="F2706" s="30">
        <v>1</v>
      </c>
      <c r="G2706" s="31">
        <v>161.07</v>
      </c>
      <c r="H2706" s="31">
        <f t="shared" si="160"/>
        <v>161.07</v>
      </c>
      <c r="I2706" s="170" t="s">
        <v>2842</v>
      </c>
      <c r="J2706" t="s">
        <v>2853</v>
      </c>
      <c r="K2706" s="188" t="s">
        <v>2853</v>
      </c>
    </row>
    <row r="2707" spans="1:11" x14ac:dyDescent="0.25">
      <c r="A2707" t="s">
        <v>7176</v>
      </c>
      <c r="B2707" s="27" t="s">
        <v>2750</v>
      </c>
      <c r="D2707" s="28" t="s">
        <v>4611</v>
      </c>
      <c r="E2707" s="29" t="s">
        <v>671</v>
      </c>
      <c r="F2707" s="30">
        <v>1</v>
      </c>
      <c r="G2707" s="31">
        <v>161.07</v>
      </c>
      <c r="H2707" s="31">
        <f t="shared" si="160"/>
        <v>161.07</v>
      </c>
      <c r="I2707" s="170" t="s">
        <v>2842</v>
      </c>
      <c r="J2707" t="s">
        <v>2853</v>
      </c>
      <c r="K2707" s="188" t="s">
        <v>2853</v>
      </c>
    </row>
    <row r="2708" spans="1:11" x14ac:dyDescent="0.25">
      <c r="A2708" t="s">
        <v>7177</v>
      </c>
      <c r="B2708" s="27" t="s">
        <v>2751</v>
      </c>
      <c r="D2708" s="28" t="s">
        <v>4612</v>
      </c>
      <c r="E2708" s="29" t="s">
        <v>21</v>
      </c>
      <c r="F2708" s="30">
        <v>1</v>
      </c>
      <c r="G2708" s="31">
        <v>180.89</v>
      </c>
      <c r="H2708" s="31">
        <f t="shared" si="160"/>
        <v>180.89</v>
      </c>
      <c r="I2708" s="170" t="s">
        <v>2842</v>
      </c>
      <c r="J2708" t="s">
        <v>2853</v>
      </c>
      <c r="K2708" s="188" t="s">
        <v>2853</v>
      </c>
    </row>
    <row r="2709" spans="1:11" x14ac:dyDescent="0.25">
      <c r="A2709" t="s">
        <v>7178</v>
      </c>
      <c r="B2709" s="27" t="s">
        <v>2752</v>
      </c>
      <c r="D2709" s="28" t="s">
        <v>4613</v>
      </c>
      <c r="E2709" s="29" t="s">
        <v>563</v>
      </c>
      <c r="F2709" s="30">
        <v>1</v>
      </c>
      <c r="G2709" s="31">
        <v>180.89</v>
      </c>
      <c r="H2709" s="31">
        <f t="shared" si="160"/>
        <v>180.89</v>
      </c>
      <c r="I2709" s="170" t="s">
        <v>2842</v>
      </c>
      <c r="J2709" t="s">
        <v>2853</v>
      </c>
      <c r="K2709" s="188" t="s">
        <v>2853</v>
      </c>
    </row>
    <row r="2710" spans="1:11" x14ac:dyDescent="0.25">
      <c r="A2710" t="s">
        <v>7179</v>
      </c>
      <c r="B2710" s="27" t="s">
        <v>2753</v>
      </c>
      <c r="D2710" s="28" t="s">
        <v>4614</v>
      </c>
      <c r="E2710" s="29" t="s">
        <v>671</v>
      </c>
      <c r="F2710" s="30">
        <v>1</v>
      </c>
      <c r="G2710" s="31">
        <v>180.89</v>
      </c>
      <c r="H2710" s="31">
        <f t="shared" si="160"/>
        <v>180.89</v>
      </c>
      <c r="I2710" s="170" t="s">
        <v>2842</v>
      </c>
      <c r="J2710" t="s">
        <v>2853</v>
      </c>
      <c r="K2710" s="188" t="s">
        <v>2853</v>
      </c>
    </row>
    <row r="2711" spans="1:11" x14ac:dyDescent="0.25">
      <c r="A2711" t="s">
        <v>7180</v>
      </c>
      <c r="B2711" s="27" t="s">
        <v>2754</v>
      </c>
      <c r="D2711" s="28" t="s">
        <v>4615</v>
      </c>
      <c r="E2711" s="29" t="s">
        <v>21</v>
      </c>
      <c r="F2711" s="30">
        <v>1</v>
      </c>
      <c r="G2711" s="31">
        <v>200.73</v>
      </c>
      <c r="H2711" s="31">
        <f t="shared" si="160"/>
        <v>200.73</v>
      </c>
      <c r="I2711" s="170" t="s">
        <v>2842</v>
      </c>
      <c r="J2711" t="s">
        <v>2853</v>
      </c>
      <c r="K2711" s="188" t="s">
        <v>2853</v>
      </c>
    </row>
    <row r="2712" spans="1:11" x14ac:dyDescent="0.25">
      <c r="A2712" t="s">
        <v>7181</v>
      </c>
      <c r="B2712" s="27" t="s">
        <v>2755</v>
      </c>
      <c r="D2712" s="28" t="s">
        <v>4616</v>
      </c>
      <c r="E2712" s="29" t="s">
        <v>563</v>
      </c>
      <c r="F2712" s="30">
        <v>1</v>
      </c>
      <c r="G2712" s="31">
        <v>200.73</v>
      </c>
      <c r="H2712" s="31">
        <f t="shared" ref="H2712:H2729" si="161">+F2712*G2712</f>
        <v>200.73</v>
      </c>
      <c r="I2712" s="170" t="s">
        <v>2842</v>
      </c>
      <c r="J2712" t="s">
        <v>2853</v>
      </c>
      <c r="K2712" s="188" t="s">
        <v>2853</v>
      </c>
    </row>
    <row r="2713" spans="1:11" x14ac:dyDescent="0.25">
      <c r="A2713" t="s">
        <v>7182</v>
      </c>
      <c r="B2713" s="27" t="s">
        <v>2756</v>
      </c>
      <c r="D2713" s="28" t="s">
        <v>4617</v>
      </c>
      <c r="E2713" s="29" t="s">
        <v>671</v>
      </c>
      <c r="F2713" s="30">
        <v>1</v>
      </c>
      <c r="G2713" s="31">
        <v>200.73</v>
      </c>
      <c r="H2713" s="31">
        <f t="shared" si="161"/>
        <v>200.73</v>
      </c>
      <c r="I2713" s="170" t="s">
        <v>2842</v>
      </c>
      <c r="J2713" t="s">
        <v>2853</v>
      </c>
      <c r="K2713" s="188" t="s">
        <v>2853</v>
      </c>
    </row>
    <row r="2714" spans="1:11" x14ac:dyDescent="0.25">
      <c r="A2714" t="s">
        <v>7183</v>
      </c>
      <c r="B2714" s="27" t="s">
        <v>2757</v>
      </c>
      <c r="D2714" s="28" t="s">
        <v>4618</v>
      </c>
      <c r="E2714" s="29" t="s">
        <v>21</v>
      </c>
      <c r="F2714" s="30">
        <v>1</v>
      </c>
      <c r="G2714" s="31">
        <v>147.84</v>
      </c>
      <c r="H2714" s="31">
        <f t="shared" si="161"/>
        <v>147.84</v>
      </c>
      <c r="I2714" s="170" t="s">
        <v>2842</v>
      </c>
      <c r="J2714" t="s">
        <v>2853</v>
      </c>
      <c r="K2714" s="188" t="s">
        <v>2853</v>
      </c>
    </row>
    <row r="2715" spans="1:11" x14ac:dyDescent="0.25">
      <c r="A2715" t="s">
        <v>7184</v>
      </c>
      <c r="B2715" s="27" t="s">
        <v>2758</v>
      </c>
      <c r="D2715" s="28" t="s">
        <v>4619</v>
      </c>
      <c r="E2715" s="29" t="s">
        <v>563</v>
      </c>
      <c r="F2715" s="30">
        <v>1</v>
      </c>
      <c r="G2715" s="31">
        <v>147.84</v>
      </c>
      <c r="H2715" s="31">
        <f t="shared" si="161"/>
        <v>147.84</v>
      </c>
      <c r="I2715" s="170" t="s">
        <v>2842</v>
      </c>
      <c r="J2715" t="s">
        <v>2853</v>
      </c>
      <c r="K2715" s="188" t="s">
        <v>2853</v>
      </c>
    </row>
    <row r="2716" spans="1:11" x14ac:dyDescent="0.25">
      <c r="A2716" t="s">
        <v>7185</v>
      </c>
      <c r="B2716" s="27" t="s">
        <v>2759</v>
      </c>
      <c r="D2716" s="28" t="s">
        <v>4620</v>
      </c>
      <c r="E2716" s="29" t="s">
        <v>671</v>
      </c>
      <c r="F2716" s="30">
        <v>1</v>
      </c>
      <c r="G2716" s="31">
        <v>147.84</v>
      </c>
      <c r="H2716" s="31">
        <f t="shared" si="161"/>
        <v>147.84</v>
      </c>
      <c r="I2716" s="170" t="s">
        <v>2842</v>
      </c>
      <c r="J2716" t="s">
        <v>2853</v>
      </c>
      <c r="K2716" s="188" t="s">
        <v>2853</v>
      </c>
    </row>
    <row r="2717" spans="1:11" x14ac:dyDescent="0.25">
      <c r="A2717" t="s">
        <v>7186</v>
      </c>
      <c r="B2717" s="27" t="s">
        <v>2760</v>
      </c>
      <c r="D2717" s="28" t="s">
        <v>4621</v>
      </c>
      <c r="E2717" s="29" t="s">
        <v>21</v>
      </c>
      <c r="F2717" s="30">
        <v>1</v>
      </c>
      <c r="G2717" s="31">
        <v>174.29</v>
      </c>
      <c r="H2717" s="31">
        <f t="shared" si="161"/>
        <v>174.29</v>
      </c>
      <c r="I2717" s="170" t="s">
        <v>2842</v>
      </c>
      <c r="J2717" t="s">
        <v>2853</v>
      </c>
      <c r="K2717" s="188" t="s">
        <v>2853</v>
      </c>
    </row>
    <row r="2718" spans="1:11" x14ac:dyDescent="0.25">
      <c r="A2718" t="s">
        <v>7187</v>
      </c>
      <c r="B2718" s="27" t="s">
        <v>2761</v>
      </c>
      <c r="D2718" s="28" t="s">
        <v>4622</v>
      </c>
      <c r="E2718" s="29" t="s">
        <v>563</v>
      </c>
      <c r="F2718" s="30">
        <v>1</v>
      </c>
      <c r="G2718" s="31">
        <v>174.29</v>
      </c>
      <c r="H2718" s="31">
        <f t="shared" si="161"/>
        <v>174.29</v>
      </c>
      <c r="I2718" s="170" t="s">
        <v>2842</v>
      </c>
      <c r="J2718" t="s">
        <v>2853</v>
      </c>
      <c r="K2718" s="188" t="s">
        <v>2853</v>
      </c>
    </row>
    <row r="2719" spans="1:11" x14ac:dyDescent="0.25">
      <c r="A2719" t="s">
        <v>7188</v>
      </c>
      <c r="B2719" s="27" t="s">
        <v>2762</v>
      </c>
      <c r="D2719" s="28" t="s">
        <v>4623</v>
      </c>
      <c r="E2719" s="29" t="s">
        <v>671</v>
      </c>
      <c r="F2719" s="30">
        <v>1</v>
      </c>
      <c r="G2719" s="31">
        <v>174.29</v>
      </c>
      <c r="H2719" s="31">
        <f t="shared" si="161"/>
        <v>174.29</v>
      </c>
      <c r="I2719" s="170" t="s">
        <v>2842</v>
      </c>
      <c r="J2719" t="s">
        <v>2853</v>
      </c>
      <c r="K2719" s="188" t="s">
        <v>2853</v>
      </c>
    </row>
    <row r="2720" spans="1:11" x14ac:dyDescent="0.25">
      <c r="A2720" t="s">
        <v>7189</v>
      </c>
      <c r="B2720" s="27" t="s">
        <v>2763</v>
      </c>
      <c r="D2720" s="28" t="s">
        <v>4624</v>
      </c>
      <c r="E2720" s="29" t="s">
        <v>21</v>
      </c>
      <c r="F2720" s="30">
        <v>1</v>
      </c>
      <c r="G2720" s="31">
        <v>200.73</v>
      </c>
      <c r="H2720" s="31">
        <f t="shared" si="161"/>
        <v>200.73</v>
      </c>
      <c r="I2720" s="170" t="s">
        <v>2842</v>
      </c>
      <c r="J2720" t="s">
        <v>2853</v>
      </c>
      <c r="K2720" s="188" t="s">
        <v>2853</v>
      </c>
    </row>
    <row r="2721" spans="1:11" x14ac:dyDescent="0.25">
      <c r="A2721" t="s">
        <v>7190</v>
      </c>
      <c r="B2721" s="27" t="s">
        <v>2764</v>
      </c>
      <c r="D2721" s="28" t="s">
        <v>4625</v>
      </c>
      <c r="E2721" s="29" t="s">
        <v>563</v>
      </c>
      <c r="F2721" s="30">
        <v>1</v>
      </c>
      <c r="G2721" s="31">
        <v>200.73</v>
      </c>
      <c r="H2721" s="31">
        <f t="shared" si="161"/>
        <v>200.73</v>
      </c>
      <c r="J2721" t="s">
        <v>2853</v>
      </c>
      <c r="K2721" s="188" t="s">
        <v>2853</v>
      </c>
    </row>
    <row r="2722" spans="1:11" x14ac:dyDescent="0.25">
      <c r="A2722" t="s">
        <v>7191</v>
      </c>
      <c r="B2722" s="27" t="s">
        <v>2765</v>
      </c>
      <c r="D2722" s="28" t="s">
        <v>4626</v>
      </c>
      <c r="E2722" s="29" t="s">
        <v>671</v>
      </c>
      <c r="F2722" s="30">
        <v>1</v>
      </c>
      <c r="G2722" s="31">
        <v>200.73</v>
      </c>
      <c r="H2722" s="31">
        <f t="shared" si="161"/>
        <v>200.73</v>
      </c>
      <c r="J2722" t="s">
        <v>2853</v>
      </c>
      <c r="K2722" s="188" t="s">
        <v>2853</v>
      </c>
    </row>
    <row r="2723" spans="1:11" x14ac:dyDescent="0.25">
      <c r="A2723" t="s">
        <v>7192</v>
      </c>
      <c r="B2723" s="27" t="s">
        <v>2766</v>
      </c>
      <c r="D2723" s="28" t="s">
        <v>4627</v>
      </c>
      <c r="E2723" s="29" t="s">
        <v>21</v>
      </c>
      <c r="F2723" s="30">
        <v>1</v>
      </c>
      <c r="G2723" s="31">
        <v>227.18</v>
      </c>
      <c r="H2723" s="31">
        <f t="shared" si="161"/>
        <v>227.18</v>
      </c>
      <c r="J2723" t="s">
        <v>2853</v>
      </c>
      <c r="K2723" s="188" t="s">
        <v>2853</v>
      </c>
    </row>
    <row r="2724" spans="1:11" x14ac:dyDescent="0.25">
      <c r="A2724" t="s">
        <v>7193</v>
      </c>
      <c r="B2724" s="27" t="s">
        <v>2767</v>
      </c>
      <c r="D2724" s="28" t="s">
        <v>4628</v>
      </c>
      <c r="E2724" s="29" t="s">
        <v>563</v>
      </c>
      <c r="F2724" s="30">
        <v>1</v>
      </c>
      <c r="G2724" s="31">
        <v>227.18</v>
      </c>
      <c r="H2724" s="31">
        <f t="shared" si="161"/>
        <v>227.18</v>
      </c>
      <c r="J2724" t="s">
        <v>2853</v>
      </c>
      <c r="K2724" s="188" t="s">
        <v>2853</v>
      </c>
    </row>
    <row r="2725" spans="1:11" x14ac:dyDescent="0.25">
      <c r="A2725" t="s">
        <v>7194</v>
      </c>
      <c r="B2725" s="27" t="s">
        <v>2768</v>
      </c>
      <c r="D2725" s="28" t="s">
        <v>4629</v>
      </c>
      <c r="E2725" s="29" t="s">
        <v>671</v>
      </c>
      <c r="F2725" s="30">
        <v>1</v>
      </c>
      <c r="G2725" s="31">
        <v>227.18</v>
      </c>
      <c r="H2725" s="31">
        <f t="shared" si="161"/>
        <v>227.18</v>
      </c>
      <c r="I2725" s="170" t="s">
        <v>2842</v>
      </c>
      <c r="J2725" t="s">
        <v>2853</v>
      </c>
      <c r="K2725" s="188" t="s">
        <v>2853</v>
      </c>
    </row>
    <row r="2726" spans="1:11" x14ac:dyDescent="0.25">
      <c r="B2726" s="27" t="s">
        <v>7414</v>
      </c>
      <c r="D2726" s="28" t="s">
        <v>7415</v>
      </c>
      <c r="E2726" s="29" t="s">
        <v>59</v>
      </c>
      <c r="F2726" s="30">
        <v>1</v>
      </c>
      <c r="G2726" s="31">
        <v>13.91</v>
      </c>
      <c r="H2726" s="31">
        <f t="shared" si="161"/>
        <v>13.91</v>
      </c>
      <c r="I2726" s="170" t="s">
        <v>2842</v>
      </c>
      <c r="J2726" t="s">
        <v>2853</v>
      </c>
      <c r="K2726" s="188" t="s">
        <v>2853</v>
      </c>
    </row>
    <row r="2727" spans="1:11" x14ac:dyDescent="0.25">
      <c r="B2727" s="27" t="s">
        <v>7416</v>
      </c>
      <c r="D2727" s="28" t="s">
        <v>7415</v>
      </c>
      <c r="E2727" s="29" t="s">
        <v>59</v>
      </c>
      <c r="F2727" s="30">
        <v>1</v>
      </c>
      <c r="G2727" s="31">
        <v>17.12</v>
      </c>
      <c r="H2727" s="31">
        <f t="shared" si="161"/>
        <v>17.12</v>
      </c>
      <c r="I2727" s="170" t="s">
        <v>2842</v>
      </c>
      <c r="J2727" t="s">
        <v>2853</v>
      </c>
      <c r="K2727" s="188" t="s">
        <v>2853</v>
      </c>
    </row>
    <row r="2728" spans="1:11" x14ac:dyDescent="0.25">
      <c r="B2728" s="27" t="s">
        <v>7417</v>
      </c>
      <c r="D2728" s="28" t="s">
        <v>7415</v>
      </c>
      <c r="E2728" s="29" t="s">
        <v>59</v>
      </c>
      <c r="F2728" s="30">
        <v>1</v>
      </c>
      <c r="G2728" s="31">
        <v>19.260000000000002</v>
      </c>
      <c r="H2728" s="31">
        <f t="shared" si="161"/>
        <v>19.260000000000002</v>
      </c>
      <c r="I2728" s="170" t="s">
        <v>2842</v>
      </c>
      <c r="J2728" t="s">
        <v>2853</v>
      </c>
      <c r="K2728" s="188" t="s">
        <v>2853</v>
      </c>
    </row>
    <row r="2729" spans="1:11" x14ac:dyDescent="0.25">
      <c r="B2729" s="27" t="s">
        <v>7418</v>
      </c>
      <c r="D2729" s="28" t="s">
        <v>7415</v>
      </c>
      <c r="E2729" s="29" t="s">
        <v>59</v>
      </c>
      <c r="F2729" s="30">
        <v>1</v>
      </c>
      <c r="G2729" s="31">
        <v>21.4</v>
      </c>
      <c r="H2729" s="31">
        <f t="shared" si="161"/>
        <v>21.4</v>
      </c>
      <c r="I2729" s="170" t="s">
        <v>2842</v>
      </c>
      <c r="J2729" t="s">
        <v>2853</v>
      </c>
      <c r="K2729" s="188" t="s">
        <v>2853</v>
      </c>
    </row>
    <row r="2730" spans="1:11" x14ac:dyDescent="0.25">
      <c r="I2730" s="170" t="s">
        <v>2842</v>
      </c>
      <c r="J2730" t="s">
        <v>2853</v>
      </c>
      <c r="K2730" s="188" t="s">
        <v>2853</v>
      </c>
    </row>
    <row r="2731" spans="1:11" x14ac:dyDescent="0.25">
      <c r="I2731" s="170" t="s">
        <v>2842</v>
      </c>
      <c r="J2731" t="s">
        <v>2853</v>
      </c>
      <c r="K2731" s="188" t="s">
        <v>2853</v>
      </c>
    </row>
    <row r="2732" spans="1:11" ht="30" x14ac:dyDescent="0.4">
      <c r="B2732" s="171" t="s">
        <v>7933</v>
      </c>
      <c r="C2732" s="25"/>
      <c r="D2732" s="25"/>
      <c r="E2732" s="25"/>
      <c r="F2732" s="25"/>
      <c r="G2732" s="25"/>
      <c r="H2732" s="25"/>
      <c r="I2732" s="170" t="s">
        <v>2842</v>
      </c>
      <c r="J2732" t="s">
        <v>2853</v>
      </c>
      <c r="K2732" s="188" t="s">
        <v>2853</v>
      </c>
    </row>
    <row r="2733" spans="1:11" x14ac:dyDescent="0.25">
      <c r="I2733" s="170" t="s">
        <v>2842</v>
      </c>
      <c r="J2733" t="s">
        <v>2853</v>
      </c>
      <c r="K2733" s="188" t="s">
        <v>2853</v>
      </c>
    </row>
    <row r="2734" spans="1:11" x14ac:dyDescent="0.25">
      <c r="A2734" t="s">
        <v>7195</v>
      </c>
      <c r="B2734" s="27" t="s">
        <v>4632</v>
      </c>
      <c r="D2734" s="28" t="s">
        <v>18</v>
      </c>
      <c r="E2734" s="29" t="s">
        <v>4633</v>
      </c>
      <c r="F2734" s="30">
        <v>1</v>
      </c>
      <c r="G2734" s="31">
        <v>79.760000000000005</v>
      </c>
      <c r="H2734" s="31">
        <f t="shared" ref="H2734:H2797" si="162">+F2734*G2734</f>
        <v>79.760000000000005</v>
      </c>
      <c r="I2734" s="170" t="s">
        <v>2842</v>
      </c>
      <c r="J2734" t="s">
        <v>2853</v>
      </c>
      <c r="K2734" s="188" t="s">
        <v>2853</v>
      </c>
    </row>
    <row r="2735" spans="1:11" x14ac:dyDescent="0.25">
      <c r="A2735" t="s">
        <v>7196</v>
      </c>
      <c r="B2735" s="27" t="s">
        <v>4634</v>
      </c>
      <c r="D2735" s="28" t="s">
        <v>23</v>
      </c>
      <c r="E2735" s="29" t="s">
        <v>4633</v>
      </c>
      <c r="F2735" s="30">
        <v>1</v>
      </c>
      <c r="G2735" s="31">
        <v>95.63</v>
      </c>
      <c r="H2735" s="31">
        <f t="shared" si="162"/>
        <v>95.63</v>
      </c>
      <c r="I2735" s="170" t="s">
        <v>2842</v>
      </c>
      <c r="J2735" t="s">
        <v>2853</v>
      </c>
      <c r="K2735" s="188" t="s">
        <v>2853</v>
      </c>
    </row>
    <row r="2736" spans="1:11" x14ac:dyDescent="0.25">
      <c r="A2736" t="s">
        <v>7197</v>
      </c>
      <c r="B2736" s="27" t="s">
        <v>4635</v>
      </c>
      <c r="D2736" s="28" t="s">
        <v>26</v>
      </c>
      <c r="E2736" s="29" t="s">
        <v>4633</v>
      </c>
      <c r="F2736" s="30">
        <v>1</v>
      </c>
      <c r="G2736" s="31">
        <v>111.47</v>
      </c>
      <c r="H2736" s="31">
        <f t="shared" si="162"/>
        <v>111.47</v>
      </c>
      <c r="I2736" s="170" t="s">
        <v>2842</v>
      </c>
      <c r="J2736" t="s">
        <v>2853</v>
      </c>
      <c r="K2736" s="188" t="s">
        <v>2853</v>
      </c>
    </row>
    <row r="2737" spans="1:11" x14ac:dyDescent="0.25">
      <c r="A2737" t="s">
        <v>7198</v>
      </c>
      <c r="B2737" s="27" t="s">
        <v>4636</v>
      </c>
      <c r="D2737" s="28" t="s">
        <v>30</v>
      </c>
      <c r="E2737" s="29" t="s">
        <v>4633</v>
      </c>
      <c r="F2737" s="30">
        <v>1</v>
      </c>
      <c r="G2737" s="31">
        <v>65.88</v>
      </c>
      <c r="H2737" s="31">
        <f t="shared" si="162"/>
        <v>65.88</v>
      </c>
      <c r="I2737" s="170" t="s">
        <v>2842</v>
      </c>
      <c r="J2737" t="s">
        <v>2853</v>
      </c>
      <c r="K2737" s="188" t="s">
        <v>2853</v>
      </c>
    </row>
    <row r="2738" spans="1:11" x14ac:dyDescent="0.25">
      <c r="A2738" t="s">
        <v>7199</v>
      </c>
      <c r="B2738" s="27" t="s">
        <v>4637</v>
      </c>
      <c r="D2738" s="28" t="s">
        <v>34</v>
      </c>
      <c r="E2738" s="29" t="s">
        <v>4633</v>
      </c>
      <c r="F2738" s="30">
        <v>1</v>
      </c>
      <c r="G2738" s="31">
        <v>75.28</v>
      </c>
      <c r="H2738" s="31">
        <f t="shared" si="162"/>
        <v>75.28</v>
      </c>
      <c r="I2738" s="170" t="s">
        <v>2842</v>
      </c>
      <c r="J2738" t="s">
        <v>2853</v>
      </c>
      <c r="K2738" s="188" t="s">
        <v>2853</v>
      </c>
    </row>
    <row r="2739" spans="1:11" x14ac:dyDescent="0.25">
      <c r="A2739" t="s">
        <v>7200</v>
      </c>
      <c r="B2739" s="27" t="s">
        <v>4638</v>
      </c>
      <c r="D2739" s="28" t="s">
        <v>40</v>
      </c>
      <c r="E2739" s="29" t="s">
        <v>4633</v>
      </c>
      <c r="F2739" s="30">
        <v>1</v>
      </c>
      <c r="G2739" s="31">
        <v>87.48</v>
      </c>
      <c r="H2739" s="31">
        <f t="shared" si="162"/>
        <v>87.48</v>
      </c>
      <c r="I2739" s="170" t="s">
        <v>2842</v>
      </c>
      <c r="J2739" t="s">
        <v>2853</v>
      </c>
      <c r="K2739" s="188" t="s">
        <v>2853</v>
      </c>
    </row>
    <row r="2740" spans="1:11" x14ac:dyDescent="0.35">
      <c r="A2740" t="s">
        <v>7201</v>
      </c>
      <c r="B2740" s="27" t="s">
        <v>4639</v>
      </c>
      <c r="D2740" s="28" t="s">
        <v>73</v>
      </c>
      <c r="E2740" s="29" t="s">
        <v>4633</v>
      </c>
      <c r="F2740" s="30">
        <v>18</v>
      </c>
      <c r="G2740" s="31">
        <v>17.27</v>
      </c>
      <c r="H2740" s="31">
        <f t="shared" si="162"/>
        <v>310.86</v>
      </c>
      <c r="I2740" s="170" t="s">
        <v>2842</v>
      </c>
      <c r="J2740" s="256" t="s">
        <v>8275</v>
      </c>
      <c r="K2740" s="259" t="s">
        <v>8273</v>
      </c>
    </row>
    <row r="2741" spans="1:11" x14ac:dyDescent="0.25">
      <c r="A2741" t="s">
        <v>7202</v>
      </c>
      <c r="B2741" s="27" t="s">
        <v>4640</v>
      </c>
      <c r="D2741" s="28" t="s">
        <v>74</v>
      </c>
      <c r="E2741" s="29" t="s">
        <v>4633</v>
      </c>
      <c r="F2741" s="30">
        <v>200</v>
      </c>
      <c r="G2741" s="31">
        <v>1.74</v>
      </c>
      <c r="H2741" s="31">
        <f t="shared" si="162"/>
        <v>348</v>
      </c>
      <c r="I2741" s="170" t="s">
        <v>2842</v>
      </c>
      <c r="J2741" t="s">
        <v>2853</v>
      </c>
      <c r="K2741" s="188" t="s">
        <v>2853</v>
      </c>
    </row>
    <row r="2742" spans="1:11" x14ac:dyDescent="0.25">
      <c r="A2742" t="s">
        <v>7203</v>
      </c>
      <c r="B2742" s="27" t="s">
        <v>4641</v>
      </c>
      <c r="D2742" s="28" t="s">
        <v>566</v>
      </c>
      <c r="E2742" s="29" t="s">
        <v>4633</v>
      </c>
      <c r="F2742" s="30">
        <v>30</v>
      </c>
      <c r="G2742" s="31">
        <v>2.74</v>
      </c>
      <c r="H2742" s="31">
        <f t="shared" si="162"/>
        <v>82.2</v>
      </c>
      <c r="I2742" s="170" t="s">
        <v>2842</v>
      </c>
      <c r="J2742" t="s">
        <v>2853</v>
      </c>
      <c r="K2742" s="188" t="s">
        <v>2853</v>
      </c>
    </row>
    <row r="2743" spans="1:11" x14ac:dyDescent="0.35">
      <c r="A2743" t="s">
        <v>7204</v>
      </c>
      <c r="B2743" s="27" t="s">
        <v>4642</v>
      </c>
      <c r="D2743" s="28" t="s">
        <v>86</v>
      </c>
      <c r="E2743" s="29" t="s">
        <v>4633</v>
      </c>
      <c r="F2743" s="30">
        <v>12</v>
      </c>
      <c r="G2743" s="31">
        <v>20.47</v>
      </c>
      <c r="H2743" s="31">
        <f t="shared" si="162"/>
        <v>245.64</v>
      </c>
      <c r="I2743" s="170" t="s">
        <v>2842</v>
      </c>
      <c r="J2743" s="256" t="s">
        <v>8322</v>
      </c>
      <c r="K2743" s="259">
        <v>45211</v>
      </c>
    </row>
    <row r="2744" spans="1:11" x14ac:dyDescent="0.25">
      <c r="A2744" t="s">
        <v>7205</v>
      </c>
      <c r="B2744" s="27" t="s">
        <v>4643</v>
      </c>
      <c r="D2744" s="28" t="s">
        <v>87</v>
      </c>
      <c r="E2744" s="29" t="s">
        <v>4633</v>
      </c>
      <c r="F2744" s="30">
        <v>200</v>
      </c>
      <c r="G2744" s="31">
        <v>1.9</v>
      </c>
      <c r="H2744" s="31">
        <f t="shared" si="162"/>
        <v>380</v>
      </c>
      <c r="I2744" s="170" t="s">
        <v>2842</v>
      </c>
      <c r="J2744" t="s">
        <v>2853</v>
      </c>
      <c r="K2744" s="188" t="s">
        <v>2853</v>
      </c>
    </row>
    <row r="2745" spans="1:11" x14ac:dyDescent="0.25">
      <c r="A2745" t="s">
        <v>7206</v>
      </c>
      <c r="B2745" s="27" t="s">
        <v>4644</v>
      </c>
      <c r="D2745" s="28" t="s">
        <v>91</v>
      </c>
      <c r="E2745" s="29" t="s">
        <v>4633</v>
      </c>
      <c r="F2745" s="30">
        <v>12</v>
      </c>
      <c r="G2745" s="31">
        <v>25.11</v>
      </c>
      <c r="H2745" s="31">
        <f t="shared" si="162"/>
        <v>301.32</v>
      </c>
      <c r="I2745" s="170" t="s">
        <v>2842</v>
      </c>
      <c r="J2745" t="s">
        <v>2853</v>
      </c>
      <c r="K2745" s="188" t="s">
        <v>2853</v>
      </c>
    </row>
    <row r="2746" spans="1:11" x14ac:dyDescent="0.25">
      <c r="A2746" t="s">
        <v>7207</v>
      </c>
      <c r="B2746" s="27" t="s">
        <v>4645</v>
      </c>
      <c r="D2746" s="28" t="s">
        <v>93</v>
      </c>
      <c r="E2746" s="29" t="s">
        <v>4633</v>
      </c>
      <c r="F2746" s="30">
        <v>12</v>
      </c>
      <c r="G2746" s="31">
        <v>23.55</v>
      </c>
      <c r="H2746" s="31">
        <f t="shared" si="162"/>
        <v>282.60000000000002</v>
      </c>
      <c r="I2746" s="170" t="s">
        <v>2842</v>
      </c>
      <c r="J2746" t="s">
        <v>2853</v>
      </c>
      <c r="K2746" s="188" t="s">
        <v>2853</v>
      </c>
    </row>
    <row r="2747" spans="1:11" x14ac:dyDescent="0.25">
      <c r="A2747" t="s">
        <v>7208</v>
      </c>
      <c r="B2747" s="27" t="s">
        <v>4646</v>
      </c>
      <c r="D2747" s="28" t="s">
        <v>95</v>
      </c>
      <c r="E2747" s="29" t="s">
        <v>4633</v>
      </c>
      <c r="F2747" s="30">
        <v>18</v>
      </c>
      <c r="G2747" s="31">
        <v>20.65</v>
      </c>
      <c r="H2747" s="31">
        <f t="shared" si="162"/>
        <v>371.7</v>
      </c>
      <c r="I2747" s="170" t="s">
        <v>2842</v>
      </c>
      <c r="J2747" t="s">
        <v>2853</v>
      </c>
      <c r="K2747" s="188" t="s">
        <v>2853</v>
      </c>
    </row>
    <row r="2748" spans="1:11" x14ac:dyDescent="0.25">
      <c r="A2748" t="s">
        <v>7209</v>
      </c>
      <c r="B2748" s="27" t="s">
        <v>4647</v>
      </c>
      <c r="D2748" s="28" t="s">
        <v>97</v>
      </c>
      <c r="E2748" s="29" t="s">
        <v>4633</v>
      </c>
      <c r="F2748" s="30">
        <v>12</v>
      </c>
      <c r="G2748" s="31">
        <v>27.97</v>
      </c>
      <c r="H2748" s="31">
        <f t="shared" si="162"/>
        <v>335.64</v>
      </c>
      <c r="I2748" s="170" t="s">
        <v>2842</v>
      </c>
      <c r="J2748" t="s">
        <v>2853</v>
      </c>
      <c r="K2748" s="188" t="s">
        <v>2853</v>
      </c>
    </row>
    <row r="2749" spans="1:11" x14ac:dyDescent="0.25">
      <c r="A2749" t="s">
        <v>7210</v>
      </c>
      <c r="B2749" s="27" t="s">
        <v>4648</v>
      </c>
      <c r="D2749" s="28" t="s">
        <v>99</v>
      </c>
      <c r="E2749" s="29" t="s">
        <v>4633</v>
      </c>
      <c r="F2749" s="30">
        <v>12</v>
      </c>
      <c r="G2749" s="31">
        <v>28.78</v>
      </c>
      <c r="H2749" s="31">
        <f t="shared" si="162"/>
        <v>345.36</v>
      </c>
      <c r="I2749" s="170" t="s">
        <v>2842</v>
      </c>
      <c r="J2749" t="s">
        <v>2853</v>
      </c>
      <c r="K2749" s="188" t="s">
        <v>2853</v>
      </c>
    </row>
    <row r="2750" spans="1:11" x14ac:dyDescent="0.25">
      <c r="A2750" t="s">
        <v>7211</v>
      </c>
      <c r="B2750" s="27" t="s">
        <v>4649</v>
      </c>
      <c r="D2750" s="28" t="s">
        <v>101</v>
      </c>
      <c r="E2750" s="29" t="s">
        <v>4633</v>
      </c>
      <c r="F2750" s="30">
        <v>12</v>
      </c>
      <c r="G2750" s="31">
        <v>27.28</v>
      </c>
      <c r="H2750" s="31">
        <f t="shared" si="162"/>
        <v>327.36</v>
      </c>
      <c r="I2750" s="170" t="s">
        <v>2842</v>
      </c>
      <c r="J2750" t="s">
        <v>2853</v>
      </c>
      <c r="K2750" s="188" t="s">
        <v>2853</v>
      </c>
    </row>
    <row r="2751" spans="1:11" x14ac:dyDescent="0.25">
      <c r="A2751" t="s">
        <v>7212</v>
      </c>
      <c r="B2751" s="27" t="s">
        <v>4650</v>
      </c>
      <c r="D2751" s="28" t="s">
        <v>103</v>
      </c>
      <c r="E2751" s="29" t="s">
        <v>4633</v>
      </c>
      <c r="F2751" s="30">
        <v>18</v>
      </c>
      <c r="G2751" s="31">
        <v>20.62</v>
      </c>
      <c r="H2751" s="31">
        <f t="shared" si="162"/>
        <v>371.16</v>
      </c>
      <c r="I2751" s="170" t="s">
        <v>2842</v>
      </c>
      <c r="J2751" t="s">
        <v>2853</v>
      </c>
      <c r="K2751" s="188" t="s">
        <v>2853</v>
      </c>
    </row>
    <row r="2752" spans="1:11" x14ac:dyDescent="0.25">
      <c r="A2752" t="s">
        <v>7213</v>
      </c>
      <c r="B2752" s="27" t="s">
        <v>4651</v>
      </c>
      <c r="D2752" s="28" t="s">
        <v>105</v>
      </c>
      <c r="E2752" s="29" t="s">
        <v>4633</v>
      </c>
      <c r="F2752" s="30">
        <v>12</v>
      </c>
      <c r="G2752" s="31">
        <v>31.7</v>
      </c>
      <c r="H2752" s="31">
        <f t="shared" si="162"/>
        <v>380.4</v>
      </c>
      <c r="I2752" s="170" t="s">
        <v>2842</v>
      </c>
      <c r="J2752" t="s">
        <v>2853</v>
      </c>
      <c r="K2752" s="188" t="s">
        <v>2853</v>
      </c>
    </row>
    <row r="2753" spans="1:11" x14ac:dyDescent="0.25">
      <c r="A2753" t="s">
        <v>7214</v>
      </c>
      <c r="B2753" s="27" t="s">
        <v>4652</v>
      </c>
      <c r="D2753" s="28" t="s">
        <v>107</v>
      </c>
      <c r="E2753" s="29" t="s">
        <v>4633</v>
      </c>
      <c r="F2753" s="30">
        <v>12</v>
      </c>
      <c r="G2753" s="31">
        <v>36.28</v>
      </c>
      <c r="H2753" s="31">
        <f t="shared" si="162"/>
        <v>435.36</v>
      </c>
      <c r="I2753" s="170" t="s">
        <v>2842</v>
      </c>
      <c r="J2753" t="s">
        <v>2853</v>
      </c>
      <c r="K2753" s="188" t="s">
        <v>2853</v>
      </c>
    </row>
    <row r="2754" spans="1:11" x14ac:dyDescent="0.25">
      <c r="A2754" t="s">
        <v>7215</v>
      </c>
      <c r="B2754" s="27" t="s">
        <v>4653</v>
      </c>
      <c r="D2754" s="28" t="s">
        <v>109</v>
      </c>
      <c r="E2754" s="29" t="s">
        <v>4633</v>
      </c>
      <c r="F2754" s="30">
        <v>12</v>
      </c>
      <c r="G2754" s="31">
        <v>34</v>
      </c>
      <c r="H2754" s="31">
        <f t="shared" si="162"/>
        <v>408</v>
      </c>
      <c r="I2754" s="170" t="s">
        <v>2842</v>
      </c>
      <c r="J2754" t="s">
        <v>2853</v>
      </c>
      <c r="K2754" s="188" t="s">
        <v>2853</v>
      </c>
    </row>
    <row r="2755" spans="1:11" x14ac:dyDescent="0.25">
      <c r="A2755" t="s">
        <v>7216</v>
      </c>
      <c r="B2755" s="27" t="s">
        <v>4654</v>
      </c>
      <c r="D2755" s="28" t="s">
        <v>112</v>
      </c>
      <c r="E2755" s="29" t="s">
        <v>4633</v>
      </c>
      <c r="F2755" s="30">
        <v>12</v>
      </c>
      <c r="G2755" s="31">
        <v>39.18</v>
      </c>
      <c r="H2755" s="31">
        <f t="shared" si="162"/>
        <v>470.15999999999997</v>
      </c>
      <c r="I2755" s="170" t="s">
        <v>2842</v>
      </c>
      <c r="J2755" t="s">
        <v>2853</v>
      </c>
      <c r="K2755" s="188" t="s">
        <v>2853</v>
      </c>
    </row>
    <row r="2756" spans="1:11" x14ac:dyDescent="0.25">
      <c r="A2756" t="s">
        <v>7217</v>
      </c>
      <c r="B2756" s="27" t="s">
        <v>4655</v>
      </c>
      <c r="D2756" s="28" t="s">
        <v>118</v>
      </c>
      <c r="E2756" s="29" t="s">
        <v>4633</v>
      </c>
      <c r="F2756" s="30">
        <v>25</v>
      </c>
      <c r="G2756" s="31">
        <v>5.09</v>
      </c>
      <c r="H2756" s="31">
        <f t="shared" si="162"/>
        <v>127.25</v>
      </c>
      <c r="I2756" s="170" t="s">
        <v>2842</v>
      </c>
      <c r="J2756" t="s">
        <v>2853</v>
      </c>
      <c r="K2756" s="188" t="s">
        <v>2853</v>
      </c>
    </row>
    <row r="2757" spans="1:11" x14ac:dyDescent="0.25">
      <c r="A2757" t="s">
        <v>7218</v>
      </c>
      <c r="B2757" s="27" t="s">
        <v>4656</v>
      </c>
      <c r="D2757" s="28" t="s">
        <v>121</v>
      </c>
      <c r="E2757" s="29" t="s">
        <v>4633</v>
      </c>
      <c r="F2757" s="30">
        <v>25</v>
      </c>
      <c r="G2757" s="31">
        <v>6.59</v>
      </c>
      <c r="H2757" s="31">
        <f t="shared" si="162"/>
        <v>164.75</v>
      </c>
      <c r="I2757" s="170" t="s">
        <v>2842</v>
      </c>
      <c r="J2757" t="s">
        <v>2853</v>
      </c>
      <c r="K2757" s="188" t="s">
        <v>2853</v>
      </c>
    </row>
    <row r="2758" spans="1:11" x14ac:dyDescent="0.25">
      <c r="A2758" t="s">
        <v>7219</v>
      </c>
      <c r="B2758" s="27" t="s">
        <v>4657</v>
      </c>
      <c r="D2758" s="28" t="s">
        <v>123</v>
      </c>
      <c r="E2758" s="29" t="s">
        <v>4633</v>
      </c>
      <c r="F2758" s="30">
        <v>25</v>
      </c>
      <c r="G2758" s="31">
        <v>7.39</v>
      </c>
      <c r="H2758" s="31">
        <f t="shared" si="162"/>
        <v>184.75</v>
      </c>
      <c r="I2758" s="170" t="s">
        <v>2842</v>
      </c>
      <c r="J2758" t="s">
        <v>2853</v>
      </c>
      <c r="K2758" s="188" t="s">
        <v>2853</v>
      </c>
    </row>
    <row r="2759" spans="1:11" x14ac:dyDescent="0.25">
      <c r="A2759" t="s">
        <v>7220</v>
      </c>
      <c r="B2759" s="27" t="s">
        <v>4658</v>
      </c>
      <c r="D2759" s="28" t="s">
        <v>125</v>
      </c>
      <c r="E2759" s="29" t="s">
        <v>4633</v>
      </c>
      <c r="F2759" s="30">
        <v>25</v>
      </c>
      <c r="G2759" s="31">
        <v>8.8699999999999992</v>
      </c>
      <c r="H2759" s="31">
        <f t="shared" si="162"/>
        <v>221.74999999999997</v>
      </c>
      <c r="I2759" s="170" t="s">
        <v>2842</v>
      </c>
      <c r="J2759" t="s">
        <v>2853</v>
      </c>
      <c r="K2759" s="188" t="s">
        <v>2853</v>
      </c>
    </row>
    <row r="2760" spans="1:11" x14ac:dyDescent="0.25">
      <c r="A2760" t="s">
        <v>7221</v>
      </c>
      <c r="B2760" s="27" t="s">
        <v>4659</v>
      </c>
      <c r="D2760" s="28" t="s">
        <v>128</v>
      </c>
      <c r="E2760" s="29" t="s">
        <v>4633</v>
      </c>
      <c r="F2760" s="30">
        <v>25</v>
      </c>
      <c r="G2760" s="31">
        <v>9.8000000000000007</v>
      </c>
      <c r="H2760" s="31">
        <f t="shared" si="162"/>
        <v>245.00000000000003</v>
      </c>
      <c r="I2760" s="170" t="s">
        <v>2842</v>
      </c>
      <c r="J2760" t="s">
        <v>2853</v>
      </c>
      <c r="K2760" s="188" t="s">
        <v>2853</v>
      </c>
    </row>
    <row r="2761" spans="1:11" x14ac:dyDescent="0.25">
      <c r="A2761" t="s">
        <v>7222</v>
      </c>
      <c r="B2761" s="27" t="s">
        <v>4660</v>
      </c>
      <c r="D2761" s="28" t="s">
        <v>4661</v>
      </c>
      <c r="E2761" s="29" t="s">
        <v>4633</v>
      </c>
      <c r="F2761" s="30">
        <v>50</v>
      </c>
      <c r="G2761" s="31">
        <v>1.05</v>
      </c>
      <c r="H2761" s="31">
        <f t="shared" si="162"/>
        <v>52.5</v>
      </c>
      <c r="I2761" s="170" t="s">
        <v>2842</v>
      </c>
      <c r="J2761" t="s">
        <v>2853</v>
      </c>
      <c r="K2761" s="188" t="s">
        <v>2853</v>
      </c>
    </row>
    <row r="2762" spans="1:11" x14ac:dyDescent="0.25">
      <c r="A2762" t="s">
        <v>7223</v>
      </c>
      <c r="B2762" s="27" t="s">
        <v>4662</v>
      </c>
      <c r="D2762" s="28" t="s">
        <v>4663</v>
      </c>
      <c r="E2762" s="29" t="s">
        <v>4633</v>
      </c>
      <c r="F2762" s="30">
        <v>50</v>
      </c>
      <c r="G2762" s="31">
        <v>1.24</v>
      </c>
      <c r="H2762" s="31">
        <f t="shared" si="162"/>
        <v>62</v>
      </c>
      <c r="I2762" s="170" t="s">
        <v>2842</v>
      </c>
      <c r="J2762" t="s">
        <v>2853</v>
      </c>
      <c r="K2762" s="188" t="s">
        <v>2853</v>
      </c>
    </row>
    <row r="2763" spans="1:11" x14ac:dyDescent="0.25">
      <c r="A2763" t="s">
        <v>7224</v>
      </c>
      <c r="B2763" s="27" t="s">
        <v>4664</v>
      </c>
      <c r="D2763" s="28" t="s">
        <v>602</v>
      </c>
      <c r="E2763" s="29" t="s">
        <v>4633</v>
      </c>
      <c r="F2763" s="30">
        <v>25</v>
      </c>
      <c r="G2763" s="31">
        <v>2.62</v>
      </c>
      <c r="H2763" s="31">
        <f t="shared" si="162"/>
        <v>65.5</v>
      </c>
      <c r="I2763" s="170" t="s">
        <v>2842</v>
      </c>
      <c r="J2763" t="s">
        <v>2853</v>
      </c>
      <c r="K2763" s="188" t="s">
        <v>2853</v>
      </c>
    </row>
    <row r="2764" spans="1:11" x14ac:dyDescent="0.25">
      <c r="A2764" t="s">
        <v>7225</v>
      </c>
      <c r="B2764" s="27" t="s">
        <v>4665</v>
      </c>
      <c r="D2764" s="28" t="s">
        <v>604</v>
      </c>
      <c r="E2764" s="29" t="s">
        <v>4633</v>
      </c>
      <c r="F2764" s="30">
        <v>25</v>
      </c>
      <c r="G2764" s="31">
        <v>2.86</v>
      </c>
      <c r="H2764" s="31">
        <f t="shared" si="162"/>
        <v>71.5</v>
      </c>
      <c r="I2764" s="170" t="s">
        <v>2842</v>
      </c>
      <c r="J2764" t="s">
        <v>2853</v>
      </c>
      <c r="K2764" s="188" t="s">
        <v>2853</v>
      </c>
    </row>
    <row r="2765" spans="1:11" x14ac:dyDescent="0.25">
      <c r="A2765" t="s">
        <v>7226</v>
      </c>
      <c r="B2765" s="27" t="s">
        <v>4666</v>
      </c>
      <c r="D2765" s="28" t="s">
        <v>606</v>
      </c>
      <c r="E2765" s="29" t="s">
        <v>4633</v>
      </c>
      <c r="F2765" s="30">
        <v>20</v>
      </c>
      <c r="G2765" s="31">
        <v>4.0199999999999996</v>
      </c>
      <c r="H2765" s="31">
        <f t="shared" si="162"/>
        <v>80.399999999999991</v>
      </c>
      <c r="I2765" s="170" t="s">
        <v>2842</v>
      </c>
      <c r="J2765" t="s">
        <v>2853</v>
      </c>
      <c r="K2765" s="188" t="s">
        <v>2853</v>
      </c>
    </row>
    <row r="2766" spans="1:11" x14ac:dyDescent="0.25">
      <c r="A2766" t="s">
        <v>7227</v>
      </c>
      <c r="B2766" s="27" t="s">
        <v>4667</v>
      </c>
      <c r="D2766" s="28" t="s">
        <v>2840</v>
      </c>
      <c r="E2766" s="29" t="s">
        <v>4633</v>
      </c>
      <c r="F2766" s="30">
        <v>25</v>
      </c>
      <c r="G2766" s="31">
        <v>1.57</v>
      </c>
      <c r="H2766" s="31">
        <f t="shared" si="162"/>
        <v>39.25</v>
      </c>
      <c r="I2766" s="170" t="s">
        <v>2842</v>
      </c>
      <c r="J2766" t="s">
        <v>2853</v>
      </c>
      <c r="K2766" s="188" t="s">
        <v>2853</v>
      </c>
    </row>
    <row r="2767" spans="1:11" x14ac:dyDescent="0.25">
      <c r="A2767" t="s">
        <v>7228</v>
      </c>
      <c r="B2767" s="27" t="s">
        <v>4668</v>
      </c>
      <c r="D2767" s="28" t="s">
        <v>2841</v>
      </c>
      <c r="E2767" s="29" t="s">
        <v>4633</v>
      </c>
      <c r="F2767" s="30">
        <v>25</v>
      </c>
      <c r="G2767" s="31">
        <v>2.4</v>
      </c>
      <c r="H2767" s="31">
        <f t="shared" si="162"/>
        <v>60</v>
      </c>
      <c r="I2767" s="170" t="s">
        <v>2842</v>
      </c>
      <c r="J2767" t="s">
        <v>2853</v>
      </c>
      <c r="K2767" s="188" t="s">
        <v>2853</v>
      </c>
    </row>
    <row r="2768" spans="1:11" x14ac:dyDescent="0.25">
      <c r="A2768" t="s">
        <v>7229</v>
      </c>
      <c r="B2768" s="27" t="s">
        <v>4669</v>
      </c>
      <c r="D2768" s="28" t="s">
        <v>2780</v>
      </c>
      <c r="E2768" s="29" t="s">
        <v>4633</v>
      </c>
      <c r="F2768" s="30">
        <v>20</v>
      </c>
      <c r="G2768" s="31">
        <v>2.6</v>
      </c>
      <c r="H2768" s="31">
        <f t="shared" si="162"/>
        <v>52</v>
      </c>
      <c r="I2768" s="170" t="s">
        <v>2842</v>
      </c>
      <c r="J2768" t="s">
        <v>2853</v>
      </c>
      <c r="K2768" s="188" t="s">
        <v>2853</v>
      </c>
    </row>
    <row r="2769" spans="1:11" x14ac:dyDescent="0.25">
      <c r="A2769" t="s">
        <v>7230</v>
      </c>
      <c r="B2769" s="27" t="s">
        <v>4670</v>
      </c>
      <c r="D2769" s="28" t="s">
        <v>7369</v>
      </c>
      <c r="E2769" s="29" t="s">
        <v>4633</v>
      </c>
      <c r="F2769" s="30">
        <v>20</v>
      </c>
      <c r="G2769" s="31">
        <v>4.5199999999999996</v>
      </c>
      <c r="H2769" s="31">
        <f t="shared" si="162"/>
        <v>90.399999999999991</v>
      </c>
      <c r="I2769" s="170" t="s">
        <v>2842</v>
      </c>
      <c r="J2769" t="s">
        <v>2853</v>
      </c>
      <c r="K2769" s="188" t="s">
        <v>2853</v>
      </c>
    </row>
    <row r="2770" spans="1:11" x14ac:dyDescent="0.25">
      <c r="A2770" t="s">
        <v>7231</v>
      </c>
      <c r="B2770" s="27" t="s">
        <v>4671</v>
      </c>
      <c r="D2770" s="28" t="s">
        <v>2785</v>
      </c>
      <c r="E2770" s="29" t="s">
        <v>4633</v>
      </c>
      <c r="F2770" s="30">
        <v>20</v>
      </c>
      <c r="G2770" s="31">
        <v>5.04</v>
      </c>
      <c r="H2770" s="31">
        <f t="shared" si="162"/>
        <v>100.8</v>
      </c>
      <c r="I2770" s="170" t="s">
        <v>2842</v>
      </c>
      <c r="J2770" t="s">
        <v>2853</v>
      </c>
      <c r="K2770" s="188" t="s">
        <v>2853</v>
      </c>
    </row>
    <row r="2771" spans="1:11" x14ac:dyDescent="0.25">
      <c r="A2771" t="s">
        <v>7232</v>
      </c>
      <c r="B2771" s="27" t="s">
        <v>4672</v>
      </c>
      <c r="D2771" s="28" t="s">
        <v>2778</v>
      </c>
      <c r="E2771" s="29" t="s">
        <v>4633</v>
      </c>
      <c r="F2771" s="30">
        <v>20</v>
      </c>
      <c r="G2771" s="31">
        <v>2.06</v>
      </c>
      <c r="H2771" s="31">
        <f t="shared" si="162"/>
        <v>41.2</v>
      </c>
      <c r="I2771" s="170" t="s">
        <v>2842</v>
      </c>
      <c r="J2771" t="s">
        <v>2853</v>
      </c>
      <c r="K2771" s="188" t="s">
        <v>2853</v>
      </c>
    </row>
    <row r="2772" spans="1:11" x14ac:dyDescent="0.25">
      <c r="A2772" t="s">
        <v>7233</v>
      </c>
      <c r="B2772" s="27" t="s">
        <v>4673</v>
      </c>
      <c r="D2772" s="28" t="s">
        <v>2779</v>
      </c>
      <c r="E2772" s="29" t="s">
        <v>4633</v>
      </c>
      <c r="F2772" s="30">
        <v>20</v>
      </c>
      <c r="G2772" s="31">
        <v>1.9</v>
      </c>
      <c r="H2772" s="31">
        <f t="shared" si="162"/>
        <v>38</v>
      </c>
      <c r="I2772" s="170" t="s">
        <v>2842</v>
      </c>
      <c r="J2772" t="s">
        <v>2853</v>
      </c>
      <c r="K2772" s="188" t="s">
        <v>2853</v>
      </c>
    </row>
    <row r="2773" spans="1:11" x14ac:dyDescent="0.25">
      <c r="A2773" t="s">
        <v>7234</v>
      </c>
      <c r="B2773" s="27" t="s">
        <v>4674</v>
      </c>
      <c r="D2773" s="28" t="s">
        <v>2781</v>
      </c>
      <c r="E2773" s="29" t="s">
        <v>4633</v>
      </c>
      <c r="F2773" s="30">
        <v>20</v>
      </c>
      <c r="G2773" s="31">
        <v>4.21</v>
      </c>
      <c r="H2773" s="31">
        <f t="shared" si="162"/>
        <v>84.2</v>
      </c>
      <c r="I2773" s="170" t="s">
        <v>2842</v>
      </c>
      <c r="J2773" t="s">
        <v>2853</v>
      </c>
      <c r="K2773" s="188" t="s">
        <v>2853</v>
      </c>
    </row>
    <row r="2774" spans="1:11" x14ac:dyDescent="0.25">
      <c r="A2774" t="s">
        <v>7235</v>
      </c>
      <c r="B2774" s="27" t="s">
        <v>4675</v>
      </c>
      <c r="D2774" s="28" t="s">
        <v>2782</v>
      </c>
      <c r="E2774" s="29" t="s">
        <v>4633</v>
      </c>
      <c r="F2774" s="30">
        <v>20</v>
      </c>
      <c r="G2774" s="31">
        <v>3.81</v>
      </c>
      <c r="H2774" s="31">
        <f t="shared" si="162"/>
        <v>76.2</v>
      </c>
      <c r="I2774" s="170" t="s">
        <v>2842</v>
      </c>
      <c r="J2774" t="s">
        <v>2853</v>
      </c>
      <c r="K2774" s="188" t="s">
        <v>2853</v>
      </c>
    </row>
    <row r="2775" spans="1:11" x14ac:dyDescent="0.25">
      <c r="A2775" t="s">
        <v>7236</v>
      </c>
      <c r="B2775" s="27" t="s">
        <v>4676</v>
      </c>
      <c r="D2775" s="28" t="s">
        <v>2783</v>
      </c>
      <c r="E2775" s="29" t="s">
        <v>4633</v>
      </c>
      <c r="F2775" s="30">
        <v>20</v>
      </c>
      <c r="G2775" s="31">
        <v>3.51</v>
      </c>
      <c r="H2775" s="31">
        <f t="shared" si="162"/>
        <v>70.199999999999989</v>
      </c>
      <c r="I2775" s="170" t="s">
        <v>2842</v>
      </c>
      <c r="J2775" t="s">
        <v>2853</v>
      </c>
      <c r="K2775" s="188" t="s">
        <v>2853</v>
      </c>
    </row>
    <row r="2776" spans="1:11" x14ac:dyDescent="0.25">
      <c r="A2776" t="s">
        <v>7237</v>
      </c>
      <c r="B2776" s="27" t="s">
        <v>4677</v>
      </c>
      <c r="D2776" s="28" t="s">
        <v>2786</v>
      </c>
      <c r="E2776" s="29" t="s">
        <v>4633</v>
      </c>
      <c r="F2776" s="30">
        <v>25</v>
      </c>
      <c r="G2776" s="31">
        <v>2.69</v>
      </c>
      <c r="H2776" s="31">
        <f t="shared" si="162"/>
        <v>67.25</v>
      </c>
      <c r="I2776" s="170" t="s">
        <v>2842</v>
      </c>
      <c r="J2776" t="s">
        <v>2853</v>
      </c>
      <c r="K2776" s="188" t="s">
        <v>2853</v>
      </c>
    </row>
    <row r="2777" spans="1:11" x14ac:dyDescent="0.25">
      <c r="A2777" t="s">
        <v>7238</v>
      </c>
      <c r="B2777" s="27" t="s">
        <v>4678</v>
      </c>
      <c r="D2777" s="28" t="s">
        <v>2787</v>
      </c>
      <c r="E2777" s="29" t="s">
        <v>4633</v>
      </c>
      <c r="F2777" s="30">
        <v>16</v>
      </c>
      <c r="G2777" s="31">
        <v>4.74</v>
      </c>
      <c r="H2777" s="31">
        <f t="shared" si="162"/>
        <v>75.84</v>
      </c>
      <c r="I2777" s="170" t="s">
        <v>2842</v>
      </c>
      <c r="J2777" t="s">
        <v>2853</v>
      </c>
      <c r="K2777" s="188" t="s">
        <v>2853</v>
      </c>
    </row>
    <row r="2778" spans="1:11" x14ac:dyDescent="0.25">
      <c r="A2778" t="s">
        <v>7239</v>
      </c>
      <c r="B2778" s="27" t="s">
        <v>4679</v>
      </c>
      <c r="D2778" s="28" t="s">
        <v>2788</v>
      </c>
      <c r="E2778" s="29" t="s">
        <v>4633</v>
      </c>
      <c r="F2778" s="30">
        <v>6</v>
      </c>
      <c r="G2778" s="31">
        <v>7.81</v>
      </c>
      <c r="H2778" s="31">
        <f t="shared" si="162"/>
        <v>46.86</v>
      </c>
      <c r="I2778" s="170" t="s">
        <v>2842</v>
      </c>
      <c r="J2778" t="s">
        <v>2853</v>
      </c>
      <c r="K2778" s="188" t="s">
        <v>2853</v>
      </c>
    </row>
    <row r="2779" spans="1:11" x14ac:dyDescent="0.25">
      <c r="A2779" t="s">
        <v>7240</v>
      </c>
      <c r="B2779" s="27" t="s">
        <v>4680</v>
      </c>
      <c r="D2779" s="28" t="s">
        <v>2789</v>
      </c>
      <c r="E2779" s="29" t="s">
        <v>4633</v>
      </c>
      <c r="F2779" s="30">
        <v>6</v>
      </c>
      <c r="G2779" s="31">
        <v>10.24</v>
      </c>
      <c r="H2779" s="31">
        <f t="shared" si="162"/>
        <v>61.44</v>
      </c>
      <c r="I2779" s="170" t="s">
        <v>2842</v>
      </c>
      <c r="J2779" t="s">
        <v>2853</v>
      </c>
      <c r="K2779" s="188" t="s">
        <v>2853</v>
      </c>
    </row>
    <row r="2780" spans="1:11" x14ac:dyDescent="0.25">
      <c r="A2780" t="s">
        <v>7241</v>
      </c>
      <c r="B2780" s="27" t="s">
        <v>4681</v>
      </c>
      <c r="D2780" s="28" t="s">
        <v>2790</v>
      </c>
      <c r="E2780" s="29" t="s">
        <v>4633</v>
      </c>
      <c r="F2780" s="30">
        <v>6</v>
      </c>
      <c r="G2780" s="31">
        <v>11.79</v>
      </c>
      <c r="H2780" s="31">
        <f t="shared" si="162"/>
        <v>70.739999999999995</v>
      </c>
      <c r="I2780" s="170" t="s">
        <v>2842</v>
      </c>
      <c r="J2780" t="s">
        <v>2853</v>
      </c>
      <c r="K2780" s="188" t="s">
        <v>2853</v>
      </c>
    </row>
    <row r="2781" spans="1:11" x14ac:dyDescent="0.25">
      <c r="A2781" t="s">
        <v>7242</v>
      </c>
      <c r="B2781" s="27" t="s">
        <v>4682</v>
      </c>
      <c r="D2781" s="28" t="s">
        <v>2791</v>
      </c>
      <c r="E2781" s="29" t="s">
        <v>4633</v>
      </c>
      <c r="F2781" s="30">
        <v>6</v>
      </c>
      <c r="G2781" s="31">
        <v>14.23</v>
      </c>
      <c r="H2781" s="31">
        <f t="shared" si="162"/>
        <v>85.38</v>
      </c>
      <c r="I2781" s="170" t="s">
        <v>2842</v>
      </c>
      <c r="J2781" t="s">
        <v>2853</v>
      </c>
      <c r="K2781" s="188" t="s">
        <v>2853</v>
      </c>
    </row>
    <row r="2782" spans="1:11" x14ac:dyDescent="0.25">
      <c r="A2782" t="s">
        <v>7243</v>
      </c>
      <c r="B2782" s="27" t="s">
        <v>4683</v>
      </c>
      <c r="D2782" s="28" t="s">
        <v>4684</v>
      </c>
      <c r="E2782" s="29" t="s">
        <v>4633</v>
      </c>
      <c r="F2782" s="30">
        <v>50</v>
      </c>
      <c r="G2782" s="31">
        <v>5.53</v>
      </c>
      <c r="H2782" s="31">
        <f t="shared" si="162"/>
        <v>276.5</v>
      </c>
      <c r="I2782" s="170" t="s">
        <v>2842</v>
      </c>
      <c r="J2782" t="s">
        <v>2853</v>
      </c>
      <c r="K2782" s="188" t="s">
        <v>2853</v>
      </c>
    </row>
    <row r="2783" spans="1:11" x14ac:dyDescent="0.25">
      <c r="A2783" t="s">
        <v>7244</v>
      </c>
      <c r="B2783" s="27" t="s">
        <v>4685</v>
      </c>
      <c r="D2783" s="28" t="s">
        <v>199</v>
      </c>
      <c r="E2783" s="29" t="s">
        <v>4633</v>
      </c>
      <c r="F2783" s="30">
        <v>6</v>
      </c>
      <c r="G2783" s="31">
        <v>15.46</v>
      </c>
      <c r="H2783" s="31">
        <f t="shared" si="162"/>
        <v>92.76</v>
      </c>
      <c r="I2783" s="170" t="s">
        <v>2842</v>
      </c>
      <c r="J2783" t="s">
        <v>2853</v>
      </c>
      <c r="K2783" s="188" t="s">
        <v>2853</v>
      </c>
    </row>
    <row r="2784" spans="1:11" x14ac:dyDescent="0.25">
      <c r="A2784" t="s">
        <v>7245</v>
      </c>
      <c r="B2784" s="27" t="s">
        <v>4686</v>
      </c>
      <c r="D2784" s="28" t="s">
        <v>200</v>
      </c>
      <c r="E2784" s="29" t="s">
        <v>4633</v>
      </c>
      <c r="F2784" s="30">
        <v>6</v>
      </c>
      <c r="G2784" s="31">
        <v>14.01</v>
      </c>
      <c r="H2784" s="31">
        <f t="shared" si="162"/>
        <v>84.06</v>
      </c>
      <c r="I2784" s="170" t="s">
        <v>2842</v>
      </c>
      <c r="J2784" t="s">
        <v>2853</v>
      </c>
      <c r="K2784" s="188" t="s">
        <v>2853</v>
      </c>
    </row>
    <row r="2785" spans="1:11" x14ac:dyDescent="0.25">
      <c r="A2785" t="s">
        <v>7246</v>
      </c>
      <c r="B2785" s="27" t="s">
        <v>4687</v>
      </c>
      <c r="D2785" s="28" t="s">
        <v>201</v>
      </c>
      <c r="E2785" s="29" t="s">
        <v>4633</v>
      </c>
      <c r="F2785" s="30">
        <v>6</v>
      </c>
      <c r="G2785" s="31">
        <v>10.57</v>
      </c>
      <c r="H2785" s="31">
        <f t="shared" si="162"/>
        <v>63.42</v>
      </c>
      <c r="I2785" s="170" t="s">
        <v>2842</v>
      </c>
      <c r="J2785" t="s">
        <v>2853</v>
      </c>
      <c r="K2785" s="188" t="s">
        <v>2853</v>
      </c>
    </row>
    <row r="2786" spans="1:11" x14ac:dyDescent="0.25">
      <c r="A2786" t="s">
        <v>7247</v>
      </c>
      <c r="B2786" s="27" t="s">
        <v>4688</v>
      </c>
      <c r="D2786" s="28" t="s">
        <v>204</v>
      </c>
      <c r="E2786" s="29" t="s">
        <v>4633</v>
      </c>
      <c r="F2786" s="30">
        <v>6</v>
      </c>
      <c r="G2786" s="31">
        <v>17.38</v>
      </c>
      <c r="H2786" s="31">
        <f t="shared" si="162"/>
        <v>104.28</v>
      </c>
      <c r="I2786" s="170" t="s">
        <v>2842</v>
      </c>
      <c r="J2786" t="s">
        <v>2853</v>
      </c>
      <c r="K2786" s="188" t="s">
        <v>2853</v>
      </c>
    </row>
    <row r="2787" spans="1:11" x14ac:dyDescent="0.25">
      <c r="A2787" t="s">
        <v>7248</v>
      </c>
      <c r="B2787" s="27" t="s">
        <v>4689</v>
      </c>
      <c r="D2787" s="28" t="s">
        <v>208</v>
      </c>
      <c r="E2787" s="29" t="s">
        <v>4633</v>
      </c>
      <c r="F2787" s="30">
        <v>6</v>
      </c>
      <c r="G2787" s="31">
        <v>15.15</v>
      </c>
      <c r="H2787" s="31">
        <f t="shared" si="162"/>
        <v>90.9</v>
      </c>
      <c r="I2787" s="170" t="s">
        <v>2842</v>
      </c>
      <c r="J2787" t="s">
        <v>2853</v>
      </c>
      <c r="K2787" s="188" t="s">
        <v>2853</v>
      </c>
    </row>
    <row r="2788" spans="1:11" x14ac:dyDescent="0.25">
      <c r="A2788" t="s">
        <v>7249</v>
      </c>
      <c r="B2788" s="27" t="s">
        <v>4690</v>
      </c>
      <c r="D2788" s="28" t="s">
        <v>211</v>
      </c>
      <c r="E2788" s="29" t="s">
        <v>4633</v>
      </c>
      <c r="F2788" s="30">
        <v>6</v>
      </c>
      <c r="G2788" s="31">
        <v>13.95</v>
      </c>
      <c r="H2788" s="31">
        <f t="shared" si="162"/>
        <v>83.699999999999989</v>
      </c>
      <c r="I2788" s="170" t="s">
        <v>2842</v>
      </c>
      <c r="J2788" t="s">
        <v>2853</v>
      </c>
      <c r="K2788" s="188" t="s">
        <v>2853</v>
      </c>
    </row>
    <row r="2789" spans="1:11" x14ac:dyDescent="0.25">
      <c r="A2789" t="s">
        <v>7250</v>
      </c>
      <c r="B2789" s="27" t="s">
        <v>4691</v>
      </c>
      <c r="D2789" s="28" t="s">
        <v>214</v>
      </c>
      <c r="E2789" s="29" t="s">
        <v>4633</v>
      </c>
      <c r="F2789" s="30">
        <v>6</v>
      </c>
      <c r="G2789" s="31">
        <v>15.15</v>
      </c>
      <c r="H2789" s="31">
        <f t="shared" si="162"/>
        <v>90.9</v>
      </c>
      <c r="I2789" s="170" t="s">
        <v>2842</v>
      </c>
      <c r="J2789" t="s">
        <v>2853</v>
      </c>
      <c r="K2789" s="188" t="s">
        <v>2853</v>
      </c>
    </row>
    <row r="2790" spans="1:11" x14ac:dyDescent="0.25">
      <c r="A2790" t="s">
        <v>7251</v>
      </c>
      <c r="B2790" s="27" t="s">
        <v>4692</v>
      </c>
      <c r="D2790" s="28" t="s">
        <v>218</v>
      </c>
      <c r="E2790" s="29" t="s">
        <v>4633</v>
      </c>
      <c r="F2790" s="30">
        <v>25</v>
      </c>
      <c r="G2790" s="31">
        <v>4.34</v>
      </c>
      <c r="H2790" s="31">
        <f t="shared" si="162"/>
        <v>108.5</v>
      </c>
      <c r="I2790" s="170" t="s">
        <v>2842</v>
      </c>
      <c r="J2790" t="s">
        <v>2853</v>
      </c>
      <c r="K2790" s="188" t="s">
        <v>2853</v>
      </c>
    </row>
    <row r="2791" spans="1:11" x14ac:dyDescent="0.25">
      <c r="A2791" t="s">
        <v>7252</v>
      </c>
      <c r="B2791" s="27" t="s">
        <v>4693</v>
      </c>
      <c r="D2791" s="28" t="s">
        <v>401</v>
      </c>
      <c r="E2791" s="29" t="s">
        <v>4633</v>
      </c>
      <c r="F2791" s="30">
        <v>1</v>
      </c>
      <c r="G2791" s="31">
        <v>155.27000000000001</v>
      </c>
      <c r="H2791" s="31">
        <f t="shared" si="162"/>
        <v>155.27000000000001</v>
      </c>
      <c r="I2791" s="170" t="s">
        <v>2842</v>
      </c>
      <c r="J2791" t="s">
        <v>2853</v>
      </c>
      <c r="K2791" s="188" t="s">
        <v>2853</v>
      </c>
    </row>
    <row r="2792" spans="1:11" x14ac:dyDescent="0.25">
      <c r="A2792" t="s">
        <v>7253</v>
      </c>
      <c r="B2792" s="27" t="s">
        <v>4694</v>
      </c>
      <c r="D2792" s="28" t="s">
        <v>4695</v>
      </c>
      <c r="E2792" s="29" t="s">
        <v>4633</v>
      </c>
      <c r="F2792" s="30">
        <v>1</v>
      </c>
      <c r="G2792" s="31">
        <v>148.12</v>
      </c>
      <c r="H2792" s="31">
        <f t="shared" si="162"/>
        <v>148.12</v>
      </c>
      <c r="I2792" s="170" t="s">
        <v>2842</v>
      </c>
      <c r="J2792" t="s">
        <v>2853</v>
      </c>
      <c r="K2792" s="188" t="s">
        <v>2853</v>
      </c>
    </row>
    <row r="2793" spans="1:11" x14ac:dyDescent="0.25">
      <c r="A2793" t="s">
        <v>7254</v>
      </c>
      <c r="B2793" s="27" t="s">
        <v>4696</v>
      </c>
      <c r="D2793" s="28" t="s">
        <v>490</v>
      </c>
      <c r="E2793" s="29" t="s">
        <v>4633</v>
      </c>
      <c r="F2793" s="30">
        <v>1</v>
      </c>
      <c r="G2793" s="31">
        <v>73.94</v>
      </c>
      <c r="H2793" s="31">
        <f t="shared" si="162"/>
        <v>73.94</v>
      </c>
      <c r="I2793" s="170" t="s">
        <v>2842</v>
      </c>
      <c r="J2793" t="s">
        <v>2853</v>
      </c>
      <c r="K2793" s="188" t="s">
        <v>2853</v>
      </c>
    </row>
    <row r="2794" spans="1:11" x14ac:dyDescent="0.25">
      <c r="A2794" t="s">
        <v>7255</v>
      </c>
      <c r="B2794" s="27" t="s">
        <v>4697</v>
      </c>
      <c r="D2794" s="28" t="s">
        <v>494</v>
      </c>
      <c r="E2794" s="29" t="s">
        <v>4633</v>
      </c>
      <c r="F2794" s="30">
        <v>1</v>
      </c>
      <c r="G2794" s="31">
        <v>80.430000000000007</v>
      </c>
      <c r="H2794" s="31">
        <f t="shared" si="162"/>
        <v>80.430000000000007</v>
      </c>
      <c r="I2794" s="170" t="s">
        <v>2842</v>
      </c>
      <c r="J2794" t="s">
        <v>2853</v>
      </c>
      <c r="K2794" s="188" t="s">
        <v>2853</v>
      </c>
    </row>
    <row r="2795" spans="1:11" x14ac:dyDescent="0.25">
      <c r="A2795" t="s">
        <v>7256</v>
      </c>
      <c r="B2795" s="27" t="s">
        <v>4698</v>
      </c>
      <c r="D2795" s="28" t="s">
        <v>497</v>
      </c>
      <c r="E2795" s="29" t="s">
        <v>4633</v>
      </c>
      <c r="F2795" s="30">
        <v>1</v>
      </c>
      <c r="G2795" s="31">
        <v>86.93</v>
      </c>
      <c r="H2795" s="31">
        <f t="shared" si="162"/>
        <v>86.93</v>
      </c>
      <c r="I2795" s="170" t="s">
        <v>2842</v>
      </c>
      <c r="J2795" t="s">
        <v>2853</v>
      </c>
      <c r="K2795" s="188" t="s">
        <v>2853</v>
      </c>
    </row>
    <row r="2796" spans="1:11" x14ac:dyDescent="0.25">
      <c r="A2796" t="s">
        <v>7257</v>
      </c>
      <c r="B2796" s="27" t="s">
        <v>4699</v>
      </c>
      <c r="D2796" s="28" t="s">
        <v>498</v>
      </c>
      <c r="E2796" s="29" t="s">
        <v>4633</v>
      </c>
      <c r="F2796" s="30">
        <v>1</v>
      </c>
      <c r="G2796" s="31">
        <v>93.41</v>
      </c>
      <c r="H2796" s="31">
        <f t="shared" si="162"/>
        <v>93.41</v>
      </c>
      <c r="I2796" s="170" t="s">
        <v>2842</v>
      </c>
      <c r="J2796" t="s">
        <v>2853</v>
      </c>
      <c r="K2796" s="188" t="s">
        <v>2853</v>
      </c>
    </row>
    <row r="2797" spans="1:11" x14ac:dyDescent="0.25">
      <c r="A2797" t="s">
        <v>7258</v>
      </c>
      <c r="B2797" s="27" t="s">
        <v>4700</v>
      </c>
      <c r="D2797" s="28" t="s">
        <v>490</v>
      </c>
      <c r="E2797" s="29" t="s">
        <v>4633</v>
      </c>
      <c r="F2797" s="30">
        <v>1</v>
      </c>
      <c r="G2797" s="31">
        <v>73.94</v>
      </c>
      <c r="H2797" s="31">
        <f t="shared" si="162"/>
        <v>73.94</v>
      </c>
      <c r="I2797" s="170" t="s">
        <v>2842</v>
      </c>
      <c r="J2797" t="s">
        <v>2853</v>
      </c>
      <c r="K2797" s="188" t="s">
        <v>2853</v>
      </c>
    </row>
    <row r="2798" spans="1:11" x14ac:dyDescent="0.25">
      <c r="A2798" t="s">
        <v>7259</v>
      </c>
      <c r="B2798" s="27" t="s">
        <v>4701</v>
      </c>
      <c r="D2798" s="28" t="s">
        <v>494</v>
      </c>
      <c r="E2798" s="29" t="s">
        <v>4633</v>
      </c>
      <c r="F2798" s="30">
        <v>1</v>
      </c>
      <c r="G2798" s="31">
        <v>80.430000000000007</v>
      </c>
      <c r="H2798" s="31">
        <f t="shared" ref="H2798:H2861" si="163">+F2798*G2798</f>
        <v>80.430000000000007</v>
      </c>
      <c r="I2798" s="170" t="s">
        <v>2842</v>
      </c>
      <c r="J2798" t="s">
        <v>2853</v>
      </c>
      <c r="K2798" s="188" t="s">
        <v>2853</v>
      </c>
    </row>
    <row r="2799" spans="1:11" x14ac:dyDescent="0.25">
      <c r="A2799" t="s">
        <v>7260</v>
      </c>
      <c r="B2799" s="27" t="s">
        <v>4702</v>
      </c>
      <c r="D2799" s="28" t="s">
        <v>497</v>
      </c>
      <c r="E2799" s="29" t="s">
        <v>4633</v>
      </c>
      <c r="F2799" s="30">
        <v>1</v>
      </c>
      <c r="G2799" s="31">
        <v>86.93</v>
      </c>
      <c r="H2799" s="31">
        <f t="shared" si="163"/>
        <v>86.93</v>
      </c>
      <c r="I2799" s="170" t="s">
        <v>2842</v>
      </c>
      <c r="J2799" t="s">
        <v>2853</v>
      </c>
      <c r="K2799" s="188" t="s">
        <v>2853</v>
      </c>
    </row>
    <row r="2800" spans="1:11" x14ac:dyDescent="0.25">
      <c r="A2800" t="s">
        <v>7261</v>
      </c>
      <c r="B2800" s="27" t="s">
        <v>4703</v>
      </c>
      <c r="D2800" s="28" t="s">
        <v>498</v>
      </c>
      <c r="E2800" s="29" t="s">
        <v>4633</v>
      </c>
      <c r="F2800" s="30">
        <v>1</v>
      </c>
      <c r="G2800" s="31">
        <v>93.41</v>
      </c>
      <c r="H2800" s="31">
        <f t="shared" si="163"/>
        <v>93.41</v>
      </c>
      <c r="I2800" s="170" t="s">
        <v>2842</v>
      </c>
      <c r="J2800" t="s">
        <v>2853</v>
      </c>
      <c r="K2800" s="188" t="s">
        <v>2853</v>
      </c>
    </row>
    <row r="2801" spans="1:11" x14ac:dyDescent="0.25">
      <c r="A2801" t="s">
        <v>7262</v>
      </c>
      <c r="B2801" s="27" t="s">
        <v>4704</v>
      </c>
      <c r="D2801" s="28" t="s">
        <v>500</v>
      </c>
      <c r="E2801" s="29" t="s">
        <v>4633</v>
      </c>
      <c r="F2801" s="30">
        <v>1</v>
      </c>
      <c r="G2801" s="31">
        <v>23.3</v>
      </c>
      <c r="H2801" s="31">
        <f t="shared" si="163"/>
        <v>23.3</v>
      </c>
      <c r="I2801" s="170" t="s">
        <v>2842</v>
      </c>
      <c r="J2801" t="s">
        <v>2853</v>
      </c>
      <c r="K2801" s="188" t="s">
        <v>2853</v>
      </c>
    </row>
    <row r="2802" spans="1:11" x14ac:dyDescent="0.25">
      <c r="A2802" t="s">
        <v>7263</v>
      </c>
      <c r="B2802" s="27" t="s">
        <v>4705</v>
      </c>
      <c r="D2802" s="28" t="s">
        <v>501</v>
      </c>
      <c r="E2802" s="29" t="s">
        <v>4633</v>
      </c>
      <c r="F2802" s="30">
        <v>1</v>
      </c>
      <c r="G2802" s="31">
        <v>32.090000000000003</v>
      </c>
      <c r="H2802" s="31">
        <f t="shared" si="163"/>
        <v>32.090000000000003</v>
      </c>
      <c r="I2802" s="170" t="s">
        <v>2842</v>
      </c>
      <c r="J2802" t="s">
        <v>2853</v>
      </c>
      <c r="K2802" s="188" t="s">
        <v>2853</v>
      </c>
    </row>
    <row r="2803" spans="1:11" x14ac:dyDescent="0.25">
      <c r="A2803" t="s">
        <v>7264</v>
      </c>
      <c r="B2803" s="27" t="s">
        <v>4706</v>
      </c>
      <c r="D2803" s="28" t="s">
        <v>502</v>
      </c>
      <c r="E2803" s="29" t="s">
        <v>4633</v>
      </c>
      <c r="F2803" s="30">
        <v>1</v>
      </c>
      <c r="G2803" s="31">
        <v>40.82</v>
      </c>
      <c r="H2803" s="31">
        <f t="shared" si="163"/>
        <v>40.82</v>
      </c>
      <c r="I2803" s="170" t="s">
        <v>2842</v>
      </c>
      <c r="J2803" t="s">
        <v>2853</v>
      </c>
      <c r="K2803" s="188" t="s">
        <v>2853</v>
      </c>
    </row>
    <row r="2804" spans="1:11" x14ac:dyDescent="0.25">
      <c r="A2804" t="s">
        <v>7265</v>
      </c>
      <c r="B2804" s="27" t="s">
        <v>4707</v>
      </c>
      <c r="D2804" s="28" t="s">
        <v>503</v>
      </c>
      <c r="E2804" s="29" t="s">
        <v>4633</v>
      </c>
      <c r="F2804" s="30">
        <v>1</v>
      </c>
      <c r="G2804" s="31">
        <v>49.59</v>
      </c>
      <c r="H2804" s="31">
        <f t="shared" si="163"/>
        <v>49.59</v>
      </c>
      <c r="I2804" s="170" t="s">
        <v>2842</v>
      </c>
      <c r="J2804" t="s">
        <v>2853</v>
      </c>
      <c r="K2804" s="188" t="s">
        <v>2853</v>
      </c>
    </row>
    <row r="2805" spans="1:11" x14ac:dyDescent="0.25">
      <c r="A2805" t="s">
        <v>7266</v>
      </c>
      <c r="B2805" s="27" t="s">
        <v>4708</v>
      </c>
      <c r="D2805" s="28" t="s">
        <v>504</v>
      </c>
      <c r="E2805" s="29" t="s">
        <v>4633</v>
      </c>
      <c r="F2805" s="30">
        <v>6</v>
      </c>
      <c r="G2805" s="31">
        <v>10.61</v>
      </c>
      <c r="H2805" s="31">
        <f t="shared" si="163"/>
        <v>63.66</v>
      </c>
      <c r="I2805" s="170" t="s">
        <v>2842</v>
      </c>
      <c r="J2805" t="s">
        <v>2853</v>
      </c>
      <c r="K2805" s="188" t="s">
        <v>2853</v>
      </c>
    </row>
    <row r="2806" spans="1:11" x14ac:dyDescent="0.25">
      <c r="A2806" t="s">
        <v>7267</v>
      </c>
      <c r="B2806" s="27" t="s">
        <v>4709</v>
      </c>
      <c r="D2806" s="28" t="s">
        <v>507</v>
      </c>
      <c r="E2806" s="29" t="s">
        <v>4633</v>
      </c>
      <c r="F2806" s="30">
        <v>1</v>
      </c>
      <c r="G2806" s="31">
        <v>93.03</v>
      </c>
      <c r="H2806" s="31">
        <f t="shared" si="163"/>
        <v>93.03</v>
      </c>
      <c r="I2806" s="170" t="s">
        <v>2842</v>
      </c>
      <c r="J2806" t="s">
        <v>2853</v>
      </c>
      <c r="K2806" s="188" t="s">
        <v>2853</v>
      </c>
    </row>
    <row r="2807" spans="1:11" x14ac:dyDescent="0.25">
      <c r="A2807" t="s">
        <v>7268</v>
      </c>
      <c r="B2807" s="27" t="s">
        <v>4710</v>
      </c>
      <c r="D2807" s="28" t="s">
        <v>510</v>
      </c>
      <c r="E2807" s="29" t="s">
        <v>4633</v>
      </c>
      <c r="F2807" s="30">
        <v>1</v>
      </c>
      <c r="G2807" s="31">
        <v>103.31</v>
      </c>
      <c r="H2807" s="31">
        <f t="shared" si="163"/>
        <v>103.31</v>
      </c>
      <c r="I2807" s="170" t="s">
        <v>2842</v>
      </c>
      <c r="J2807" t="s">
        <v>2853</v>
      </c>
      <c r="K2807" s="188" t="s">
        <v>2853</v>
      </c>
    </row>
    <row r="2808" spans="1:11" x14ac:dyDescent="0.25">
      <c r="A2808" t="s">
        <v>7269</v>
      </c>
      <c r="B2808" s="27" t="s">
        <v>4711</v>
      </c>
      <c r="D2808" s="28" t="s">
        <v>513</v>
      </c>
      <c r="E2808" s="29" t="s">
        <v>4633</v>
      </c>
      <c r="F2808" s="30">
        <v>1</v>
      </c>
      <c r="G2808" s="31">
        <v>113.61</v>
      </c>
      <c r="H2808" s="31">
        <f t="shared" si="163"/>
        <v>113.61</v>
      </c>
      <c r="I2808" s="170" t="s">
        <v>2842</v>
      </c>
      <c r="J2808" t="s">
        <v>2853</v>
      </c>
      <c r="K2808" s="188" t="s">
        <v>2853</v>
      </c>
    </row>
    <row r="2809" spans="1:11" x14ac:dyDescent="0.25">
      <c r="A2809" t="s">
        <v>7270</v>
      </c>
      <c r="B2809" s="27" t="s">
        <v>4712</v>
      </c>
      <c r="D2809" s="28" t="s">
        <v>516</v>
      </c>
      <c r="E2809" s="29" t="s">
        <v>4633</v>
      </c>
      <c r="F2809" s="30">
        <v>1</v>
      </c>
      <c r="G2809" s="31">
        <v>123.91</v>
      </c>
      <c r="H2809" s="31">
        <f t="shared" si="163"/>
        <v>123.91</v>
      </c>
      <c r="I2809" s="170" t="s">
        <v>2842</v>
      </c>
      <c r="J2809" t="s">
        <v>2853</v>
      </c>
      <c r="K2809" s="188" t="s">
        <v>2853</v>
      </c>
    </row>
    <row r="2810" spans="1:11" x14ac:dyDescent="0.25">
      <c r="A2810" t="s">
        <v>7271</v>
      </c>
      <c r="B2810" s="27" t="s">
        <v>4713</v>
      </c>
      <c r="D2810" s="28" t="s">
        <v>519</v>
      </c>
      <c r="E2810" s="29" t="s">
        <v>4633</v>
      </c>
      <c r="F2810" s="30">
        <v>1</v>
      </c>
      <c r="G2810" s="31">
        <v>91.75</v>
      </c>
      <c r="H2810" s="31">
        <f t="shared" si="163"/>
        <v>91.75</v>
      </c>
      <c r="I2810" s="170" t="s">
        <v>2842</v>
      </c>
      <c r="J2810" t="s">
        <v>2853</v>
      </c>
      <c r="K2810" s="188" t="s">
        <v>2853</v>
      </c>
    </row>
    <row r="2811" spans="1:11" x14ac:dyDescent="0.25">
      <c r="A2811" t="s">
        <v>7272</v>
      </c>
      <c r="B2811" s="27" t="s">
        <v>4714</v>
      </c>
      <c r="D2811" s="28" t="s">
        <v>524</v>
      </c>
      <c r="E2811" s="29" t="s">
        <v>4633</v>
      </c>
      <c r="F2811" s="30">
        <v>1</v>
      </c>
      <c r="G2811" s="31">
        <v>105.87</v>
      </c>
      <c r="H2811" s="31">
        <f t="shared" si="163"/>
        <v>105.87</v>
      </c>
      <c r="I2811" s="170" t="s">
        <v>2842</v>
      </c>
      <c r="J2811" t="s">
        <v>2853</v>
      </c>
      <c r="K2811" s="188" t="s">
        <v>2853</v>
      </c>
    </row>
    <row r="2812" spans="1:11" x14ac:dyDescent="0.25">
      <c r="A2812" t="s">
        <v>7273</v>
      </c>
      <c r="B2812" s="27" t="s">
        <v>4715</v>
      </c>
      <c r="D2812" s="28" t="s">
        <v>527</v>
      </c>
      <c r="E2812" s="29" t="s">
        <v>4633</v>
      </c>
      <c r="F2812" s="30">
        <v>1</v>
      </c>
      <c r="G2812" s="31">
        <v>113.61</v>
      </c>
      <c r="H2812" s="31">
        <f t="shared" si="163"/>
        <v>113.61</v>
      </c>
      <c r="I2812" s="170" t="s">
        <v>2842</v>
      </c>
      <c r="J2812" t="s">
        <v>2853</v>
      </c>
      <c r="K2812" s="188" t="s">
        <v>2853</v>
      </c>
    </row>
    <row r="2813" spans="1:11" x14ac:dyDescent="0.25">
      <c r="A2813" t="s">
        <v>7274</v>
      </c>
      <c r="B2813" s="27" t="s">
        <v>4716</v>
      </c>
      <c r="D2813" s="28" t="s">
        <v>530</v>
      </c>
      <c r="E2813" s="29" t="s">
        <v>4633</v>
      </c>
      <c r="F2813" s="30">
        <v>1</v>
      </c>
      <c r="G2813" s="31">
        <v>121.36</v>
      </c>
      <c r="H2813" s="31">
        <f t="shared" si="163"/>
        <v>121.36</v>
      </c>
      <c r="I2813" s="170" t="s">
        <v>2842</v>
      </c>
      <c r="J2813" t="s">
        <v>2853</v>
      </c>
      <c r="K2813" s="188" t="s">
        <v>2853</v>
      </c>
    </row>
    <row r="2814" spans="1:11" x14ac:dyDescent="0.25">
      <c r="A2814" t="s">
        <v>7275</v>
      </c>
      <c r="B2814" s="27" t="s">
        <v>4717</v>
      </c>
      <c r="D2814" s="28" t="s">
        <v>540</v>
      </c>
      <c r="E2814" s="29" t="s">
        <v>4633</v>
      </c>
      <c r="F2814" s="30">
        <v>1</v>
      </c>
      <c r="G2814" s="31">
        <v>102.24</v>
      </c>
      <c r="H2814" s="31">
        <f t="shared" si="163"/>
        <v>102.24</v>
      </c>
      <c r="I2814" s="170" t="s">
        <v>2842</v>
      </c>
      <c r="J2814" t="s">
        <v>2853</v>
      </c>
      <c r="K2814" s="188" t="s">
        <v>2853</v>
      </c>
    </row>
    <row r="2815" spans="1:11" x14ac:dyDescent="0.25">
      <c r="A2815" t="s">
        <v>7276</v>
      </c>
      <c r="B2815" s="27" t="s">
        <v>4718</v>
      </c>
      <c r="D2815" s="28" t="s">
        <v>543</v>
      </c>
      <c r="E2815" s="29" t="s">
        <v>4633</v>
      </c>
      <c r="F2815" s="30">
        <v>1</v>
      </c>
      <c r="G2815" s="31">
        <v>115.66</v>
      </c>
      <c r="H2815" s="31">
        <f t="shared" si="163"/>
        <v>115.66</v>
      </c>
      <c r="I2815" s="170" t="s">
        <v>2842</v>
      </c>
      <c r="J2815" t="s">
        <v>2853</v>
      </c>
      <c r="K2815" s="188" t="s">
        <v>2853</v>
      </c>
    </row>
    <row r="2816" spans="1:11" x14ac:dyDescent="0.25">
      <c r="A2816" t="s">
        <v>7277</v>
      </c>
      <c r="B2816" s="27" t="s">
        <v>4719</v>
      </c>
      <c r="D2816" s="28" t="s">
        <v>546</v>
      </c>
      <c r="E2816" s="29" t="s">
        <v>4633</v>
      </c>
      <c r="F2816" s="30">
        <v>1</v>
      </c>
      <c r="G2816" s="31">
        <v>128.91</v>
      </c>
      <c r="H2816" s="31">
        <f t="shared" si="163"/>
        <v>128.91</v>
      </c>
      <c r="I2816" s="170" t="s">
        <v>2842</v>
      </c>
      <c r="J2816" t="s">
        <v>2853</v>
      </c>
      <c r="K2816" s="188" t="s">
        <v>2853</v>
      </c>
    </row>
    <row r="2817" spans="1:11" x14ac:dyDescent="0.25">
      <c r="A2817" t="s">
        <v>7278</v>
      </c>
      <c r="B2817" s="27" t="s">
        <v>4720</v>
      </c>
      <c r="D2817" s="28" t="s">
        <v>549</v>
      </c>
      <c r="E2817" s="29" t="s">
        <v>4633</v>
      </c>
      <c r="F2817" s="30">
        <v>1</v>
      </c>
      <c r="G2817" s="31">
        <v>142.16999999999999</v>
      </c>
      <c r="H2817" s="31">
        <f t="shared" si="163"/>
        <v>142.16999999999999</v>
      </c>
      <c r="I2817" s="170" t="s">
        <v>2842</v>
      </c>
      <c r="J2817" t="s">
        <v>2853</v>
      </c>
      <c r="K2817" s="188" t="s">
        <v>2853</v>
      </c>
    </row>
    <row r="2818" spans="1:11" x14ac:dyDescent="0.25">
      <c r="A2818" t="s">
        <v>7279</v>
      </c>
      <c r="B2818" s="27" t="s">
        <v>4721</v>
      </c>
      <c r="D2818" s="28" t="s">
        <v>769</v>
      </c>
      <c r="E2818" s="29" t="s">
        <v>4633</v>
      </c>
      <c r="F2818" s="30">
        <v>1</v>
      </c>
      <c r="G2818" s="31">
        <v>110.86</v>
      </c>
      <c r="H2818" s="31">
        <f t="shared" si="163"/>
        <v>110.86</v>
      </c>
      <c r="I2818" s="170" t="s">
        <v>2842</v>
      </c>
      <c r="J2818" t="s">
        <v>2853</v>
      </c>
      <c r="K2818" s="188" t="s">
        <v>2853</v>
      </c>
    </row>
    <row r="2819" spans="1:11" x14ac:dyDescent="0.25">
      <c r="A2819" t="s">
        <v>7280</v>
      </c>
      <c r="B2819" s="27" t="s">
        <v>4722</v>
      </c>
      <c r="D2819" s="28" t="s">
        <v>772</v>
      </c>
      <c r="E2819" s="29" t="s">
        <v>4633</v>
      </c>
      <c r="F2819" s="30">
        <v>1</v>
      </c>
      <c r="G2819" s="31">
        <v>146.63</v>
      </c>
      <c r="H2819" s="31">
        <f t="shared" si="163"/>
        <v>146.63</v>
      </c>
      <c r="I2819" s="170" t="s">
        <v>2842</v>
      </c>
      <c r="J2819" t="s">
        <v>2853</v>
      </c>
      <c r="K2819" s="188" t="s">
        <v>2853</v>
      </c>
    </row>
    <row r="2820" spans="1:11" x14ac:dyDescent="0.25">
      <c r="A2820" t="s">
        <v>7281</v>
      </c>
      <c r="B2820" s="27" t="s">
        <v>4723</v>
      </c>
      <c r="D2820" s="28" t="s">
        <v>775</v>
      </c>
      <c r="E2820" s="29" t="s">
        <v>4633</v>
      </c>
      <c r="F2820" s="30">
        <v>1</v>
      </c>
      <c r="G2820" s="31">
        <v>150.56</v>
      </c>
      <c r="H2820" s="31">
        <f t="shared" si="163"/>
        <v>150.56</v>
      </c>
      <c r="I2820" s="170" t="s">
        <v>2842</v>
      </c>
      <c r="J2820" t="s">
        <v>2853</v>
      </c>
      <c r="K2820" s="188" t="s">
        <v>2853</v>
      </c>
    </row>
    <row r="2821" spans="1:11" x14ac:dyDescent="0.25">
      <c r="A2821" t="s">
        <v>7282</v>
      </c>
      <c r="B2821" s="27" t="s">
        <v>4724</v>
      </c>
      <c r="D2821" s="28" t="s">
        <v>778</v>
      </c>
      <c r="E2821" s="29" t="s">
        <v>4633</v>
      </c>
      <c r="F2821" s="30">
        <v>1</v>
      </c>
      <c r="G2821" s="31">
        <v>154.51</v>
      </c>
      <c r="H2821" s="31">
        <f t="shared" si="163"/>
        <v>154.51</v>
      </c>
      <c r="I2821" s="170" t="s">
        <v>2842</v>
      </c>
      <c r="J2821" t="s">
        <v>2853</v>
      </c>
      <c r="K2821" s="188" t="s">
        <v>2853</v>
      </c>
    </row>
    <row r="2822" spans="1:11" x14ac:dyDescent="0.25">
      <c r="A2822" t="s">
        <v>7283</v>
      </c>
      <c r="B2822" s="27" t="s">
        <v>4725</v>
      </c>
      <c r="D2822" s="28" t="s">
        <v>798</v>
      </c>
      <c r="E2822" s="29" t="s">
        <v>4633</v>
      </c>
      <c r="F2822" s="30">
        <v>1</v>
      </c>
      <c r="G2822" s="31">
        <v>103.39</v>
      </c>
      <c r="H2822" s="31">
        <f t="shared" si="163"/>
        <v>103.39</v>
      </c>
      <c r="I2822" s="170" t="s">
        <v>2842</v>
      </c>
      <c r="J2822" t="s">
        <v>2853</v>
      </c>
      <c r="K2822" s="188" t="s">
        <v>2853</v>
      </c>
    </row>
    <row r="2823" spans="1:11" x14ac:dyDescent="0.25">
      <c r="A2823" t="s">
        <v>7284</v>
      </c>
      <c r="B2823" s="27" t="s">
        <v>4726</v>
      </c>
      <c r="D2823" s="28" t="s">
        <v>801</v>
      </c>
      <c r="E2823" s="29" t="s">
        <v>4633</v>
      </c>
      <c r="F2823" s="30">
        <v>1</v>
      </c>
      <c r="G2823" s="31">
        <v>122.57</v>
      </c>
      <c r="H2823" s="31">
        <f t="shared" si="163"/>
        <v>122.57</v>
      </c>
      <c r="I2823" s="170" t="s">
        <v>2842</v>
      </c>
      <c r="J2823" t="s">
        <v>2853</v>
      </c>
      <c r="K2823" s="188" t="s">
        <v>2853</v>
      </c>
    </row>
    <row r="2824" spans="1:11" x14ac:dyDescent="0.25">
      <c r="A2824" t="s">
        <v>7285</v>
      </c>
      <c r="B2824" s="27" t="s">
        <v>4727</v>
      </c>
      <c r="D2824" s="28" t="s">
        <v>804</v>
      </c>
      <c r="E2824" s="29" t="s">
        <v>4633</v>
      </c>
      <c r="F2824" s="30">
        <v>1</v>
      </c>
      <c r="G2824" s="31">
        <v>141.71</v>
      </c>
      <c r="H2824" s="31">
        <f t="shared" si="163"/>
        <v>141.71</v>
      </c>
      <c r="I2824" s="170" t="s">
        <v>2842</v>
      </c>
      <c r="J2824" t="s">
        <v>2853</v>
      </c>
      <c r="K2824" s="188" t="s">
        <v>2853</v>
      </c>
    </row>
    <row r="2825" spans="1:11" x14ac:dyDescent="0.25">
      <c r="A2825" t="s">
        <v>7286</v>
      </c>
      <c r="B2825" s="27" t="s">
        <v>4728</v>
      </c>
      <c r="D2825" s="28" t="s">
        <v>807</v>
      </c>
      <c r="E2825" s="29" t="s">
        <v>4633</v>
      </c>
      <c r="F2825" s="30">
        <v>1</v>
      </c>
      <c r="G2825" s="31">
        <v>160.9</v>
      </c>
      <c r="H2825" s="31">
        <f t="shared" si="163"/>
        <v>160.9</v>
      </c>
      <c r="I2825" s="170" t="s">
        <v>2842</v>
      </c>
      <c r="J2825" t="s">
        <v>2853</v>
      </c>
      <c r="K2825" s="188" t="s">
        <v>2853</v>
      </c>
    </row>
    <row r="2826" spans="1:11" x14ac:dyDescent="0.25">
      <c r="A2826" t="s">
        <v>7287</v>
      </c>
      <c r="B2826" s="27" t="s">
        <v>4729</v>
      </c>
      <c r="D2826" s="28" t="s">
        <v>507</v>
      </c>
      <c r="E2826" s="29" t="s">
        <v>4633</v>
      </c>
      <c r="F2826" s="30">
        <v>1</v>
      </c>
      <c r="G2826" s="31">
        <v>93.03</v>
      </c>
      <c r="H2826" s="31">
        <f t="shared" si="163"/>
        <v>93.03</v>
      </c>
      <c r="I2826" s="170" t="s">
        <v>2842</v>
      </c>
      <c r="J2826" t="s">
        <v>2853</v>
      </c>
      <c r="K2826" s="188" t="s">
        <v>2853</v>
      </c>
    </row>
    <row r="2827" spans="1:11" x14ac:dyDescent="0.25">
      <c r="A2827" t="s">
        <v>7288</v>
      </c>
      <c r="B2827" s="27" t="s">
        <v>4730</v>
      </c>
      <c r="D2827" s="28" t="s">
        <v>510</v>
      </c>
      <c r="E2827" s="29" t="s">
        <v>4633</v>
      </c>
      <c r="F2827" s="30">
        <v>1</v>
      </c>
      <c r="G2827" s="31">
        <v>103.31</v>
      </c>
      <c r="H2827" s="31">
        <f t="shared" si="163"/>
        <v>103.31</v>
      </c>
      <c r="I2827" s="170" t="s">
        <v>2842</v>
      </c>
      <c r="J2827" t="s">
        <v>2853</v>
      </c>
      <c r="K2827" s="188" t="s">
        <v>2853</v>
      </c>
    </row>
    <row r="2828" spans="1:11" x14ac:dyDescent="0.25">
      <c r="A2828" t="s">
        <v>7289</v>
      </c>
      <c r="B2828" s="27" t="s">
        <v>4731</v>
      </c>
      <c r="D2828" s="28" t="s">
        <v>513</v>
      </c>
      <c r="E2828" s="29" t="s">
        <v>4633</v>
      </c>
      <c r="F2828" s="30">
        <v>1</v>
      </c>
      <c r="G2828" s="31">
        <v>113.61</v>
      </c>
      <c r="H2828" s="31">
        <f t="shared" si="163"/>
        <v>113.61</v>
      </c>
      <c r="I2828" s="170" t="s">
        <v>2842</v>
      </c>
      <c r="J2828" t="s">
        <v>2853</v>
      </c>
      <c r="K2828" s="188" t="s">
        <v>2853</v>
      </c>
    </row>
    <row r="2829" spans="1:11" x14ac:dyDescent="0.25">
      <c r="A2829" t="s">
        <v>7290</v>
      </c>
      <c r="B2829" s="27" t="s">
        <v>4732</v>
      </c>
      <c r="D2829" s="28" t="s">
        <v>516</v>
      </c>
      <c r="E2829" s="29" t="s">
        <v>4633</v>
      </c>
      <c r="F2829" s="30">
        <v>1</v>
      </c>
      <c r="G2829" s="31">
        <v>123.91</v>
      </c>
      <c r="H2829" s="31">
        <f t="shared" si="163"/>
        <v>123.91</v>
      </c>
      <c r="I2829" s="170" t="s">
        <v>2842</v>
      </c>
      <c r="J2829" t="s">
        <v>2853</v>
      </c>
      <c r="K2829" s="188" t="s">
        <v>2853</v>
      </c>
    </row>
    <row r="2830" spans="1:11" x14ac:dyDescent="0.25">
      <c r="A2830" t="s">
        <v>7291</v>
      </c>
      <c r="B2830" s="27" t="s">
        <v>4733</v>
      </c>
      <c r="D2830" s="28" t="s">
        <v>519</v>
      </c>
      <c r="E2830" s="29" t="s">
        <v>4633</v>
      </c>
      <c r="F2830" s="30">
        <v>1</v>
      </c>
      <c r="G2830" s="31">
        <v>91.75</v>
      </c>
      <c r="H2830" s="31">
        <f t="shared" si="163"/>
        <v>91.75</v>
      </c>
      <c r="I2830" s="170" t="s">
        <v>2842</v>
      </c>
      <c r="J2830" t="s">
        <v>2853</v>
      </c>
      <c r="K2830" s="188" t="s">
        <v>2853</v>
      </c>
    </row>
    <row r="2831" spans="1:11" x14ac:dyDescent="0.25">
      <c r="A2831" t="s">
        <v>7292</v>
      </c>
      <c r="B2831" s="27" t="s">
        <v>4734</v>
      </c>
      <c r="D2831" s="28" t="s">
        <v>524</v>
      </c>
      <c r="E2831" s="29" t="s">
        <v>4633</v>
      </c>
      <c r="F2831" s="30">
        <v>1</v>
      </c>
      <c r="G2831" s="31">
        <v>105.87</v>
      </c>
      <c r="H2831" s="31">
        <f t="shared" si="163"/>
        <v>105.87</v>
      </c>
      <c r="I2831" s="170" t="s">
        <v>2842</v>
      </c>
      <c r="J2831" t="s">
        <v>2853</v>
      </c>
      <c r="K2831" s="188" t="s">
        <v>2853</v>
      </c>
    </row>
    <row r="2832" spans="1:11" x14ac:dyDescent="0.25">
      <c r="A2832" t="s">
        <v>7293</v>
      </c>
      <c r="B2832" s="27" t="s">
        <v>4735</v>
      </c>
      <c r="D2832" s="28" t="s">
        <v>527</v>
      </c>
      <c r="E2832" s="29" t="s">
        <v>4633</v>
      </c>
      <c r="F2832" s="30">
        <v>1</v>
      </c>
      <c r="G2832" s="31">
        <v>113.61</v>
      </c>
      <c r="H2832" s="31">
        <f t="shared" si="163"/>
        <v>113.61</v>
      </c>
      <c r="I2832" s="170" t="s">
        <v>2842</v>
      </c>
      <c r="J2832" t="s">
        <v>2853</v>
      </c>
      <c r="K2832" s="188" t="s">
        <v>2853</v>
      </c>
    </row>
    <row r="2833" spans="1:11" x14ac:dyDescent="0.25">
      <c r="A2833" t="s">
        <v>7294</v>
      </c>
      <c r="B2833" s="27" t="s">
        <v>4736</v>
      </c>
      <c r="D2833" s="28" t="s">
        <v>530</v>
      </c>
      <c r="E2833" s="29" t="s">
        <v>4633</v>
      </c>
      <c r="F2833" s="30">
        <v>1</v>
      </c>
      <c r="G2833" s="31">
        <v>121.36</v>
      </c>
      <c r="H2833" s="31">
        <f t="shared" si="163"/>
        <v>121.36</v>
      </c>
      <c r="I2833" s="170" t="s">
        <v>2842</v>
      </c>
      <c r="J2833" t="s">
        <v>2853</v>
      </c>
      <c r="K2833" s="188" t="s">
        <v>2853</v>
      </c>
    </row>
    <row r="2834" spans="1:11" x14ac:dyDescent="0.25">
      <c r="A2834" t="s">
        <v>7295</v>
      </c>
      <c r="B2834" s="27" t="s">
        <v>4737</v>
      </c>
      <c r="D2834" s="28" t="s">
        <v>540</v>
      </c>
      <c r="E2834" s="29" t="s">
        <v>4633</v>
      </c>
      <c r="F2834" s="30">
        <v>1</v>
      </c>
      <c r="G2834" s="31">
        <v>102.24</v>
      </c>
      <c r="H2834" s="31">
        <f t="shared" si="163"/>
        <v>102.24</v>
      </c>
      <c r="I2834" s="170" t="s">
        <v>2842</v>
      </c>
      <c r="J2834" t="s">
        <v>2853</v>
      </c>
      <c r="K2834" s="188" t="s">
        <v>2853</v>
      </c>
    </row>
    <row r="2835" spans="1:11" x14ac:dyDescent="0.25">
      <c r="A2835" t="s">
        <v>7296</v>
      </c>
      <c r="B2835" s="27" t="s">
        <v>4738</v>
      </c>
      <c r="D2835" s="28" t="s">
        <v>543</v>
      </c>
      <c r="E2835" s="29" t="s">
        <v>4633</v>
      </c>
      <c r="F2835" s="30">
        <v>1</v>
      </c>
      <c r="G2835" s="31">
        <v>115.66</v>
      </c>
      <c r="H2835" s="31">
        <f t="shared" si="163"/>
        <v>115.66</v>
      </c>
      <c r="I2835" s="170" t="s">
        <v>2842</v>
      </c>
      <c r="J2835" t="s">
        <v>2853</v>
      </c>
      <c r="K2835" s="188" t="s">
        <v>2853</v>
      </c>
    </row>
    <row r="2836" spans="1:11" x14ac:dyDescent="0.25">
      <c r="A2836" t="s">
        <v>7297</v>
      </c>
      <c r="B2836" s="27" t="s">
        <v>4739</v>
      </c>
      <c r="D2836" s="28" t="s">
        <v>546</v>
      </c>
      <c r="E2836" s="29" t="s">
        <v>4633</v>
      </c>
      <c r="F2836" s="30">
        <v>1</v>
      </c>
      <c r="G2836" s="31">
        <v>128.91</v>
      </c>
      <c r="H2836" s="31">
        <f t="shared" si="163"/>
        <v>128.91</v>
      </c>
      <c r="I2836" s="170" t="s">
        <v>2842</v>
      </c>
      <c r="J2836" t="s">
        <v>2853</v>
      </c>
      <c r="K2836" s="188" t="s">
        <v>2853</v>
      </c>
    </row>
    <row r="2837" spans="1:11" x14ac:dyDescent="0.25">
      <c r="A2837" t="s">
        <v>7298</v>
      </c>
      <c r="B2837" s="27" t="s">
        <v>4740</v>
      </c>
      <c r="D2837" s="28" t="s">
        <v>549</v>
      </c>
      <c r="E2837" s="29" t="s">
        <v>4633</v>
      </c>
      <c r="F2837" s="30">
        <v>1</v>
      </c>
      <c r="G2837" s="31">
        <v>142.16999999999999</v>
      </c>
      <c r="H2837" s="31">
        <f t="shared" si="163"/>
        <v>142.16999999999999</v>
      </c>
      <c r="I2837" s="170" t="s">
        <v>2842</v>
      </c>
      <c r="J2837" t="s">
        <v>2853</v>
      </c>
      <c r="K2837" s="188" t="s">
        <v>2853</v>
      </c>
    </row>
    <row r="2838" spans="1:11" x14ac:dyDescent="0.25">
      <c r="A2838" t="s">
        <v>7299</v>
      </c>
      <c r="B2838" s="27" t="s">
        <v>4741</v>
      </c>
      <c r="D2838" s="28" t="s">
        <v>769</v>
      </c>
      <c r="E2838" s="29" t="s">
        <v>4633</v>
      </c>
      <c r="F2838" s="30">
        <v>1</v>
      </c>
      <c r="G2838" s="31">
        <v>110.86</v>
      </c>
      <c r="H2838" s="31">
        <f t="shared" si="163"/>
        <v>110.86</v>
      </c>
      <c r="I2838" s="170" t="s">
        <v>2842</v>
      </c>
      <c r="J2838" t="s">
        <v>2853</v>
      </c>
      <c r="K2838" s="188" t="s">
        <v>2853</v>
      </c>
    </row>
    <row r="2839" spans="1:11" x14ac:dyDescent="0.25">
      <c r="A2839" t="s">
        <v>7300</v>
      </c>
      <c r="B2839" s="27" t="s">
        <v>4742</v>
      </c>
      <c r="D2839" s="28" t="s">
        <v>772</v>
      </c>
      <c r="E2839" s="29" t="s">
        <v>4633</v>
      </c>
      <c r="F2839" s="30">
        <v>1</v>
      </c>
      <c r="G2839" s="31">
        <v>146.63</v>
      </c>
      <c r="H2839" s="31">
        <f t="shared" si="163"/>
        <v>146.63</v>
      </c>
      <c r="I2839" s="170" t="s">
        <v>2842</v>
      </c>
      <c r="J2839" t="s">
        <v>2853</v>
      </c>
      <c r="K2839" s="188" t="s">
        <v>2853</v>
      </c>
    </row>
    <row r="2840" spans="1:11" x14ac:dyDescent="0.25">
      <c r="A2840" t="s">
        <v>7301</v>
      </c>
      <c r="B2840" s="27" t="s">
        <v>4743</v>
      </c>
      <c r="D2840" s="28" t="s">
        <v>775</v>
      </c>
      <c r="E2840" s="29" t="s">
        <v>4633</v>
      </c>
      <c r="F2840" s="30">
        <v>1</v>
      </c>
      <c r="G2840" s="31">
        <v>150.56</v>
      </c>
      <c r="H2840" s="31">
        <f t="shared" si="163"/>
        <v>150.56</v>
      </c>
      <c r="I2840" s="170" t="s">
        <v>2842</v>
      </c>
      <c r="J2840" t="s">
        <v>2853</v>
      </c>
      <c r="K2840" s="188" t="s">
        <v>2853</v>
      </c>
    </row>
    <row r="2841" spans="1:11" x14ac:dyDescent="0.25">
      <c r="A2841" t="s">
        <v>7302</v>
      </c>
      <c r="B2841" s="27" t="s">
        <v>4744</v>
      </c>
      <c r="D2841" s="28" t="s">
        <v>778</v>
      </c>
      <c r="E2841" s="29" t="s">
        <v>4633</v>
      </c>
      <c r="F2841" s="30">
        <v>1</v>
      </c>
      <c r="G2841" s="31">
        <v>154.51</v>
      </c>
      <c r="H2841" s="31">
        <f t="shared" si="163"/>
        <v>154.51</v>
      </c>
      <c r="I2841" s="170" t="s">
        <v>2842</v>
      </c>
      <c r="J2841" t="s">
        <v>2853</v>
      </c>
      <c r="K2841" s="188" t="s">
        <v>2853</v>
      </c>
    </row>
    <row r="2842" spans="1:11" x14ac:dyDescent="0.25">
      <c r="A2842" t="s">
        <v>7303</v>
      </c>
      <c r="B2842" s="27" t="s">
        <v>4745</v>
      </c>
      <c r="D2842" s="28" t="s">
        <v>798</v>
      </c>
      <c r="E2842" s="29" t="s">
        <v>4633</v>
      </c>
      <c r="F2842" s="30">
        <v>1</v>
      </c>
      <c r="G2842" s="31">
        <v>103.39</v>
      </c>
      <c r="H2842" s="31">
        <f t="shared" si="163"/>
        <v>103.39</v>
      </c>
      <c r="I2842" s="170" t="s">
        <v>2842</v>
      </c>
      <c r="J2842" t="s">
        <v>2853</v>
      </c>
      <c r="K2842" s="188" t="s">
        <v>2853</v>
      </c>
    </row>
    <row r="2843" spans="1:11" x14ac:dyDescent="0.25">
      <c r="A2843" t="s">
        <v>7304</v>
      </c>
      <c r="B2843" s="27" t="s">
        <v>4746</v>
      </c>
      <c r="D2843" s="28" t="s">
        <v>801</v>
      </c>
      <c r="E2843" s="29" t="s">
        <v>4633</v>
      </c>
      <c r="F2843" s="30">
        <v>1</v>
      </c>
      <c r="G2843" s="31">
        <v>122.57</v>
      </c>
      <c r="H2843" s="31">
        <f t="shared" si="163"/>
        <v>122.57</v>
      </c>
      <c r="I2843" s="170" t="s">
        <v>2842</v>
      </c>
      <c r="J2843" t="s">
        <v>2853</v>
      </c>
      <c r="K2843" s="188" t="s">
        <v>2853</v>
      </c>
    </row>
    <row r="2844" spans="1:11" x14ac:dyDescent="0.25">
      <c r="A2844" t="s">
        <v>7305</v>
      </c>
      <c r="B2844" s="27" t="s">
        <v>4747</v>
      </c>
      <c r="D2844" s="28" t="s">
        <v>804</v>
      </c>
      <c r="E2844" s="29" t="s">
        <v>4633</v>
      </c>
      <c r="F2844" s="30">
        <v>1</v>
      </c>
      <c r="G2844" s="31">
        <v>141.71</v>
      </c>
      <c r="H2844" s="31">
        <f t="shared" si="163"/>
        <v>141.71</v>
      </c>
      <c r="I2844" s="170" t="s">
        <v>2842</v>
      </c>
      <c r="J2844" t="s">
        <v>2853</v>
      </c>
      <c r="K2844" s="188" t="s">
        <v>2853</v>
      </c>
    </row>
    <row r="2845" spans="1:11" x14ac:dyDescent="0.25">
      <c r="A2845" t="s">
        <v>7306</v>
      </c>
      <c r="B2845" s="27" t="s">
        <v>4748</v>
      </c>
      <c r="D2845" s="28" t="s">
        <v>807</v>
      </c>
      <c r="E2845" s="29" t="s">
        <v>4633</v>
      </c>
      <c r="F2845" s="30">
        <v>1</v>
      </c>
      <c r="G2845" s="31">
        <v>160.9</v>
      </c>
      <c r="H2845" s="31">
        <f t="shared" si="163"/>
        <v>160.9</v>
      </c>
      <c r="I2845" s="170" t="s">
        <v>2842</v>
      </c>
      <c r="J2845" t="s">
        <v>2853</v>
      </c>
      <c r="K2845" s="188" t="s">
        <v>2853</v>
      </c>
    </row>
    <row r="2846" spans="1:11" x14ac:dyDescent="0.25">
      <c r="A2846" t="s">
        <v>7307</v>
      </c>
      <c r="B2846" s="27" t="s">
        <v>4749</v>
      </c>
      <c r="D2846" s="28" t="s">
        <v>4750</v>
      </c>
      <c r="E2846" s="29" t="s">
        <v>4633</v>
      </c>
      <c r="F2846" s="30">
        <v>1</v>
      </c>
      <c r="G2846" s="31">
        <v>99.97</v>
      </c>
      <c r="H2846" s="31">
        <f t="shared" si="163"/>
        <v>99.97</v>
      </c>
      <c r="I2846" s="170" t="s">
        <v>2842</v>
      </c>
      <c r="J2846" t="s">
        <v>2853</v>
      </c>
      <c r="K2846" s="188" t="s">
        <v>2853</v>
      </c>
    </row>
    <row r="2847" spans="1:11" x14ac:dyDescent="0.25">
      <c r="A2847" t="s">
        <v>7308</v>
      </c>
      <c r="B2847" s="27" t="s">
        <v>4751</v>
      </c>
      <c r="D2847" s="28" t="s">
        <v>4752</v>
      </c>
      <c r="E2847" s="29" t="s">
        <v>4633</v>
      </c>
      <c r="F2847" s="30">
        <v>1</v>
      </c>
      <c r="G2847" s="31">
        <v>120.23</v>
      </c>
      <c r="H2847" s="31">
        <f t="shared" si="163"/>
        <v>120.23</v>
      </c>
      <c r="I2847" s="170" t="s">
        <v>2842</v>
      </c>
      <c r="J2847" t="s">
        <v>2853</v>
      </c>
      <c r="K2847" s="188" t="s">
        <v>2853</v>
      </c>
    </row>
    <row r="2848" spans="1:11" x14ac:dyDescent="0.25">
      <c r="A2848" t="s">
        <v>7309</v>
      </c>
      <c r="B2848" s="27" t="s">
        <v>4753</v>
      </c>
      <c r="D2848" s="28" t="s">
        <v>4754</v>
      </c>
      <c r="E2848" s="29" t="s">
        <v>4633</v>
      </c>
      <c r="F2848" s="30">
        <v>1</v>
      </c>
      <c r="G2848" s="31">
        <v>135.41</v>
      </c>
      <c r="H2848" s="31">
        <f t="shared" si="163"/>
        <v>135.41</v>
      </c>
      <c r="I2848" s="170" t="s">
        <v>2842</v>
      </c>
      <c r="J2848" t="s">
        <v>2853</v>
      </c>
      <c r="K2848" s="188" t="s">
        <v>2853</v>
      </c>
    </row>
    <row r="2849" spans="1:11" x14ac:dyDescent="0.25">
      <c r="A2849" t="s">
        <v>7310</v>
      </c>
      <c r="B2849" s="27" t="s">
        <v>4755</v>
      </c>
      <c r="D2849" s="28" t="s">
        <v>4756</v>
      </c>
      <c r="E2849" s="29" t="s">
        <v>4633</v>
      </c>
      <c r="F2849" s="30">
        <v>1</v>
      </c>
      <c r="G2849" s="31">
        <v>151.87</v>
      </c>
      <c r="H2849" s="31">
        <f t="shared" si="163"/>
        <v>151.87</v>
      </c>
      <c r="I2849" s="170" t="s">
        <v>2842</v>
      </c>
      <c r="J2849" t="s">
        <v>2853</v>
      </c>
      <c r="K2849" s="188" t="s">
        <v>2853</v>
      </c>
    </row>
    <row r="2850" spans="1:11" x14ac:dyDescent="0.25">
      <c r="A2850" t="s">
        <v>7311</v>
      </c>
      <c r="B2850" s="27" t="s">
        <v>4757</v>
      </c>
      <c r="D2850" s="28" t="s">
        <v>4758</v>
      </c>
      <c r="E2850" s="29" t="s">
        <v>4633</v>
      </c>
      <c r="F2850" s="30">
        <v>1</v>
      </c>
      <c r="G2850" s="31">
        <v>115.16</v>
      </c>
      <c r="H2850" s="31">
        <f t="shared" si="163"/>
        <v>115.16</v>
      </c>
      <c r="I2850" s="170" t="s">
        <v>2842</v>
      </c>
      <c r="J2850" t="s">
        <v>2853</v>
      </c>
      <c r="K2850" s="188" t="s">
        <v>2853</v>
      </c>
    </row>
    <row r="2851" spans="1:11" x14ac:dyDescent="0.25">
      <c r="A2851" t="s">
        <v>7312</v>
      </c>
      <c r="B2851" s="27" t="s">
        <v>4759</v>
      </c>
      <c r="D2851" s="28" t="s">
        <v>4760</v>
      </c>
      <c r="E2851" s="29" t="s">
        <v>4633</v>
      </c>
      <c r="F2851" s="30">
        <v>1</v>
      </c>
      <c r="G2851" s="31">
        <v>139.21</v>
      </c>
      <c r="H2851" s="31">
        <f t="shared" si="163"/>
        <v>139.21</v>
      </c>
      <c r="I2851" s="170" t="s">
        <v>2842</v>
      </c>
      <c r="J2851" t="s">
        <v>2853</v>
      </c>
      <c r="K2851" s="188" t="s">
        <v>2853</v>
      </c>
    </row>
    <row r="2852" spans="1:11" x14ac:dyDescent="0.25">
      <c r="A2852" t="s">
        <v>7313</v>
      </c>
      <c r="B2852" s="27" t="s">
        <v>4761</v>
      </c>
      <c r="D2852" s="28" t="s">
        <v>4762</v>
      </c>
      <c r="E2852" s="29" t="s">
        <v>4633</v>
      </c>
      <c r="F2852" s="30">
        <v>1</v>
      </c>
      <c r="G2852" s="31">
        <v>156.93</v>
      </c>
      <c r="H2852" s="31">
        <f t="shared" si="163"/>
        <v>156.93</v>
      </c>
      <c r="I2852" s="170" t="s">
        <v>2842</v>
      </c>
      <c r="J2852" t="s">
        <v>2853</v>
      </c>
      <c r="K2852" s="188" t="s">
        <v>2853</v>
      </c>
    </row>
    <row r="2853" spans="1:11" x14ac:dyDescent="0.25">
      <c r="A2853" t="s">
        <v>7314</v>
      </c>
      <c r="B2853" s="27" t="s">
        <v>4763</v>
      </c>
      <c r="D2853" s="28" t="s">
        <v>4764</v>
      </c>
      <c r="E2853" s="29" t="s">
        <v>4633</v>
      </c>
      <c r="F2853" s="30">
        <v>1</v>
      </c>
      <c r="G2853" s="31">
        <v>173.38</v>
      </c>
      <c r="H2853" s="31">
        <f t="shared" si="163"/>
        <v>173.38</v>
      </c>
      <c r="I2853" s="170" t="s">
        <v>2842</v>
      </c>
      <c r="J2853" t="s">
        <v>2853</v>
      </c>
      <c r="K2853" s="188" t="s">
        <v>2853</v>
      </c>
    </row>
    <row r="2854" spans="1:11" x14ac:dyDescent="0.25">
      <c r="A2854" t="s">
        <v>7315</v>
      </c>
      <c r="B2854" s="27" t="s">
        <v>4765</v>
      </c>
      <c r="D2854" s="28" t="s">
        <v>4766</v>
      </c>
      <c r="E2854" s="29" t="s">
        <v>4633</v>
      </c>
      <c r="F2854" s="30">
        <v>1</v>
      </c>
      <c r="G2854" s="31">
        <v>99.97</v>
      </c>
      <c r="H2854" s="31">
        <f t="shared" si="163"/>
        <v>99.97</v>
      </c>
      <c r="I2854" s="170" t="s">
        <v>2842</v>
      </c>
      <c r="J2854" t="s">
        <v>2853</v>
      </c>
      <c r="K2854" s="188" t="s">
        <v>2853</v>
      </c>
    </row>
    <row r="2855" spans="1:11" x14ac:dyDescent="0.25">
      <c r="A2855" t="s">
        <v>7316</v>
      </c>
      <c r="B2855" s="27" t="s">
        <v>4767</v>
      </c>
      <c r="D2855" s="28" t="s">
        <v>4768</v>
      </c>
      <c r="E2855" s="29" t="s">
        <v>4633</v>
      </c>
      <c r="F2855" s="30">
        <v>1</v>
      </c>
      <c r="G2855" s="31">
        <v>120.23</v>
      </c>
      <c r="H2855" s="31">
        <f t="shared" si="163"/>
        <v>120.23</v>
      </c>
      <c r="I2855" s="170" t="s">
        <v>2842</v>
      </c>
      <c r="J2855" t="s">
        <v>2853</v>
      </c>
      <c r="K2855" s="188" t="s">
        <v>2853</v>
      </c>
    </row>
    <row r="2856" spans="1:11" x14ac:dyDescent="0.25">
      <c r="A2856" t="s">
        <v>7317</v>
      </c>
      <c r="B2856" s="27" t="s">
        <v>4769</v>
      </c>
      <c r="D2856" s="28" t="s">
        <v>4770</v>
      </c>
      <c r="E2856" s="29" t="s">
        <v>4633</v>
      </c>
      <c r="F2856" s="30">
        <v>1</v>
      </c>
      <c r="G2856" s="31">
        <v>135.41</v>
      </c>
      <c r="H2856" s="31">
        <f t="shared" si="163"/>
        <v>135.41</v>
      </c>
      <c r="I2856" s="170" t="s">
        <v>2842</v>
      </c>
      <c r="J2856" t="s">
        <v>2853</v>
      </c>
      <c r="K2856" s="188" t="s">
        <v>2853</v>
      </c>
    </row>
    <row r="2857" spans="1:11" x14ac:dyDescent="0.25">
      <c r="A2857" t="s">
        <v>7318</v>
      </c>
      <c r="B2857" s="27" t="s">
        <v>4771</v>
      </c>
      <c r="D2857" s="28" t="s">
        <v>4772</v>
      </c>
      <c r="E2857" s="29" t="s">
        <v>4633</v>
      </c>
      <c r="F2857" s="30">
        <v>1</v>
      </c>
      <c r="G2857" s="31">
        <v>151.87</v>
      </c>
      <c r="H2857" s="31">
        <f t="shared" si="163"/>
        <v>151.87</v>
      </c>
      <c r="I2857" s="170" t="s">
        <v>2842</v>
      </c>
      <c r="J2857" t="s">
        <v>2853</v>
      </c>
      <c r="K2857" s="188" t="s">
        <v>2853</v>
      </c>
    </row>
    <row r="2858" spans="1:11" x14ac:dyDescent="0.25">
      <c r="A2858" t="s">
        <v>7319</v>
      </c>
      <c r="B2858" s="27" t="s">
        <v>4773</v>
      </c>
      <c r="D2858" s="28" t="s">
        <v>4774</v>
      </c>
      <c r="E2858" s="29" t="s">
        <v>4633</v>
      </c>
      <c r="F2858" s="30">
        <v>1</v>
      </c>
      <c r="G2858" s="31">
        <v>115.16</v>
      </c>
      <c r="H2858" s="31">
        <f t="shared" si="163"/>
        <v>115.16</v>
      </c>
      <c r="I2858" s="170" t="s">
        <v>2842</v>
      </c>
      <c r="J2858" t="s">
        <v>2853</v>
      </c>
      <c r="K2858" s="188" t="s">
        <v>2853</v>
      </c>
    </row>
    <row r="2859" spans="1:11" x14ac:dyDescent="0.25">
      <c r="A2859" t="s">
        <v>7320</v>
      </c>
      <c r="B2859" s="27" t="s">
        <v>4775</v>
      </c>
      <c r="D2859" s="28" t="s">
        <v>4776</v>
      </c>
      <c r="E2859" s="29" t="s">
        <v>4633</v>
      </c>
      <c r="F2859" s="30">
        <v>1</v>
      </c>
      <c r="G2859" s="31">
        <v>139.21</v>
      </c>
      <c r="H2859" s="31">
        <f t="shared" si="163"/>
        <v>139.21</v>
      </c>
      <c r="I2859" s="170" t="s">
        <v>2842</v>
      </c>
      <c r="J2859" t="s">
        <v>2853</v>
      </c>
      <c r="K2859" s="188" t="s">
        <v>2853</v>
      </c>
    </row>
    <row r="2860" spans="1:11" x14ac:dyDescent="0.25">
      <c r="A2860" t="s">
        <v>7321</v>
      </c>
      <c r="B2860" s="27" t="s">
        <v>4777</v>
      </c>
      <c r="D2860" s="28" t="s">
        <v>4778</v>
      </c>
      <c r="E2860" s="29" t="s">
        <v>4633</v>
      </c>
      <c r="F2860" s="30">
        <v>1</v>
      </c>
      <c r="G2860" s="31">
        <v>156.93</v>
      </c>
      <c r="H2860" s="31">
        <f t="shared" si="163"/>
        <v>156.93</v>
      </c>
      <c r="I2860" s="170" t="s">
        <v>2842</v>
      </c>
      <c r="J2860" t="s">
        <v>2853</v>
      </c>
      <c r="K2860" s="188" t="s">
        <v>2853</v>
      </c>
    </row>
    <row r="2861" spans="1:11" x14ac:dyDescent="0.25">
      <c r="A2861" t="s">
        <v>7322</v>
      </c>
      <c r="B2861" s="27" t="s">
        <v>4779</v>
      </c>
      <c r="D2861" s="28" t="s">
        <v>4780</v>
      </c>
      <c r="E2861" s="29" t="s">
        <v>4633</v>
      </c>
      <c r="F2861" s="30">
        <v>1</v>
      </c>
      <c r="G2861" s="31">
        <v>173.38</v>
      </c>
      <c r="H2861" s="31">
        <f t="shared" si="163"/>
        <v>173.38</v>
      </c>
      <c r="I2861" s="170" t="s">
        <v>2842</v>
      </c>
      <c r="J2861" t="s">
        <v>2853</v>
      </c>
      <c r="K2861" s="188" t="s">
        <v>2853</v>
      </c>
    </row>
    <row r="2862" spans="1:11" x14ac:dyDescent="0.25">
      <c r="A2862" t="s">
        <v>7323</v>
      </c>
      <c r="B2862" s="27" t="s">
        <v>4781</v>
      </c>
      <c r="D2862" s="28" t="s">
        <v>4782</v>
      </c>
      <c r="E2862" s="29" t="s">
        <v>4633</v>
      </c>
      <c r="F2862" s="30">
        <v>1</v>
      </c>
      <c r="G2862" s="31">
        <v>11.69</v>
      </c>
      <c r="H2862" s="31">
        <f t="shared" ref="H2862:H2887" si="164">+F2862*G2862</f>
        <v>11.69</v>
      </c>
      <c r="I2862" s="170" t="s">
        <v>2842</v>
      </c>
      <c r="J2862" t="s">
        <v>2853</v>
      </c>
      <c r="K2862" s="188" t="s">
        <v>2853</v>
      </c>
    </row>
    <row r="2863" spans="1:11" x14ac:dyDescent="0.25">
      <c r="A2863" t="s">
        <v>7324</v>
      </c>
      <c r="B2863" s="27" t="s">
        <v>4783</v>
      </c>
      <c r="D2863" s="28" t="s">
        <v>4784</v>
      </c>
      <c r="E2863" s="29" t="s">
        <v>4633</v>
      </c>
      <c r="F2863" s="30">
        <v>1</v>
      </c>
      <c r="G2863" s="31">
        <v>13.42</v>
      </c>
      <c r="H2863" s="31">
        <f t="shared" si="164"/>
        <v>13.42</v>
      </c>
      <c r="I2863" s="170" t="s">
        <v>2842</v>
      </c>
      <c r="J2863" t="s">
        <v>2853</v>
      </c>
      <c r="K2863" s="188" t="s">
        <v>2853</v>
      </c>
    </row>
    <row r="2864" spans="1:11" x14ac:dyDescent="0.25">
      <c r="A2864" t="s">
        <v>7325</v>
      </c>
      <c r="B2864" s="27" t="s">
        <v>4785</v>
      </c>
      <c r="D2864" s="28" t="s">
        <v>4786</v>
      </c>
      <c r="E2864" s="29" t="s">
        <v>4633</v>
      </c>
      <c r="F2864" s="30">
        <v>1</v>
      </c>
      <c r="G2864" s="31">
        <v>15.79</v>
      </c>
      <c r="H2864" s="31">
        <f t="shared" si="164"/>
        <v>15.79</v>
      </c>
      <c r="I2864" s="170" t="s">
        <v>2842</v>
      </c>
      <c r="J2864" t="s">
        <v>2853</v>
      </c>
      <c r="K2864" s="188" t="s">
        <v>2853</v>
      </c>
    </row>
    <row r="2865" spans="1:11" x14ac:dyDescent="0.25">
      <c r="A2865" t="s">
        <v>7326</v>
      </c>
      <c r="B2865" s="27" t="s">
        <v>4787</v>
      </c>
      <c r="D2865" s="28" t="s">
        <v>4788</v>
      </c>
      <c r="E2865" s="29" t="s">
        <v>4633</v>
      </c>
      <c r="F2865" s="30">
        <v>1</v>
      </c>
      <c r="G2865" s="31">
        <v>18.66</v>
      </c>
      <c r="H2865" s="31">
        <f t="shared" si="164"/>
        <v>18.66</v>
      </c>
      <c r="I2865" s="170" t="s">
        <v>2842</v>
      </c>
      <c r="J2865" t="s">
        <v>2853</v>
      </c>
      <c r="K2865" s="188" t="s">
        <v>2853</v>
      </c>
    </row>
    <row r="2866" spans="1:11" x14ac:dyDescent="0.25">
      <c r="A2866" t="s">
        <v>7327</v>
      </c>
      <c r="B2866" s="27" t="s">
        <v>4789</v>
      </c>
      <c r="D2866" s="28" t="s">
        <v>4790</v>
      </c>
      <c r="E2866" s="29" t="s">
        <v>4633</v>
      </c>
      <c r="F2866" s="30">
        <v>1</v>
      </c>
      <c r="G2866" s="31">
        <v>105.23</v>
      </c>
      <c r="H2866" s="31">
        <f t="shared" si="164"/>
        <v>105.23</v>
      </c>
      <c r="I2866" s="170" t="s">
        <v>2842</v>
      </c>
      <c r="J2866" t="s">
        <v>2853</v>
      </c>
      <c r="K2866" s="188" t="s">
        <v>2853</v>
      </c>
    </row>
    <row r="2867" spans="1:11" x14ac:dyDescent="0.25">
      <c r="A2867" t="s">
        <v>7328</v>
      </c>
      <c r="B2867" s="27" t="s">
        <v>4791</v>
      </c>
      <c r="D2867" s="28" t="s">
        <v>4792</v>
      </c>
      <c r="E2867" s="29" t="s">
        <v>4633</v>
      </c>
      <c r="F2867" s="30">
        <v>1</v>
      </c>
      <c r="G2867" s="31">
        <v>182.39</v>
      </c>
      <c r="H2867" s="31">
        <f t="shared" si="164"/>
        <v>182.39</v>
      </c>
      <c r="I2867" s="170" t="s">
        <v>2842</v>
      </c>
      <c r="J2867" t="s">
        <v>2853</v>
      </c>
      <c r="K2867" s="188" t="s">
        <v>2853</v>
      </c>
    </row>
    <row r="2868" spans="1:11" x14ac:dyDescent="0.25">
      <c r="A2868" t="s">
        <v>7329</v>
      </c>
      <c r="B2868" s="27" t="s">
        <v>4793</v>
      </c>
      <c r="D2868" s="28" t="s">
        <v>4794</v>
      </c>
      <c r="E2868" s="29" t="s">
        <v>4633</v>
      </c>
      <c r="F2868" s="30">
        <v>1</v>
      </c>
      <c r="G2868" s="31">
        <v>245.52</v>
      </c>
      <c r="H2868" s="31">
        <f t="shared" si="164"/>
        <v>245.52</v>
      </c>
      <c r="I2868" s="170" t="s">
        <v>2842</v>
      </c>
      <c r="J2868" t="s">
        <v>2853</v>
      </c>
      <c r="K2868" s="188" t="s">
        <v>2853</v>
      </c>
    </row>
    <row r="2869" spans="1:11" x14ac:dyDescent="0.25">
      <c r="A2869" t="s">
        <v>7934</v>
      </c>
      <c r="B2869" s="27" t="s">
        <v>7330</v>
      </c>
      <c r="D2869" s="28" t="s">
        <v>4795</v>
      </c>
      <c r="E2869" s="29" t="s">
        <v>4633</v>
      </c>
      <c r="F2869" s="30">
        <v>4</v>
      </c>
      <c r="G2869" s="31">
        <v>7.06</v>
      </c>
      <c r="H2869" s="31">
        <f t="shared" si="164"/>
        <v>28.24</v>
      </c>
      <c r="I2869" s="170" t="s">
        <v>7501</v>
      </c>
      <c r="J2869" t="s">
        <v>2853</v>
      </c>
      <c r="K2869" s="188" t="s">
        <v>2853</v>
      </c>
    </row>
    <row r="2870" spans="1:11" x14ac:dyDescent="0.25">
      <c r="A2870" t="s">
        <v>7331</v>
      </c>
      <c r="B2870" s="27" t="s">
        <v>4796</v>
      </c>
      <c r="D2870" s="28" t="s">
        <v>4797</v>
      </c>
      <c r="E2870" s="29" t="s">
        <v>4633</v>
      </c>
      <c r="F2870" s="30">
        <v>4</v>
      </c>
      <c r="G2870" s="31">
        <v>10.61</v>
      </c>
      <c r="H2870" s="31">
        <f t="shared" si="164"/>
        <v>42.44</v>
      </c>
      <c r="I2870" s="170" t="s">
        <v>7501</v>
      </c>
      <c r="J2870" t="s">
        <v>2853</v>
      </c>
      <c r="K2870" s="188" t="s">
        <v>2853</v>
      </c>
    </row>
    <row r="2871" spans="1:11" x14ac:dyDescent="0.25">
      <c r="A2871" t="s">
        <v>7935</v>
      </c>
      <c r="B2871" s="27" t="s">
        <v>7370</v>
      </c>
      <c r="D2871" s="28" t="s">
        <v>7380</v>
      </c>
      <c r="E2871" s="29" t="s">
        <v>4633</v>
      </c>
      <c r="F2871" s="30">
        <v>4</v>
      </c>
      <c r="G2871" s="31">
        <v>10.61</v>
      </c>
      <c r="H2871" s="31">
        <f t="shared" si="164"/>
        <v>42.44</v>
      </c>
      <c r="I2871" s="170" t="s">
        <v>7501</v>
      </c>
      <c r="J2871" t="s">
        <v>2853</v>
      </c>
      <c r="K2871" s="188" t="s">
        <v>2853</v>
      </c>
    </row>
    <row r="2872" spans="1:11" x14ac:dyDescent="0.35">
      <c r="B2872" s="27" t="s">
        <v>7332</v>
      </c>
      <c r="C2872" s="33"/>
      <c r="D2872" s="27" t="s">
        <v>71</v>
      </c>
      <c r="E2872" s="29" t="s">
        <v>4633</v>
      </c>
      <c r="F2872" s="30">
        <v>18</v>
      </c>
      <c r="G2872" s="31">
        <v>15.53</v>
      </c>
      <c r="H2872" s="31">
        <f t="shared" si="164"/>
        <v>279.53999999999996</v>
      </c>
      <c r="I2872" s="170" t="s">
        <v>7501</v>
      </c>
      <c r="J2872" s="256" t="s">
        <v>8302</v>
      </c>
      <c r="K2872" s="259">
        <v>45181</v>
      </c>
    </row>
    <row r="2873" spans="1:11" x14ac:dyDescent="0.25">
      <c r="A2873" t="s">
        <v>7936</v>
      </c>
      <c r="B2873" s="27" t="s">
        <v>7333</v>
      </c>
      <c r="D2873" s="27" t="s">
        <v>83</v>
      </c>
      <c r="E2873" s="29" t="s">
        <v>4633</v>
      </c>
      <c r="F2873" s="30">
        <v>30</v>
      </c>
      <c r="G2873" s="31">
        <v>3.13</v>
      </c>
      <c r="H2873" s="31">
        <f t="shared" si="164"/>
        <v>93.899999999999991</v>
      </c>
      <c r="I2873" s="170" t="s">
        <v>7501</v>
      </c>
      <c r="J2873" t="s">
        <v>2853</v>
      </c>
      <c r="K2873" s="188" t="s">
        <v>2853</v>
      </c>
    </row>
    <row r="2874" spans="1:11" x14ac:dyDescent="0.35">
      <c r="B2874" s="27" t="s">
        <v>7334</v>
      </c>
      <c r="C2874" s="27"/>
      <c r="D2874" s="28" t="s">
        <v>131</v>
      </c>
      <c r="E2874" s="29" t="s">
        <v>4633</v>
      </c>
      <c r="F2874" s="30">
        <v>20</v>
      </c>
      <c r="G2874" s="31">
        <v>11.68</v>
      </c>
      <c r="H2874" s="31">
        <f t="shared" si="164"/>
        <v>233.6</v>
      </c>
      <c r="I2874" s="170" t="s">
        <v>7501</v>
      </c>
      <c r="J2874" s="256" t="s">
        <v>8326</v>
      </c>
      <c r="K2874" s="259">
        <v>45237</v>
      </c>
    </row>
    <row r="2875" spans="1:11" x14ac:dyDescent="0.25">
      <c r="B2875" s="27" t="s">
        <v>7335</v>
      </c>
      <c r="C2875" s="27"/>
      <c r="D2875" s="28" t="s">
        <v>138</v>
      </c>
      <c r="E2875" s="29" t="s">
        <v>4633</v>
      </c>
      <c r="F2875" s="30">
        <v>50</v>
      </c>
      <c r="G2875" s="31">
        <v>1.83</v>
      </c>
      <c r="H2875" s="31">
        <f t="shared" si="164"/>
        <v>91.5</v>
      </c>
      <c r="I2875" s="170" t="s">
        <v>7501</v>
      </c>
      <c r="J2875" t="s">
        <v>2853</v>
      </c>
      <c r="K2875" s="188" t="s">
        <v>2853</v>
      </c>
    </row>
    <row r="2876" spans="1:11" x14ac:dyDescent="0.25">
      <c r="A2876" t="s">
        <v>7937</v>
      </c>
      <c r="B2876" s="27" t="s">
        <v>7336</v>
      </c>
      <c r="D2876" s="34" t="s">
        <v>7737</v>
      </c>
      <c r="E2876" s="29" t="s">
        <v>4633</v>
      </c>
      <c r="F2876" s="30">
        <v>1</v>
      </c>
      <c r="G2876" s="31">
        <v>64.36</v>
      </c>
      <c r="H2876" s="31">
        <f t="shared" si="164"/>
        <v>64.36</v>
      </c>
      <c r="I2876" s="170" t="s">
        <v>7501</v>
      </c>
      <c r="J2876" t="s">
        <v>2853</v>
      </c>
      <c r="K2876" s="188" t="s">
        <v>2853</v>
      </c>
    </row>
    <row r="2877" spans="1:11" x14ac:dyDescent="0.25">
      <c r="A2877" t="s">
        <v>7938</v>
      </c>
      <c r="B2877" s="27" t="s">
        <v>7337</v>
      </c>
      <c r="D2877" s="34" t="s">
        <v>7739</v>
      </c>
      <c r="E2877" s="29" t="s">
        <v>4633</v>
      </c>
      <c r="F2877" s="30">
        <v>1</v>
      </c>
      <c r="G2877" s="31">
        <v>57.8</v>
      </c>
      <c r="H2877" s="31">
        <f t="shared" si="164"/>
        <v>57.8</v>
      </c>
      <c r="I2877" s="170" t="s">
        <v>7501</v>
      </c>
      <c r="J2877" t="s">
        <v>2853</v>
      </c>
      <c r="K2877" s="188" t="s">
        <v>2853</v>
      </c>
    </row>
    <row r="2878" spans="1:11" x14ac:dyDescent="0.25">
      <c r="B2878" s="27" t="s">
        <v>7419</v>
      </c>
      <c r="D2878" s="34" t="s">
        <v>7420</v>
      </c>
      <c r="E2878" s="29" t="s">
        <v>19</v>
      </c>
      <c r="F2878" s="30">
        <v>50</v>
      </c>
      <c r="G2878" s="31">
        <v>0.89</v>
      </c>
      <c r="H2878" s="31">
        <f t="shared" si="164"/>
        <v>44.5</v>
      </c>
      <c r="I2878" s="170" t="s">
        <v>7501</v>
      </c>
      <c r="J2878" t="s">
        <v>2853</v>
      </c>
      <c r="K2878" s="188" t="s">
        <v>2853</v>
      </c>
    </row>
    <row r="2879" spans="1:11" x14ac:dyDescent="0.25">
      <c r="B2879" s="27" t="s">
        <v>7421</v>
      </c>
      <c r="D2879" s="34" t="s">
        <v>7422</v>
      </c>
      <c r="E2879" s="29" t="s">
        <v>21</v>
      </c>
      <c r="F2879" s="30">
        <v>50</v>
      </c>
      <c r="G2879" s="31">
        <v>0.89</v>
      </c>
      <c r="H2879" s="31">
        <f t="shared" si="164"/>
        <v>44.5</v>
      </c>
      <c r="I2879" s="170" t="s">
        <v>7501</v>
      </c>
      <c r="J2879" t="s">
        <v>2853</v>
      </c>
      <c r="K2879" s="188" t="s">
        <v>2853</v>
      </c>
    </row>
    <row r="2880" spans="1:11" x14ac:dyDescent="0.25">
      <c r="B2880" s="27" t="s">
        <v>7423</v>
      </c>
      <c r="D2880" s="34" t="s">
        <v>7424</v>
      </c>
      <c r="E2880" s="29" t="s">
        <v>563</v>
      </c>
      <c r="F2880" s="30">
        <v>50</v>
      </c>
      <c r="G2880" s="31">
        <v>0.89</v>
      </c>
      <c r="H2880" s="31">
        <f t="shared" si="164"/>
        <v>44.5</v>
      </c>
      <c r="I2880" s="170" t="s">
        <v>7501</v>
      </c>
      <c r="J2880" t="s">
        <v>2853</v>
      </c>
      <c r="K2880" s="188" t="s">
        <v>2853</v>
      </c>
    </row>
    <row r="2881" spans="1:11" x14ac:dyDescent="0.25">
      <c r="B2881" s="27" t="s">
        <v>7425</v>
      </c>
      <c r="D2881" s="34" t="s">
        <v>7426</v>
      </c>
      <c r="E2881" s="29" t="s">
        <v>4633</v>
      </c>
      <c r="F2881" s="30">
        <v>50</v>
      </c>
      <c r="G2881" s="31">
        <v>0.89</v>
      </c>
      <c r="H2881" s="31">
        <f t="shared" si="164"/>
        <v>44.5</v>
      </c>
      <c r="J2881" t="s">
        <v>2853</v>
      </c>
      <c r="K2881" s="188" t="s">
        <v>2853</v>
      </c>
    </row>
    <row r="2882" spans="1:11" x14ac:dyDescent="0.25">
      <c r="B2882" s="27" t="s">
        <v>7427</v>
      </c>
      <c r="D2882" s="34" t="s">
        <v>7428</v>
      </c>
      <c r="E2882" s="29" t="s">
        <v>671</v>
      </c>
      <c r="F2882" s="30">
        <v>50</v>
      </c>
      <c r="G2882" s="31">
        <v>0.89</v>
      </c>
      <c r="H2882" s="31">
        <f t="shared" si="164"/>
        <v>44.5</v>
      </c>
      <c r="J2882" t="s">
        <v>2853</v>
      </c>
      <c r="K2882" s="188" t="s">
        <v>2853</v>
      </c>
    </row>
    <row r="2883" spans="1:11" x14ac:dyDescent="0.25">
      <c r="B2883" s="27" t="s">
        <v>7429</v>
      </c>
      <c r="D2883" s="34" t="s">
        <v>7430</v>
      </c>
      <c r="E2883" s="29" t="s">
        <v>19</v>
      </c>
      <c r="F2883" s="30">
        <v>100</v>
      </c>
      <c r="G2883" s="31">
        <v>1.64</v>
      </c>
      <c r="H2883" s="31">
        <f t="shared" si="164"/>
        <v>164</v>
      </c>
      <c r="I2883" s="170" t="s">
        <v>2842</v>
      </c>
      <c r="J2883" t="s">
        <v>2853</v>
      </c>
      <c r="K2883" s="188" t="s">
        <v>2853</v>
      </c>
    </row>
    <row r="2884" spans="1:11" x14ac:dyDescent="0.25">
      <c r="B2884" s="27" t="s">
        <v>7431</v>
      </c>
      <c r="D2884" s="34" t="s">
        <v>7432</v>
      </c>
      <c r="E2884" s="29" t="s">
        <v>21</v>
      </c>
      <c r="F2884" s="30">
        <v>100</v>
      </c>
      <c r="G2884" s="31">
        <v>1.64</v>
      </c>
      <c r="H2884" s="31">
        <f t="shared" si="164"/>
        <v>164</v>
      </c>
      <c r="I2884" s="170" t="s">
        <v>2842</v>
      </c>
      <c r="J2884" t="s">
        <v>2853</v>
      </c>
      <c r="K2884" s="188" t="s">
        <v>2853</v>
      </c>
    </row>
    <row r="2885" spans="1:11" x14ac:dyDescent="0.25">
      <c r="B2885" s="27" t="s">
        <v>7433</v>
      </c>
      <c r="D2885" s="34" t="s">
        <v>7434</v>
      </c>
      <c r="E2885" s="29" t="s">
        <v>563</v>
      </c>
      <c r="F2885" s="30">
        <v>100</v>
      </c>
      <c r="G2885" s="31">
        <v>1.64</v>
      </c>
      <c r="H2885" s="31">
        <f t="shared" si="164"/>
        <v>164</v>
      </c>
      <c r="I2885" s="170" t="s">
        <v>2842</v>
      </c>
      <c r="J2885" t="s">
        <v>2853</v>
      </c>
      <c r="K2885" s="188" t="s">
        <v>2853</v>
      </c>
    </row>
    <row r="2886" spans="1:11" x14ac:dyDescent="0.25">
      <c r="B2886" s="27" t="s">
        <v>7435</v>
      </c>
      <c r="D2886" s="34" t="s">
        <v>7436</v>
      </c>
      <c r="E2886" s="29" t="s">
        <v>4633</v>
      </c>
      <c r="F2886" s="30">
        <v>100</v>
      </c>
      <c r="G2886" s="31">
        <v>1.64</v>
      </c>
      <c r="H2886" s="31">
        <f t="shared" si="164"/>
        <v>164</v>
      </c>
      <c r="I2886" s="170" t="s">
        <v>2842</v>
      </c>
      <c r="J2886" t="s">
        <v>2853</v>
      </c>
      <c r="K2886" s="188" t="s">
        <v>2853</v>
      </c>
    </row>
    <row r="2887" spans="1:11" x14ac:dyDescent="0.25">
      <c r="B2887" s="27" t="s">
        <v>7437</v>
      </c>
      <c r="D2887" s="34" t="s">
        <v>7438</v>
      </c>
      <c r="E2887" s="29" t="s">
        <v>671</v>
      </c>
      <c r="F2887" s="30">
        <v>100</v>
      </c>
      <c r="G2887" s="31">
        <v>1.64</v>
      </c>
      <c r="H2887" s="31">
        <f t="shared" si="164"/>
        <v>164</v>
      </c>
      <c r="I2887" s="170" t="s">
        <v>2842</v>
      </c>
      <c r="J2887" t="s">
        <v>2853</v>
      </c>
      <c r="K2887" s="188" t="s">
        <v>2853</v>
      </c>
    </row>
    <row r="2888" spans="1:11" ht="15" x14ac:dyDescent="0.25">
      <c r="J2888" t="s">
        <v>2853</v>
      </c>
      <c r="K2888" s="188" t="s">
        <v>2853</v>
      </c>
    </row>
    <row r="2889" spans="1:11" ht="30" x14ac:dyDescent="0.4">
      <c r="B2889" s="171" t="s">
        <v>7939</v>
      </c>
      <c r="C2889" s="25"/>
      <c r="D2889" s="25"/>
      <c r="E2889" s="25"/>
      <c r="F2889" s="25"/>
      <c r="G2889" s="25"/>
      <c r="H2889" s="25"/>
      <c r="J2889" t="s">
        <v>2853</v>
      </c>
      <c r="K2889" s="188" t="s">
        <v>2853</v>
      </c>
    </row>
    <row r="2890" spans="1:11" ht="15" x14ac:dyDescent="0.25">
      <c r="J2890" t="s">
        <v>2853</v>
      </c>
      <c r="K2890" s="188" t="s">
        <v>2853</v>
      </c>
    </row>
    <row r="2891" spans="1:11" x14ac:dyDescent="0.25">
      <c r="A2891" t="s">
        <v>7940</v>
      </c>
      <c r="B2891" s="27" t="s">
        <v>7371</v>
      </c>
      <c r="D2891" s="28" t="s">
        <v>7372</v>
      </c>
      <c r="E2891" s="29" t="s">
        <v>19</v>
      </c>
      <c r="F2891" s="30">
        <v>20</v>
      </c>
      <c r="G2891" s="31">
        <v>9.19</v>
      </c>
      <c r="H2891" s="31">
        <f t="shared" ref="H2891:H2895" si="165">+F2891*G2891</f>
        <v>183.79999999999998</v>
      </c>
      <c r="I2891" s="170" t="s">
        <v>2842</v>
      </c>
      <c r="J2891" t="s">
        <v>2853</v>
      </c>
      <c r="K2891" s="188" t="s">
        <v>2853</v>
      </c>
    </row>
    <row r="2892" spans="1:11" x14ac:dyDescent="0.25">
      <c r="A2892" t="s">
        <v>7941</v>
      </c>
      <c r="B2892" s="27" t="s">
        <v>7373</v>
      </c>
      <c r="D2892" s="28" t="s">
        <v>7372</v>
      </c>
      <c r="E2892" s="29" t="s">
        <v>21</v>
      </c>
      <c r="F2892" s="30">
        <v>20</v>
      </c>
      <c r="G2892" s="31">
        <v>10.16</v>
      </c>
      <c r="H2892" s="31">
        <f t="shared" si="165"/>
        <v>203.2</v>
      </c>
      <c r="I2892" s="170" t="s">
        <v>2842</v>
      </c>
      <c r="J2892" t="s">
        <v>2853</v>
      </c>
      <c r="K2892" s="188" t="s">
        <v>2853</v>
      </c>
    </row>
    <row r="2893" spans="1:11" x14ac:dyDescent="0.25">
      <c r="A2893" t="s">
        <v>7942</v>
      </c>
      <c r="B2893" s="27" t="s">
        <v>7374</v>
      </c>
      <c r="D2893" s="28" t="s">
        <v>7372</v>
      </c>
      <c r="E2893" s="29" t="s">
        <v>4633</v>
      </c>
      <c r="F2893" s="30">
        <v>20</v>
      </c>
      <c r="G2893" s="31">
        <v>10.16</v>
      </c>
      <c r="H2893" s="31">
        <f t="shared" si="165"/>
        <v>203.2</v>
      </c>
      <c r="I2893" s="170" t="s">
        <v>2842</v>
      </c>
      <c r="J2893" t="s">
        <v>2853</v>
      </c>
      <c r="K2893" s="188" t="s">
        <v>2853</v>
      </c>
    </row>
    <row r="2894" spans="1:11" x14ac:dyDescent="0.25">
      <c r="A2894" t="s">
        <v>7943</v>
      </c>
      <c r="B2894" s="27" t="s">
        <v>7375</v>
      </c>
      <c r="D2894" s="28" t="s">
        <v>7372</v>
      </c>
      <c r="E2894" s="29" t="s">
        <v>563</v>
      </c>
      <c r="F2894" s="30">
        <v>20</v>
      </c>
      <c r="G2894" s="31">
        <v>11.9</v>
      </c>
      <c r="H2894" s="31">
        <f t="shared" si="165"/>
        <v>238</v>
      </c>
      <c r="I2894" s="170" t="s">
        <v>2842</v>
      </c>
      <c r="J2894" t="s">
        <v>2853</v>
      </c>
      <c r="K2894" s="188" t="s">
        <v>2853</v>
      </c>
    </row>
    <row r="2895" spans="1:11" x14ac:dyDescent="0.25">
      <c r="A2895" t="s">
        <v>7944</v>
      </c>
      <c r="B2895" s="27" t="s">
        <v>7376</v>
      </c>
      <c r="D2895" s="28" t="s">
        <v>7372</v>
      </c>
      <c r="E2895" s="29" t="s">
        <v>671</v>
      </c>
      <c r="F2895" s="30">
        <v>20</v>
      </c>
      <c r="G2895" s="31">
        <v>11.9</v>
      </c>
      <c r="H2895" s="31">
        <f t="shared" si="165"/>
        <v>238</v>
      </c>
      <c r="I2895" s="170" t="s">
        <v>2842</v>
      </c>
      <c r="J2895" t="s">
        <v>2853</v>
      </c>
      <c r="K2895" s="188" t="s">
        <v>2853</v>
      </c>
    </row>
    <row r="2896" spans="1:11" ht="15" x14ac:dyDescent="0.25">
      <c r="J2896" t="s">
        <v>2853</v>
      </c>
      <c r="K2896" s="188" t="s">
        <v>2853</v>
      </c>
    </row>
    <row r="2897" spans="1:11" ht="30" x14ac:dyDescent="0.4">
      <c r="B2897" s="171" t="s">
        <v>7945</v>
      </c>
      <c r="C2897" s="25"/>
      <c r="D2897" s="25"/>
      <c r="E2897" s="25"/>
      <c r="F2897" s="25"/>
      <c r="G2897" s="25"/>
      <c r="H2897" s="25"/>
      <c r="J2897" t="s">
        <v>2853</v>
      </c>
      <c r="K2897" s="188" t="s">
        <v>2853</v>
      </c>
    </row>
    <row r="2898" spans="1:11" ht="15" x14ac:dyDescent="0.25">
      <c r="J2898" t="s">
        <v>2853</v>
      </c>
      <c r="K2898" s="188" t="s">
        <v>2853</v>
      </c>
    </row>
    <row r="2899" spans="1:11" x14ac:dyDescent="0.25">
      <c r="A2899" t="s">
        <v>7946</v>
      </c>
      <c r="B2899" s="27" t="s">
        <v>7383</v>
      </c>
      <c r="D2899" s="28" t="s">
        <v>7384</v>
      </c>
      <c r="E2899" s="29" t="s">
        <v>4633</v>
      </c>
      <c r="F2899" s="30">
        <v>6</v>
      </c>
      <c r="G2899" s="31">
        <v>9.3800000000000008</v>
      </c>
      <c r="H2899" s="31">
        <f t="shared" ref="H2899:H2904" si="166">+F2899*G2899</f>
        <v>56.28</v>
      </c>
      <c r="I2899" s="170" t="s">
        <v>2842</v>
      </c>
      <c r="J2899" t="s">
        <v>2853</v>
      </c>
      <c r="K2899" s="188" t="s">
        <v>2853</v>
      </c>
    </row>
    <row r="2900" spans="1:11" x14ac:dyDescent="0.25">
      <c r="A2900" t="s">
        <v>7947</v>
      </c>
      <c r="B2900" s="27" t="s">
        <v>7385</v>
      </c>
      <c r="D2900" s="28" t="s">
        <v>7386</v>
      </c>
      <c r="E2900" s="29" t="s">
        <v>19</v>
      </c>
      <c r="F2900" s="30">
        <v>6</v>
      </c>
      <c r="G2900" s="31">
        <v>10.43</v>
      </c>
      <c r="H2900" s="31">
        <f t="shared" si="166"/>
        <v>62.58</v>
      </c>
      <c r="I2900" s="170" t="s">
        <v>2842</v>
      </c>
      <c r="J2900" t="s">
        <v>2853</v>
      </c>
      <c r="K2900" s="188" t="s">
        <v>2853</v>
      </c>
    </row>
    <row r="2901" spans="1:11" x14ac:dyDescent="0.25">
      <c r="A2901" t="s">
        <v>7948</v>
      </c>
      <c r="B2901" s="27" t="s">
        <v>7387</v>
      </c>
      <c r="D2901" s="28" t="s">
        <v>7388</v>
      </c>
      <c r="E2901" s="29" t="s">
        <v>4633</v>
      </c>
      <c r="F2901" s="30">
        <v>6</v>
      </c>
      <c r="G2901" s="31">
        <v>11.06</v>
      </c>
      <c r="H2901" s="31">
        <f t="shared" si="166"/>
        <v>66.36</v>
      </c>
      <c r="I2901" s="170" t="s">
        <v>2842</v>
      </c>
      <c r="J2901" t="s">
        <v>2853</v>
      </c>
      <c r="K2901" s="188" t="s">
        <v>2853</v>
      </c>
    </row>
    <row r="2902" spans="1:11" x14ac:dyDescent="0.25">
      <c r="A2902" t="s">
        <v>7949</v>
      </c>
      <c r="B2902" s="27" t="s">
        <v>7389</v>
      </c>
      <c r="D2902" s="28" t="s">
        <v>7390</v>
      </c>
      <c r="E2902" s="29" t="s">
        <v>19</v>
      </c>
      <c r="F2902" s="30">
        <v>6</v>
      </c>
      <c r="G2902" s="31">
        <v>12.17</v>
      </c>
      <c r="H2902" s="31">
        <f t="shared" si="166"/>
        <v>73.02</v>
      </c>
      <c r="I2902" s="170" t="s">
        <v>2842</v>
      </c>
      <c r="J2902" t="s">
        <v>2853</v>
      </c>
      <c r="K2902" s="188" t="s">
        <v>2853</v>
      </c>
    </row>
    <row r="2903" spans="1:11" x14ac:dyDescent="0.25">
      <c r="A2903" t="s">
        <v>7950</v>
      </c>
      <c r="B2903" s="27" t="s">
        <v>7391</v>
      </c>
      <c r="D2903" s="28" t="s">
        <v>7392</v>
      </c>
      <c r="E2903" s="29" t="s">
        <v>4633</v>
      </c>
      <c r="F2903" s="30">
        <v>6</v>
      </c>
      <c r="G2903" s="31">
        <v>12.73</v>
      </c>
      <c r="H2903" s="31">
        <f t="shared" si="166"/>
        <v>76.38</v>
      </c>
      <c r="I2903" s="170" t="s">
        <v>2842</v>
      </c>
      <c r="J2903" t="s">
        <v>2853</v>
      </c>
      <c r="K2903" s="188" t="s">
        <v>2853</v>
      </c>
    </row>
    <row r="2904" spans="1:11" x14ac:dyDescent="0.25">
      <c r="A2904" t="s">
        <v>7951</v>
      </c>
      <c r="B2904" s="27" t="s">
        <v>7393</v>
      </c>
      <c r="D2904" s="28" t="s">
        <v>7394</v>
      </c>
      <c r="E2904" s="29" t="s">
        <v>19</v>
      </c>
      <c r="F2904" s="30">
        <v>6</v>
      </c>
      <c r="G2904" s="31">
        <v>13.89</v>
      </c>
      <c r="H2904" s="31">
        <f t="shared" si="166"/>
        <v>83.34</v>
      </c>
      <c r="I2904" s="170" t="s">
        <v>2842</v>
      </c>
      <c r="J2904" t="s">
        <v>2853</v>
      </c>
      <c r="K2904" s="188" t="s">
        <v>2853</v>
      </c>
    </row>
    <row r="2905" spans="1:11" x14ac:dyDescent="0.25">
      <c r="I2905" s="170" t="s">
        <v>2842</v>
      </c>
      <c r="J2905" t="s">
        <v>2853</v>
      </c>
      <c r="K2905" s="188" t="s">
        <v>2853</v>
      </c>
    </row>
    <row r="2906" spans="1:11" ht="30" x14ac:dyDescent="0.4">
      <c r="B2906" s="171" t="s">
        <v>7952</v>
      </c>
      <c r="C2906" s="25"/>
      <c r="D2906" s="25"/>
      <c r="E2906" s="25"/>
      <c r="F2906" s="25"/>
      <c r="G2906" s="25"/>
      <c r="H2906" s="25"/>
      <c r="I2906" s="170" t="s">
        <v>2842</v>
      </c>
      <c r="J2906" t="s">
        <v>2853</v>
      </c>
      <c r="K2906" s="188" t="s">
        <v>2853</v>
      </c>
    </row>
    <row r="2907" spans="1:11" ht="15" x14ac:dyDescent="0.25">
      <c r="J2907" t="s">
        <v>2853</v>
      </c>
      <c r="K2907" s="188" t="s">
        <v>2853</v>
      </c>
    </row>
    <row r="2908" spans="1:11" x14ac:dyDescent="0.25">
      <c r="A2908" t="s">
        <v>7953</v>
      </c>
      <c r="B2908" s="27" t="s">
        <v>7395</v>
      </c>
      <c r="D2908" s="28" t="s">
        <v>7396</v>
      </c>
      <c r="E2908" s="29" t="s">
        <v>60</v>
      </c>
      <c r="F2908" s="30">
        <v>6</v>
      </c>
      <c r="G2908" s="31">
        <v>15.85</v>
      </c>
      <c r="H2908" s="31">
        <f t="shared" ref="H2908:H2915" si="167">+F2908*G2908</f>
        <v>95.1</v>
      </c>
      <c r="J2908" t="s">
        <v>2853</v>
      </c>
      <c r="K2908" s="188" t="s">
        <v>2853</v>
      </c>
    </row>
    <row r="2909" spans="1:11" x14ac:dyDescent="0.25">
      <c r="A2909" t="s">
        <v>7954</v>
      </c>
      <c r="B2909" s="27" t="s">
        <v>7397</v>
      </c>
      <c r="D2909" s="28" t="s">
        <v>7398</v>
      </c>
      <c r="E2909" s="29" t="s">
        <v>60</v>
      </c>
      <c r="F2909" s="30">
        <v>6</v>
      </c>
      <c r="G2909" s="31">
        <v>15.85</v>
      </c>
      <c r="H2909" s="31">
        <f t="shared" si="167"/>
        <v>95.1</v>
      </c>
      <c r="J2909" t="s">
        <v>2853</v>
      </c>
      <c r="K2909" s="188" t="s">
        <v>2853</v>
      </c>
    </row>
    <row r="2910" spans="1:11" x14ac:dyDescent="0.25">
      <c r="A2910" t="s">
        <v>7955</v>
      </c>
      <c r="B2910" s="27" t="s">
        <v>7399</v>
      </c>
      <c r="D2910" s="28" t="s">
        <v>7400</v>
      </c>
      <c r="E2910" s="29" t="s">
        <v>60</v>
      </c>
      <c r="F2910" s="30">
        <v>4</v>
      </c>
      <c r="G2910" s="31">
        <v>19.5</v>
      </c>
      <c r="H2910" s="31">
        <f t="shared" si="167"/>
        <v>78</v>
      </c>
      <c r="I2910" s="170" t="s">
        <v>2842</v>
      </c>
      <c r="J2910" t="s">
        <v>2853</v>
      </c>
      <c r="K2910" s="188" t="s">
        <v>2853</v>
      </c>
    </row>
    <row r="2911" spans="1:11" x14ac:dyDescent="0.25">
      <c r="A2911" t="s">
        <v>7956</v>
      </c>
      <c r="B2911" s="27" t="s">
        <v>7401</v>
      </c>
      <c r="D2911" s="28" t="s">
        <v>7402</v>
      </c>
      <c r="E2911" s="29" t="s">
        <v>60</v>
      </c>
      <c r="F2911" s="30">
        <v>1</v>
      </c>
      <c r="G2911" s="31">
        <v>42.66</v>
      </c>
      <c r="H2911" s="31">
        <f t="shared" si="167"/>
        <v>42.66</v>
      </c>
      <c r="I2911" s="170" t="s">
        <v>2842</v>
      </c>
      <c r="J2911" t="s">
        <v>2853</v>
      </c>
      <c r="K2911" s="188" t="s">
        <v>2853</v>
      </c>
    </row>
    <row r="2912" spans="1:11" x14ac:dyDescent="0.25">
      <c r="A2912" t="s">
        <v>7957</v>
      </c>
      <c r="B2912" s="27" t="s">
        <v>7403</v>
      </c>
      <c r="D2912" s="28" t="s">
        <v>7404</v>
      </c>
      <c r="E2912" s="29" t="s">
        <v>21</v>
      </c>
      <c r="F2912" s="30">
        <v>1</v>
      </c>
      <c r="G2912" s="31">
        <v>19.649999999999999</v>
      </c>
      <c r="H2912" s="31">
        <f t="shared" si="167"/>
        <v>19.649999999999999</v>
      </c>
      <c r="I2912" s="170" t="s">
        <v>2842</v>
      </c>
      <c r="J2912" t="s">
        <v>2853</v>
      </c>
      <c r="K2912" s="188" t="s">
        <v>2853</v>
      </c>
    </row>
    <row r="2913" spans="1:11" x14ac:dyDescent="0.25">
      <c r="A2913" t="s">
        <v>7958</v>
      </c>
      <c r="B2913" s="27" t="s">
        <v>7405</v>
      </c>
      <c r="D2913" s="28" t="s">
        <v>7406</v>
      </c>
      <c r="E2913" s="29" t="s">
        <v>4633</v>
      </c>
      <c r="F2913" s="30">
        <v>1</v>
      </c>
      <c r="G2913" s="31">
        <v>19.649999999999999</v>
      </c>
      <c r="H2913" s="31">
        <f t="shared" si="167"/>
        <v>19.649999999999999</v>
      </c>
      <c r="I2913" s="170" t="s">
        <v>2842</v>
      </c>
      <c r="J2913" t="s">
        <v>2853</v>
      </c>
      <c r="K2913" s="188" t="s">
        <v>2853</v>
      </c>
    </row>
    <row r="2914" spans="1:11" x14ac:dyDescent="0.25">
      <c r="A2914" t="s">
        <v>7959</v>
      </c>
      <c r="B2914" s="27" t="s">
        <v>7407</v>
      </c>
      <c r="D2914" s="28" t="s">
        <v>7439</v>
      </c>
      <c r="E2914" s="29" t="s">
        <v>563</v>
      </c>
      <c r="F2914" s="30">
        <v>1</v>
      </c>
      <c r="G2914" s="31">
        <v>19.649999999999999</v>
      </c>
      <c r="H2914" s="31">
        <f t="shared" si="167"/>
        <v>19.649999999999999</v>
      </c>
      <c r="I2914" s="170" t="s">
        <v>2842</v>
      </c>
      <c r="J2914" t="s">
        <v>2853</v>
      </c>
      <c r="K2914" s="188" t="s">
        <v>2853</v>
      </c>
    </row>
    <row r="2915" spans="1:11" x14ac:dyDescent="0.25">
      <c r="A2915" t="s">
        <v>7960</v>
      </c>
      <c r="B2915" s="27" t="s">
        <v>7408</v>
      </c>
      <c r="D2915" s="28" t="s">
        <v>7409</v>
      </c>
      <c r="E2915" s="29" t="s">
        <v>671</v>
      </c>
      <c r="F2915" s="30">
        <v>1</v>
      </c>
      <c r="G2915" s="31">
        <v>19.649999999999999</v>
      </c>
      <c r="H2915" s="31">
        <f t="shared" si="167"/>
        <v>19.649999999999999</v>
      </c>
      <c r="I2915" s="170" t="s">
        <v>2842</v>
      </c>
      <c r="J2915" t="s">
        <v>2853</v>
      </c>
      <c r="K2915" s="188" t="s">
        <v>2853</v>
      </c>
    </row>
    <row r="2916" spans="1:11" x14ac:dyDescent="0.25">
      <c r="I2916" s="170" t="s">
        <v>2842</v>
      </c>
      <c r="J2916" t="s">
        <v>2853</v>
      </c>
      <c r="K2916" s="188" t="s">
        <v>2853</v>
      </c>
    </row>
    <row r="2917" spans="1:11" ht="30" x14ac:dyDescent="0.4">
      <c r="B2917" s="171" t="s">
        <v>7961</v>
      </c>
      <c r="C2917" s="25"/>
      <c r="D2917" s="25"/>
      <c r="E2917" s="25"/>
      <c r="F2917" s="25"/>
      <c r="G2917" s="25"/>
      <c r="H2917" s="25"/>
      <c r="I2917" s="170" t="s">
        <v>2842</v>
      </c>
      <c r="J2917" t="s">
        <v>2853</v>
      </c>
      <c r="K2917" s="188" t="s">
        <v>2853</v>
      </c>
    </row>
    <row r="2918" spans="1:11" x14ac:dyDescent="0.25">
      <c r="I2918" s="170" t="s">
        <v>2842</v>
      </c>
      <c r="J2918" t="s">
        <v>2853</v>
      </c>
      <c r="K2918" s="188" t="s">
        <v>2853</v>
      </c>
    </row>
    <row r="2919" spans="1:11" x14ac:dyDescent="0.25">
      <c r="B2919" s="27" t="s">
        <v>7440</v>
      </c>
      <c r="D2919" s="28" t="s">
        <v>7441</v>
      </c>
      <c r="E2919" s="29" t="s">
        <v>21</v>
      </c>
      <c r="F2919" s="30">
        <v>1</v>
      </c>
      <c r="G2919" s="31">
        <v>23</v>
      </c>
      <c r="H2919" s="31">
        <f t="shared" ref="H2919:H2948" si="168">+F2919*G2919</f>
        <v>23</v>
      </c>
      <c r="I2919" s="170" t="s">
        <v>2842</v>
      </c>
      <c r="J2919" t="s">
        <v>2853</v>
      </c>
      <c r="K2919" s="188" t="s">
        <v>2853</v>
      </c>
    </row>
    <row r="2920" spans="1:11" x14ac:dyDescent="0.25">
      <c r="B2920" s="27" t="s">
        <v>7442</v>
      </c>
      <c r="D2920" s="28" t="s">
        <v>7443</v>
      </c>
      <c r="E2920" s="29" t="s">
        <v>563</v>
      </c>
      <c r="F2920" s="30">
        <v>1</v>
      </c>
      <c r="G2920" s="31">
        <v>23</v>
      </c>
      <c r="H2920" s="31">
        <f t="shared" si="168"/>
        <v>23</v>
      </c>
      <c r="I2920" s="170" t="s">
        <v>2842</v>
      </c>
      <c r="J2920" t="s">
        <v>2853</v>
      </c>
      <c r="K2920" s="188" t="s">
        <v>2853</v>
      </c>
    </row>
    <row r="2921" spans="1:11" x14ac:dyDescent="0.25">
      <c r="B2921" s="27" t="s">
        <v>7444</v>
      </c>
      <c r="D2921" s="28" t="s">
        <v>7445</v>
      </c>
      <c r="E2921" s="29" t="s">
        <v>671</v>
      </c>
      <c r="F2921" s="30">
        <v>1</v>
      </c>
      <c r="G2921" s="31">
        <v>23</v>
      </c>
      <c r="H2921" s="31">
        <f t="shared" si="168"/>
        <v>23</v>
      </c>
      <c r="I2921" s="170" t="s">
        <v>2842</v>
      </c>
      <c r="J2921" t="s">
        <v>2853</v>
      </c>
      <c r="K2921" s="188" t="s">
        <v>2853</v>
      </c>
    </row>
    <row r="2922" spans="1:11" x14ac:dyDescent="0.25">
      <c r="B2922" s="27" t="s">
        <v>7446</v>
      </c>
      <c r="D2922" s="28" t="s">
        <v>7447</v>
      </c>
      <c r="E2922" s="29" t="s">
        <v>21</v>
      </c>
      <c r="F2922" s="30">
        <v>1</v>
      </c>
      <c r="G2922" s="31">
        <v>23</v>
      </c>
      <c r="H2922" s="31">
        <f t="shared" si="168"/>
        <v>23</v>
      </c>
      <c r="I2922" s="170" t="s">
        <v>2842</v>
      </c>
      <c r="J2922" t="s">
        <v>2853</v>
      </c>
      <c r="K2922" s="188" t="s">
        <v>2853</v>
      </c>
    </row>
    <row r="2923" spans="1:11" x14ac:dyDescent="0.25">
      <c r="B2923" s="27" t="s">
        <v>7448</v>
      </c>
      <c r="D2923" s="28" t="s">
        <v>7449</v>
      </c>
      <c r="E2923" s="29" t="s">
        <v>563</v>
      </c>
      <c r="F2923" s="30">
        <v>1</v>
      </c>
      <c r="G2923" s="31">
        <v>23</v>
      </c>
      <c r="H2923" s="31">
        <f t="shared" si="168"/>
        <v>23</v>
      </c>
      <c r="I2923" s="170" t="s">
        <v>2842</v>
      </c>
      <c r="J2923" t="s">
        <v>2853</v>
      </c>
      <c r="K2923" s="188" t="s">
        <v>2853</v>
      </c>
    </row>
    <row r="2924" spans="1:11" x14ac:dyDescent="0.25">
      <c r="B2924" s="27" t="s">
        <v>7450</v>
      </c>
      <c r="D2924" s="28" t="s">
        <v>7451</v>
      </c>
      <c r="E2924" s="29" t="s">
        <v>671</v>
      </c>
      <c r="F2924" s="30">
        <v>1</v>
      </c>
      <c r="G2924" s="31">
        <v>23</v>
      </c>
      <c r="H2924" s="31">
        <f t="shared" si="168"/>
        <v>23</v>
      </c>
      <c r="I2924" s="170" t="s">
        <v>2842</v>
      </c>
      <c r="J2924" t="s">
        <v>2853</v>
      </c>
      <c r="K2924" s="188" t="s">
        <v>2853</v>
      </c>
    </row>
    <row r="2925" spans="1:11" x14ac:dyDescent="0.25">
      <c r="B2925" s="27" t="s">
        <v>7452</v>
      </c>
      <c r="D2925" s="28" t="s">
        <v>7453</v>
      </c>
      <c r="E2925" s="29" t="s">
        <v>21</v>
      </c>
      <c r="F2925" s="30">
        <v>1</v>
      </c>
      <c r="G2925" s="31">
        <v>23</v>
      </c>
      <c r="H2925" s="31">
        <f t="shared" si="168"/>
        <v>23</v>
      </c>
      <c r="I2925" s="170" t="s">
        <v>2842</v>
      </c>
      <c r="J2925" t="s">
        <v>2853</v>
      </c>
      <c r="K2925" s="188" t="s">
        <v>2853</v>
      </c>
    </row>
    <row r="2926" spans="1:11" x14ac:dyDescent="0.25">
      <c r="B2926" s="27" t="s">
        <v>7454</v>
      </c>
      <c r="D2926" s="28" t="s">
        <v>7455</v>
      </c>
      <c r="E2926" s="29" t="s">
        <v>563</v>
      </c>
      <c r="F2926" s="30">
        <v>1</v>
      </c>
      <c r="G2926" s="31">
        <v>23</v>
      </c>
      <c r="H2926" s="31">
        <f t="shared" si="168"/>
        <v>23</v>
      </c>
      <c r="I2926" s="170" t="s">
        <v>2842</v>
      </c>
      <c r="J2926" t="s">
        <v>2853</v>
      </c>
      <c r="K2926" s="188" t="s">
        <v>2853</v>
      </c>
    </row>
    <row r="2927" spans="1:11" x14ac:dyDescent="0.25">
      <c r="B2927" s="27" t="s">
        <v>7456</v>
      </c>
      <c r="D2927" s="28" t="s">
        <v>7457</v>
      </c>
      <c r="E2927" s="29" t="s">
        <v>671</v>
      </c>
      <c r="F2927" s="30">
        <v>1</v>
      </c>
      <c r="G2927" s="31">
        <v>23</v>
      </c>
      <c r="H2927" s="31">
        <f t="shared" si="168"/>
        <v>23</v>
      </c>
      <c r="I2927" s="170" t="s">
        <v>2842</v>
      </c>
      <c r="J2927" t="s">
        <v>2853</v>
      </c>
      <c r="K2927" s="188" t="s">
        <v>2853</v>
      </c>
    </row>
    <row r="2928" spans="1:11" x14ac:dyDescent="0.25">
      <c r="B2928" s="27" t="s">
        <v>7458</v>
      </c>
      <c r="D2928" s="28" t="s">
        <v>7459</v>
      </c>
      <c r="E2928" s="29"/>
      <c r="F2928" s="30">
        <v>1</v>
      </c>
      <c r="G2928" s="31">
        <v>16.28</v>
      </c>
      <c r="H2928" s="31">
        <f t="shared" si="168"/>
        <v>16.28</v>
      </c>
      <c r="I2928" s="170" t="s">
        <v>2842</v>
      </c>
      <c r="J2928" t="s">
        <v>2853</v>
      </c>
      <c r="K2928" s="188" t="s">
        <v>2853</v>
      </c>
    </row>
    <row r="2929" spans="2:11" x14ac:dyDescent="0.25">
      <c r="B2929" s="27" t="s">
        <v>7460</v>
      </c>
      <c r="D2929" s="28" t="s">
        <v>7461</v>
      </c>
      <c r="E2929" s="29"/>
      <c r="F2929" s="30">
        <v>1</v>
      </c>
      <c r="G2929" s="31">
        <v>16.28</v>
      </c>
      <c r="H2929" s="31">
        <f t="shared" si="168"/>
        <v>16.28</v>
      </c>
      <c r="I2929" s="170" t="s">
        <v>2842</v>
      </c>
      <c r="J2929" t="s">
        <v>2853</v>
      </c>
      <c r="K2929" s="188" t="s">
        <v>2853</v>
      </c>
    </row>
    <row r="2930" spans="2:11" x14ac:dyDescent="0.25">
      <c r="B2930" s="27" t="s">
        <v>7462</v>
      </c>
      <c r="D2930" s="28" t="s">
        <v>7463</v>
      </c>
      <c r="E2930" s="29"/>
      <c r="F2930" s="30">
        <v>1</v>
      </c>
      <c r="G2930" s="31">
        <v>16.28</v>
      </c>
      <c r="H2930" s="31">
        <f t="shared" si="168"/>
        <v>16.28</v>
      </c>
      <c r="I2930" s="170" t="s">
        <v>2842</v>
      </c>
      <c r="J2930" t="s">
        <v>2853</v>
      </c>
      <c r="K2930" s="188" t="s">
        <v>2853</v>
      </c>
    </row>
    <row r="2931" spans="2:11" x14ac:dyDescent="0.25">
      <c r="B2931" s="27" t="s">
        <v>7464</v>
      </c>
      <c r="D2931" s="28" t="s">
        <v>7465</v>
      </c>
      <c r="E2931" s="29" t="s">
        <v>21</v>
      </c>
      <c r="F2931" s="30">
        <v>1</v>
      </c>
      <c r="G2931" s="31">
        <v>13.8</v>
      </c>
      <c r="H2931" s="31">
        <f t="shared" si="168"/>
        <v>13.8</v>
      </c>
      <c r="I2931" s="170" t="s">
        <v>2842</v>
      </c>
      <c r="J2931" t="s">
        <v>2853</v>
      </c>
      <c r="K2931" s="188" t="s">
        <v>2853</v>
      </c>
    </row>
    <row r="2932" spans="2:11" x14ac:dyDescent="0.25">
      <c r="B2932" s="27" t="s">
        <v>7466</v>
      </c>
      <c r="D2932" s="28" t="s">
        <v>7467</v>
      </c>
      <c r="E2932" s="29" t="s">
        <v>563</v>
      </c>
      <c r="F2932" s="30">
        <v>1</v>
      </c>
      <c r="G2932" s="31">
        <v>13.8</v>
      </c>
      <c r="H2932" s="31">
        <f t="shared" si="168"/>
        <v>13.8</v>
      </c>
      <c r="I2932" s="170" t="s">
        <v>2842</v>
      </c>
      <c r="J2932" t="s">
        <v>2853</v>
      </c>
      <c r="K2932" s="188" t="s">
        <v>2853</v>
      </c>
    </row>
    <row r="2933" spans="2:11" x14ac:dyDescent="0.25">
      <c r="B2933" s="27" t="s">
        <v>7468</v>
      </c>
      <c r="D2933" s="28" t="s">
        <v>7469</v>
      </c>
      <c r="E2933" s="29" t="s">
        <v>671</v>
      </c>
      <c r="F2933" s="30">
        <v>1</v>
      </c>
      <c r="G2933" s="31">
        <v>13.8</v>
      </c>
      <c r="H2933" s="31">
        <f t="shared" si="168"/>
        <v>13.8</v>
      </c>
      <c r="I2933" s="170" t="s">
        <v>2842</v>
      </c>
      <c r="J2933" t="s">
        <v>2853</v>
      </c>
      <c r="K2933" s="188" t="s">
        <v>2853</v>
      </c>
    </row>
    <row r="2934" spans="2:11" x14ac:dyDescent="0.25">
      <c r="B2934" s="27" t="s">
        <v>7470</v>
      </c>
      <c r="D2934" s="28" t="s">
        <v>7471</v>
      </c>
      <c r="E2934" s="29" t="s">
        <v>21</v>
      </c>
      <c r="F2934" s="30">
        <v>1</v>
      </c>
      <c r="G2934" s="31">
        <v>13.8</v>
      </c>
      <c r="H2934" s="31">
        <f t="shared" si="168"/>
        <v>13.8</v>
      </c>
      <c r="I2934" s="170" t="s">
        <v>2842</v>
      </c>
      <c r="J2934" t="s">
        <v>2853</v>
      </c>
      <c r="K2934" s="188" t="s">
        <v>2853</v>
      </c>
    </row>
    <row r="2935" spans="2:11" x14ac:dyDescent="0.25">
      <c r="B2935" s="27" t="s">
        <v>7472</v>
      </c>
      <c r="D2935" s="28" t="s">
        <v>7473</v>
      </c>
      <c r="E2935" s="29" t="s">
        <v>563</v>
      </c>
      <c r="F2935" s="30">
        <v>1</v>
      </c>
      <c r="G2935" s="31">
        <v>13.8</v>
      </c>
      <c r="H2935" s="31">
        <f t="shared" si="168"/>
        <v>13.8</v>
      </c>
      <c r="I2935" s="170" t="s">
        <v>2842</v>
      </c>
      <c r="J2935" t="s">
        <v>2853</v>
      </c>
      <c r="K2935" s="188" t="s">
        <v>2853</v>
      </c>
    </row>
    <row r="2936" spans="2:11" x14ac:dyDescent="0.25">
      <c r="B2936" s="27" t="s">
        <v>7474</v>
      </c>
      <c r="D2936" s="28" t="s">
        <v>7475</v>
      </c>
      <c r="E2936" s="29" t="s">
        <v>671</v>
      </c>
      <c r="F2936" s="30">
        <v>1</v>
      </c>
      <c r="G2936" s="31">
        <v>13.8</v>
      </c>
      <c r="H2936" s="31">
        <f t="shared" si="168"/>
        <v>13.8</v>
      </c>
      <c r="I2936" s="170" t="s">
        <v>2842</v>
      </c>
      <c r="J2936" t="s">
        <v>2853</v>
      </c>
      <c r="K2936" s="188" t="s">
        <v>2853</v>
      </c>
    </row>
    <row r="2937" spans="2:11" x14ac:dyDescent="0.25">
      <c r="B2937" s="27" t="s">
        <v>7476</v>
      </c>
      <c r="D2937" s="28" t="s">
        <v>7477</v>
      </c>
      <c r="E2937" s="29" t="s">
        <v>21</v>
      </c>
      <c r="F2937" s="30">
        <v>1</v>
      </c>
      <c r="G2937" s="31">
        <v>13.8</v>
      </c>
      <c r="H2937" s="31">
        <f t="shared" si="168"/>
        <v>13.8</v>
      </c>
      <c r="I2937" s="170" t="s">
        <v>2842</v>
      </c>
      <c r="J2937" t="s">
        <v>2853</v>
      </c>
      <c r="K2937" s="188" t="s">
        <v>2853</v>
      </c>
    </row>
    <row r="2938" spans="2:11" x14ac:dyDescent="0.25">
      <c r="B2938" s="27" t="s">
        <v>7478</v>
      </c>
      <c r="D2938" s="28" t="s">
        <v>7479</v>
      </c>
      <c r="E2938" s="29" t="s">
        <v>563</v>
      </c>
      <c r="F2938" s="30">
        <v>1</v>
      </c>
      <c r="G2938" s="31">
        <v>13.8</v>
      </c>
      <c r="H2938" s="31">
        <f t="shared" si="168"/>
        <v>13.8</v>
      </c>
      <c r="I2938" s="170" t="s">
        <v>2842</v>
      </c>
      <c r="J2938" t="s">
        <v>2853</v>
      </c>
      <c r="K2938" s="188" t="s">
        <v>2853</v>
      </c>
    </row>
    <row r="2939" spans="2:11" x14ac:dyDescent="0.25">
      <c r="B2939" s="27" t="s">
        <v>7480</v>
      </c>
      <c r="D2939" s="28" t="s">
        <v>7481</v>
      </c>
      <c r="E2939" s="29" t="s">
        <v>671</v>
      </c>
      <c r="F2939" s="30">
        <v>1</v>
      </c>
      <c r="G2939" s="31">
        <v>13.8</v>
      </c>
      <c r="H2939" s="31">
        <f t="shared" si="168"/>
        <v>13.8</v>
      </c>
      <c r="I2939" s="170" t="s">
        <v>2842</v>
      </c>
      <c r="J2939" t="s">
        <v>2853</v>
      </c>
      <c r="K2939" s="188" t="s">
        <v>2853</v>
      </c>
    </row>
    <row r="2940" spans="2:11" x14ac:dyDescent="0.25">
      <c r="B2940" s="27" t="s">
        <v>7482</v>
      </c>
      <c r="D2940" s="28" t="s">
        <v>7483</v>
      </c>
      <c r="E2940" s="29" t="s">
        <v>21</v>
      </c>
      <c r="F2940" s="30">
        <v>1</v>
      </c>
      <c r="G2940" s="31">
        <v>11.5</v>
      </c>
      <c r="H2940" s="31">
        <f t="shared" si="168"/>
        <v>11.5</v>
      </c>
      <c r="J2940" t="s">
        <v>2853</v>
      </c>
      <c r="K2940" s="188" t="s">
        <v>2853</v>
      </c>
    </row>
    <row r="2941" spans="2:11" x14ac:dyDescent="0.25">
      <c r="B2941" s="27" t="s">
        <v>7484</v>
      </c>
      <c r="D2941" s="28" t="s">
        <v>7485</v>
      </c>
      <c r="E2941" s="29" t="s">
        <v>563</v>
      </c>
      <c r="F2941" s="30">
        <v>1</v>
      </c>
      <c r="G2941" s="31">
        <v>11.5</v>
      </c>
      <c r="H2941" s="31">
        <f t="shared" si="168"/>
        <v>11.5</v>
      </c>
      <c r="J2941" t="s">
        <v>2853</v>
      </c>
      <c r="K2941" s="188" t="s">
        <v>2853</v>
      </c>
    </row>
    <row r="2942" spans="2:11" x14ac:dyDescent="0.25">
      <c r="B2942" s="27" t="s">
        <v>7486</v>
      </c>
      <c r="D2942" s="28" t="s">
        <v>7487</v>
      </c>
      <c r="E2942" s="29" t="s">
        <v>671</v>
      </c>
      <c r="F2942" s="30">
        <v>1</v>
      </c>
      <c r="G2942" s="31">
        <v>11.5</v>
      </c>
      <c r="H2942" s="31">
        <f t="shared" si="168"/>
        <v>11.5</v>
      </c>
      <c r="J2942" t="s">
        <v>2853</v>
      </c>
      <c r="K2942" s="188" t="s">
        <v>2853</v>
      </c>
    </row>
    <row r="2943" spans="2:11" x14ac:dyDescent="0.25">
      <c r="B2943" s="27" t="s">
        <v>7488</v>
      </c>
      <c r="D2943" s="28" t="s">
        <v>7489</v>
      </c>
      <c r="E2943" s="29" t="s">
        <v>21</v>
      </c>
      <c r="F2943" s="30">
        <v>1</v>
      </c>
      <c r="G2943" s="31">
        <v>11.5</v>
      </c>
      <c r="H2943" s="31">
        <f t="shared" si="168"/>
        <v>11.5</v>
      </c>
      <c r="J2943" t="s">
        <v>2853</v>
      </c>
      <c r="K2943" s="188" t="s">
        <v>2853</v>
      </c>
    </row>
    <row r="2944" spans="2:11" x14ac:dyDescent="0.25">
      <c r="B2944" s="27" t="s">
        <v>7490</v>
      </c>
      <c r="D2944" s="28" t="s">
        <v>7491</v>
      </c>
      <c r="E2944" s="29" t="s">
        <v>563</v>
      </c>
      <c r="F2944" s="30">
        <v>1</v>
      </c>
      <c r="G2944" s="31">
        <v>11.5</v>
      </c>
      <c r="H2944" s="31">
        <f t="shared" si="168"/>
        <v>11.5</v>
      </c>
      <c r="J2944" t="s">
        <v>2853</v>
      </c>
      <c r="K2944" s="188" t="s">
        <v>2853</v>
      </c>
    </row>
    <row r="2945" spans="2:11" x14ac:dyDescent="0.25">
      <c r="B2945" s="27" t="s">
        <v>7492</v>
      </c>
      <c r="D2945" s="28" t="s">
        <v>7493</v>
      </c>
      <c r="E2945" s="29" t="s">
        <v>671</v>
      </c>
      <c r="F2945" s="30">
        <v>1</v>
      </c>
      <c r="G2945" s="31">
        <v>11.5</v>
      </c>
      <c r="H2945" s="31">
        <f t="shared" si="168"/>
        <v>11.5</v>
      </c>
      <c r="J2945" t="s">
        <v>2853</v>
      </c>
      <c r="K2945" s="188" t="s">
        <v>2853</v>
      </c>
    </row>
    <row r="2946" spans="2:11" x14ac:dyDescent="0.25">
      <c r="B2946" s="27" t="s">
        <v>7494</v>
      </c>
      <c r="D2946" s="28" t="s">
        <v>7495</v>
      </c>
      <c r="E2946" s="29" t="s">
        <v>21</v>
      </c>
      <c r="F2946" s="30">
        <v>1</v>
      </c>
      <c r="G2946" s="31">
        <v>11.5</v>
      </c>
      <c r="H2946" s="31">
        <f t="shared" si="168"/>
        <v>11.5</v>
      </c>
      <c r="J2946" t="s">
        <v>2853</v>
      </c>
      <c r="K2946" s="188" t="s">
        <v>2853</v>
      </c>
    </row>
    <row r="2947" spans="2:11" x14ac:dyDescent="0.25">
      <c r="B2947" s="27" t="s">
        <v>7496</v>
      </c>
      <c r="D2947" s="28" t="s">
        <v>7497</v>
      </c>
      <c r="E2947" s="29" t="s">
        <v>563</v>
      </c>
      <c r="F2947" s="30">
        <v>1</v>
      </c>
      <c r="G2947" s="31">
        <v>11.5</v>
      </c>
      <c r="H2947" s="31">
        <f t="shared" si="168"/>
        <v>11.5</v>
      </c>
      <c r="J2947" t="s">
        <v>2853</v>
      </c>
      <c r="K2947" s="188" t="s">
        <v>2853</v>
      </c>
    </row>
    <row r="2948" spans="2:11" x14ac:dyDescent="0.25">
      <c r="B2948" s="27" t="s">
        <v>7498</v>
      </c>
      <c r="D2948" s="28" t="s">
        <v>7499</v>
      </c>
      <c r="E2948" s="29" t="s">
        <v>671</v>
      </c>
      <c r="F2948" s="30">
        <v>1</v>
      </c>
      <c r="G2948" s="31">
        <v>11.5</v>
      </c>
      <c r="H2948" s="31">
        <f t="shared" si="168"/>
        <v>11.5</v>
      </c>
      <c r="J2948" t="s">
        <v>2853</v>
      </c>
      <c r="K2948" s="188" t="s">
        <v>2853</v>
      </c>
    </row>
    <row r="2949" spans="2:11" x14ac:dyDescent="0.25">
      <c r="B2949" s="27"/>
      <c r="D2949" s="28"/>
      <c r="E2949" s="29"/>
      <c r="F2949" s="30"/>
      <c r="G2949" s="31"/>
      <c r="H2949" s="31"/>
      <c r="J2949" t="s">
        <v>2853</v>
      </c>
      <c r="K2949" s="188" t="s">
        <v>2853</v>
      </c>
    </row>
    <row r="2950" spans="2:11" ht="30" x14ac:dyDescent="0.4">
      <c r="B2950" s="171" t="s">
        <v>7962</v>
      </c>
      <c r="C2950" s="25"/>
      <c r="D2950" s="25"/>
      <c r="E2950" s="25"/>
      <c r="F2950" s="25"/>
      <c r="G2950" s="25"/>
      <c r="H2950" s="25"/>
      <c r="J2950" t="s">
        <v>2853</v>
      </c>
      <c r="K2950" s="188" t="s">
        <v>2853</v>
      </c>
    </row>
    <row r="2951" spans="2:11" ht="15" x14ac:dyDescent="0.25">
      <c r="J2951" t="s">
        <v>2853</v>
      </c>
      <c r="K2951" s="188" t="s">
        <v>2853</v>
      </c>
    </row>
    <row r="2952" spans="2:11" x14ac:dyDescent="0.25">
      <c r="B2952" s="27" t="s">
        <v>7514</v>
      </c>
      <c r="D2952" s="28" t="s">
        <v>18</v>
      </c>
      <c r="E2952" s="29" t="s">
        <v>59</v>
      </c>
      <c r="F2952" s="30">
        <v>1</v>
      </c>
      <c r="G2952" s="172">
        <v>84.07</v>
      </c>
      <c r="H2952" s="31">
        <f t="shared" ref="H2952:H3015" si="169">+F2952*G2952</f>
        <v>84.07</v>
      </c>
      <c r="J2952" t="s">
        <v>2853</v>
      </c>
      <c r="K2952" s="188" t="s">
        <v>2853</v>
      </c>
    </row>
    <row r="2953" spans="2:11" x14ac:dyDescent="0.25">
      <c r="B2953" s="27" t="s">
        <v>7515</v>
      </c>
      <c r="D2953" s="28" t="s">
        <v>23</v>
      </c>
      <c r="E2953" s="29" t="s">
        <v>59</v>
      </c>
      <c r="F2953" s="30">
        <v>1</v>
      </c>
      <c r="G2953" s="172">
        <v>99.94</v>
      </c>
      <c r="H2953" s="31">
        <f t="shared" si="169"/>
        <v>99.94</v>
      </c>
      <c r="J2953" t="s">
        <v>2853</v>
      </c>
      <c r="K2953" s="188" t="s">
        <v>2853</v>
      </c>
    </row>
    <row r="2954" spans="2:11" x14ac:dyDescent="0.25">
      <c r="B2954" s="27" t="s">
        <v>7516</v>
      </c>
      <c r="D2954" s="28" t="s">
        <v>26</v>
      </c>
      <c r="E2954" s="29" t="s">
        <v>59</v>
      </c>
      <c r="F2954" s="30">
        <v>1</v>
      </c>
      <c r="G2954" s="172">
        <v>115.81</v>
      </c>
      <c r="H2954" s="31">
        <f t="shared" si="169"/>
        <v>115.81</v>
      </c>
      <c r="J2954" t="s">
        <v>2853</v>
      </c>
      <c r="K2954" s="188" t="s">
        <v>2853</v>
      </c>
    </row>
    <row r="2955" spans="2:11" x14ac:dyDescent="0.25">
      <c r="B2955" s="27" t="s">
        <v>7517</v>
      </c>
      <c r="D2955" s="28" t="s">
        <v>30</v>
      </c>
      <c r="E2955" s="29" t="s">
        <v>59</v>
      </c>
      <c r="F2955" s="30">
        <v>1</v>
      </c>
      <c r="G2955" s="172">
        <v>69.92</v>
      </c>
      <c r="H2955" s="31">
        <f t="shared" si="169"/>
        <v>69.92</v>
      </c>
      <c r="J2955" t="s">
        <v>2853</v>
      </c>
      <c r="K2955" s="188" t="s">
        <v>2853</v>
      </c>
    </row>
    <row r="2956" spans="2:11" x14ac:dyDescent="0.25">
      <c r="B2956" s="27" t="s">
        <v>7518</v>
      </c>
      <c r="D2956" s="28" t="s">
        <v>34</v>
      </c>
      <c r="E2956" s="29" t="s">
        <v>59</v>
      </c>
      <c r="F2956" s="30">
        <v>1</v>
      </c>
      <c r="G2956" s="172">
        <v>81.64</v>
      </c>
      <c r="H2956" s="31">
        <f t="shared" si="169"/>
        <v>81.64</v>
      </c>
      <c r="J2956" t="s">
        <v>2853</v>
      </c>
      <c r="K2956" s="188" t="s">
        <v>2853</v>
      </c>
    </row>
    <row r="2957" spans="2:11" x14ac:dyDescent="0.25">
      <c r="B2957" s="27" t="s">
        <v>7519</v>
      </c>
      <c r="D2957" s="28" t="s">
        <v>40</v>
      </c>
      <c r="E2957" s="29" t="s">
        <v>59</v>
      </c>
      <c r="F2957" s="30">
        <v>1</v>
      </c>
      <c r="G2957" s="172">
        <v>95.04</v>
      </c>
      <c r="H2957" s="31">
        <f t="shared" si="169"/>
        <v>95.04</v>
      </c>
      <c r="J2957" t="s">
        <v>2853</v>
      </c>
      <c r="K2957" s="188" t="s">
        <v>2853</v>
      </c>
    </row>
    <row r="2958" spans="2:11" x14ac:dyDescent="0.35">
      <c r="B2958" s="27" t="s">
        <v>7520</v>
      </c>
      <c r="D2958" s="28" t="s">
        <v>5137</v>
      </c>
      <c r="E2958" s="29" t="s">
        <v>59</v>
      </c>
      <c r="F2958" s="30">
        <v>18</v>
      </c>
      <c r="G2958" s="172">
        <v>16.54</v>
      </c>
      <c r="H2958" s="31">
        <f t="shared" si="169"/>
        <v>297.71999999999997</v>
      </c>
      <c r="J2958" s="256" t="s">
        <v>8310</v>
      </c>
      <c r="K2958" s="259">
        <v>45211</v>
      </c>
    </row>
    <row r="2959" spans="2:11" x14ac:dyDescent="0.35">
      <c r="B2959" s="27" t="s">
        <v>7521</v>
      </c>
      <c r="D2959" s="28" t="s">
        <v>73</v>
      </c>
      <c r="E2959" s="29" t="s">
        <v>59</v>
      </c>
      <c r="F2959" s="30">
        <v>18</v>
      </c>
      <c r="G2959" s="172">
        <v>18.28</v>
      </c>
      <c r="H2959" s="31">
        <f t="shared" si="169"/>
        <v>329.04</v>
      </c>
      <c r="J2959" s="256" t="s">
        <v>8271</v>
      </c>
      <c r="K2959" s="259" t="s">
        <v>8273</v>
      </c>
    </row>
    <row r="2960" spans="2:11" x14ac:dyDescent="0.25">
      <c r="B2960" s="27" t="s">
        <v>7522</v>
      </c>
      <c r="D2960" s="28" t="s">
        <v>74</v>
      </c>
      <c r="E2960" s="29" t="s">
        <v>59</v>
      </c>
      <c r="F2960" s="30">
        <v>200</v>
      </c>
      <c r="G2960" s="172">
        <v>1.74</v>
      </c>
      <c r="H2960" s="31">
        <f t="shared" si="169"/>
        <v>348</v>
      </c>
      <c r="J2960" t="s">
        <v>2853</v>
      </c>
      <c r="K2960" s="188" t="s">
        <v>2853</v>
      </c>
    </row>
    <row r="2961" spans="2:11" x14ac:dyDescent="0.25">
      <c r="B2961" s="27" t="s">
        <v>7523</v>
      </c>
      <c r="D2961" s="28" t="s">
        <v>566</v>
      </c>
      <c r="E2961" s="29" t="s">
        <v>59</v>
      </c>
      <c r="F2961" s="30">
        <v>30</v>
      </c>
      <c r="G2961" s="172">
        <v>2.74</v>
      </c>
      <c r="H2961" s="31">
        <f t="shared" si="169"/>
        <v>82.2</v>
      </c>
      <c r="J2961" t="s">
        <v>2853</v>
      </c>
      <c r="K2961" s="188" t="s">
        <v>2853</v>
      </c>
    </row>
    <row r="2962" spans="2:11" x14ac:dyDescent="0.25">
      <c r="B2962" s="27" t="s">
        <v>7524</v>
      </c>
      <c r="D2962" s="28" t="s">
        <v>568</v>
      </c>
      <c r="E2962" s="29" t="s">
        <v>59</v>
      </c>
      <c r="F2962" s="30">
        <v>30</v>
      </c>
      <c r="G2962" s="172">
        <v>3.13</v>
      </c>
      <c r="H2962" s="31">
        <f t="shared" si="169"/>
        <v>93.899999999999991</v>
      </c>
      <c r="J2962" t="s">
        <v>2853</v>
      </c>
      <c r="K2962" s="188" t="s">
        <v>2853</v>
      </c>
    </row>
    <row r="2963" spans="2:11" x14ac:dyDescent="0.35">
      <c r="B2963" s="27" t="s">
        <v>7525</v>
      </c>
      <c r="D2963" s="28" t="s">
        <v>86</v>
      </c>
      <c r="E2963" s="29" t="s">
        <v>59</v>
      </c>
      <c r="F2963" s="30">
        <v>12</v>
      </c>
      <c r="G2963" s="172">
        <v>22.96</v>
      </c>
      <c r="H2963" s="31">
        <f t="shared" si="169"/>
        <v>275.52</v>
      </c>
      <c r="J2963" s="256" t="s">
        <v>8295</v>
      </c>
      <c r="K2963" s="259">
        <v>45181</v>
      </c>
    </row>
    <row r="2964" spans="2:11" x14ac:dyDescent="0.25">
      <c r="B2964" s="27" t="s">
        <v>7526</v>
      </c>
      <c r="D2964" s="28" t="s">
        <v>87</v>
      </c>
      <c r="E2964" s="29" t="s">
        <v>59</v>
      </c>
      <c r="F2964" s="30">
        <v>200</v>
      </c>
      <c r="G2964" s="172">
        <v>1.9</v>
      </c>
      <c r="H2964" s="31">
        <f t="shared" si="169"/>
        <v>380</v>
      </c>
      <c r="J2964" t="s">
        <v>2853</v>
      </c>
      <c r="K2964" s="188" t="s">
        <v>2853</v>
      </c>
    </row>
    <row r="2965" spans="2:11" x14ac:dyDescent="0.25">
      <c r="B2965" s="27" t="s">
        <v>7527</v>
      </c>
      <c r="D2965" s="28" t="s">
        <v>91</v>
      </c>
      <c r="E2965" s="29" t="s">
        <v>59</v>
      </c>
      <c r="F2965" s="30">
        <v>12</v>
      </c>
      <c r="G2965" s="172">
        <v>26.68</v>
      </c>
      <c r="H2965" s="31">
        <f t="shared" si="169"/>
        <v>320.15999999999997</v>
      </c>
      <c r="J2965" t="s">
        <v>2853</v>
      </c>
      <c r="K2965" s="188" t="s">
        <v>2853</v>
      </c>
    </row>
    <row r="2966" spans="2:11" x14ac:dyDescent="0.25">
      <c r="B2966" s="27" t="s">
        <v>7528</v>
      </c>
      <c r="D2966" s="28" t="s">
        <v>93</v>
      </c>
      <c r="E2966" s="29" t="s">
        <v>59</v>
      </c>
      <c r="F2966" s="30">
        <v>12</v>
      </c>
      <c r="G2966" s="172">
        <v>24.9</v>
      </c>
      <c r="H2966" s="31">
        <f t="shared" si="169"/>
        <v>298.79999999999995</v>
      </c>
      <c r="J2966" t="s">
        <v>2853</v>
      </c>
      <c r="K2966" s="188" t="s">
        <v>2853</v>
      </c>
    </row>
    <row r="2967" spans="2:11" x14ac:dyDescent="0.25">
      <c r="B2967" s="27" t="s">
        <v>7529</v>
      </c>
      <c r="D2967" s="28" t="s">
        <v>95</v>
      </c>
      <c r="E2967" s="29" t="s">
        <v>59</v>
      </c>
      <c r="F2967" s="30">
        <v>18</v>
      </c>
      <c r="G2967" s="172">
        <v>21.33</v>
      </c>
      <c r="H2967" s="31">
        <f t="shared" si="169"/>
        <v>383.93999999999994</v>
      </c>
      <c r="J2967" t="s">
        <v>2853</v>
      </c>
      <c r="K2967" s="188" t="s">
        <v>2853</v>
      </c>
    </row>
    <row r="2968" spans="2:11" x14ac:dyDescent="0.25">
      <c r="B2968" s="27" t="s">
        <v>7530</v>
      </c>
      <c r="D2968" s="28" t="s">
        <v>97</v>
      </c>
      <c r="E2968" s="29" t="s">
        <v>59</v>
      </c>
      <c r="F2968" s="30">
        <v>12</v>
      </c>
      <c r="G2968" s="172">
        <v>30.52</v>
      </c>
      <c r="H2968" s="31">
        <f t="shared" si="169"/>
        <v>366.24</v>
      </c>
      <c r="J2968" t="s">
        <v>2853</v>
      </c>
      <c r="K2968" s="188" t="s">
        <v>2853</v>
      </c>
    </row>
    <row r="2969" spans="2:11" x14ac:dyDescent="0.25">
      <c r="B2969" s="27" t="s">
        <v>7531</v>
      </c>
      <c r="D2969" s="28" t="s">
        <v>99</v>
      </c>
      <c r="E2969" s="29" t="s">
        <v>59</v>
      </c>
      <c r="F2969" s="30">
        <v>12</v>
      </c>
      <c r="G2969" s="172">
        <v>30.61</v>
      </c>
      <c r="H2969" s="31">
        <f t="shared" si="169"/>
        <v>367.32</v>
      </c>
      <c r="J2969" t="s">
        <v>2853</v>
      </c>
      <c r="K2969" s="188" t="s">
        <v>2853</v>
      </c>
    </row>
    <row r="2970" spans="2:11" x14ac:dyDescent="0.25">
      <c r="B2970" s="27" t="s">
        <v>7532</v>
      </c>
      <c r="D2970" s="28" t="s">
        <v>101</v>
      </c>
      <c r="E2970" s="29" t="s">
        <v>59</v>
      </c>
      <c r="F2970" s="30">
        <v>12</v>
      </c>
      <c r="G2970" s="172">
        <v>28.44</v>
      </c>
      <c r="H2970" s="31">
        <f t="shared" si="169"/>
        <v>341.28000000000003</v>
      </c>
      <c r="J2970" t="s">
        <v>2853</v>
      </c>
      <c r="K2970" s="188" t="s">
        <v>2853</v>
      </c>
    </row>
    <row r="2971" spans="2:11" x14ac:dyDescent="0.25">
      <c r="B2971" s="27" t="s">
        <v>7533</v>
      </c>
      <c r="D2971" s="28" t="s">
        <v>103</v>
      </c>
      <c r="E2971" s="29" t="s">
        <v>59</v>
      </c>
      <c r="F2971" s="30">
        <v>18</v>
      </c>
      <c r="G2971" s="172">
        <v>21.99</v>
      </c>
      <c r="H2971" s="31">
        <f t="shared" si="169"/>
        <v>395.82</v>
      </c>
      <c r="J2971" t="s">
        <v>2853</v>
      </c>
      <c r="K2971" s="188" t="s">
        <v>2853</v>
      </c>
    </row>
    <row r="2972" spans="2:11" x14ac:dyDescent="0.25">
      <c r="B2972" s="27" t="s">
        <v>7534</v>
      </c>
      <c r="D2972" s="28" t="s">
        <v>105</v>
      </c>
      <c r="E2972" s="29" t="s">
        <v>59</v>
      </c>
      <c r="F2972" s="30">
        <v>12</v>
      </c>
      <c r="G2972" s="172">
        <v>34.06</v>
      </c>
      <c r="H2972" s="31">
        <f t="shared" si="169"/>
        <v>408.72</v>
      </c>
      <c r="J2972" t="s">
        <v>2853</v>
      </c>
      <c r="K2972" s="188" t="s">
        <v>2853</v>
      </c>
    </row>
    <row r="2973" spans="2:11" x14ac:dyDescent="0.25">
      <c r="B2973" s="27" t="s">
        <v>7535</v>
      </c>
      <c r="D2973" s="28" t="s">
        <v>107</v>
      </c>
      <c r="E2973" s="29" t="s">
        <v>59</v>
      </c>
      <c r="F2973" s="30">
        <v>12</v>
      </c>
      <c r="G2973" s="172">
        <v>37.71</v>
      </c>
      <c r="H2973" s="31">
        <f t="shared" si="169"/>
        <v>452.52</v>
      </c>
      <c r="J2973" t="s">
        <v>2853</v>
      </c>
      <c r="K2973" s="188" t="s">
        <v>2853</v>
      </c>
    </row>
    <row r="2974" spans="2:11" x14ac:dyDescent="0.25">
      <c r="B2974" s="27" t="s">
        <v>7536</v>
      </c>
      <c r="D2974" s="28" t="s">
        <v>109</v>
      </c>
      <c r="E2974" s="29" t="s">
        <v>59</v>
      </c>
      <c r="F2974" s="30">
        <v>12</v>
      </c>
      <c r="G2974" s="172">
        <v>34.869999999999997</v>
      </c>
      <c r="H2974" s="31">
        <f t="shared" si="169"/>
        <v>418.43999999999994</v>
      </c>
      <c r="J2974" t="s">
        <v>2853</v>
      </c>
      <c r="K2974" s="188" t="s">
        <v>2853</v>
      </c>
    </row>
    <row r="2975" spans="2:11" x14ac:dyDescent="0.25">
      <c r="B2975" s="27" t="s">
        <v>7537</v>
      </c>
      <c r="D2975" s="28" t="s">
        <v>112</v>
      </c>
      <c r="E2975" s="29" t="s">
        <v>59</v>
      </c>
      <c r="F2975" s="30">
        <v>12</v>
      </c>
      <c r="G2975" s="172">
        <v>41.16</v>
      </c>
      <c r="H2975" s="31">
        <f t="shared" si="169"/>
        <v>493.91999999999996</v>
      </c>
      <c r="J2975" t="s">
        <v>2853</v>
      </c>
      <c r="K2975" s="188" t="s">
        <v>2853</v>
      </c>
    </row>
    <row r="2976" spans="2:11" x14ac:dyDescent="0.25">
      <c r="B2976" s="27" t="s">
        <v>7538</v>
      </c>
      <c r="D2976" s="28" t="s">
        <v>118</v>
      </c>
      <c r="E2976" s="29" t="s">
        <v>59</v>
      </c>
      <c r="F2976" s="30">
        <v>25</v>
      </c>
      <c r="G2976" s="172">
        <v>5.09</v>
      </c>
      <c r="H2976" s="31">
        <f t="shared" si="169"/>
        <v>127.25</v>
      </c>
      <c r="J2976" t="s">
        <v>2853</v>
      </c>
      <c r="K2976" s="188" t="s">
        <v>2853</v>
      </c>
    </row>
    <row r="2977" spans="2:11" x14ac:dyDescent="0.25">
      <c r="B2977" s="27" t="s">
        <v>7539</v>
      </c>
      <c r="D2977" s="28" t="s">
        <v>121</v>
      </c>
      <c r="E2977" s="29" t="s">
        <v>59</v>
      </c>
      <c r="F2977" s="30">
        <v>25</v>
      </c>
      <c r="G2977" s="172">
        <v>6.59</v>
      </c>
      <c r="H2977" s="31">
        <f t="shared" si="169"/>
        <v>164.75</v>
      </c>
      <c r="J2977" t="s">
        <v>2853</v>
      </c>
      <c r="K2977" s="188" t="s">
        <v>2853</v>
      </c>
    </row>
    <row r="2978" spans="2:11" x14ac:dyDescent="0.25">
      <c r="B2978" s="27" t="s">
        <v>7540</v>
      </c>
      <c r="D2978" s="28" t="s">
        <v>123</v>
      </c>
      <c r="E2978" s="29" t="s">
        <v>59</v>
      </c>
      <c r="F2978" s="30">
        <v>25</v>
      </c>
      <c r="G2978" s="172">
        <v>7.39</v>
      </c>
      <c r="H2978" s="31">
        <f t="shared" si="169"/>
        <v>184.75</v>
      </c>
      <c r="J2978" t="s">
        <v>2853</v>
      </c>
      <c r="K2978" s="188" t="s">
        <v>2853</v>
      </c>
    </row>
    <row r="2979" spans="2:11" x14ac:dyDescent="0.25">
      <c r="B2979" s="27" t="s">
        <v>7541</v>
      </c>
      <c r="D2979" s="28" t="s">
        <v>125</v>
      </c>
      <c r="E2979" s="29" t="s">
        <v>59</v>
      </c>
      <c r="F2979" s="30">
        <v>25</v>
      </c>
      <c r="G2979" s="172">
        <v>8.8699999999999992</v>
      </c>
      <c r="H2979" s="31">
        <f t="shared" si="169"/>
        <v>221.74999999999997</v>
      </c>
      <c r="J2979" t="s">
        <v>2853</v>
      </c>
      <c r="K2979" s="188" t="s">
        <v>2853</v>
      </c>
    </row>
    <row r="2980" spans="2:11" x14ac:dyDescent="0.25">
      <c r="B2980" s="27" t="s">
        <v>7542</v>
      </c>
      <c r="D2980" s="28" t="s">
        <v>128</v>
      </c>
      <c r="E2980" s="29" t="s">
        <v>59</v>
      </c>
      <c r="F2980" s="30">
        <v>25</v>
      </c>
      <c r="G2980" s="172">
        <v>9.8000000000000007</v>
      </c>
      <c r="H2980" s="31">
        <f t="shared" si="169"/>
        <v>245.00000000000003</v>
      </c>
      <c r="J2980" t="s">
        <v>2853</v>
      </c>
      <c r="K2980" s="188" t="s">
        <v>2853</v>
      </c>
    </row>
    <row r="2981" spans="2:11" x14ac:dyDescent="0.35">
      <c r="B2981" s="27" t="s">
        <v>7543</v>
      </c>
      <c r="D2981" s="28" t="s">
        <v>131</v>
      </c>
      <c r="E2981" s="29" t="s">
        <v>59</v>
      </c>
      <c r="F2981" s="30">
        <v>20</v>
      </c>
      <c r="G2981" s="172">
        <v>11.68</v>
      </c>
      <c r="H2981" s="31">
        <f t="shared" si="169"/>
        <v>233.6</v>
      </c>
      <c r="J2981" s="256" t="s">
        <v>8342</v>
      </c>
      <c r="K2981" s="259" t="s">
        <v>8339</v>
      </c>
    </row>
    <row r="2982" spans="2:11" x14ac:dyDescent="0.25">
      <c r="B2982" s="27" t="s">
        <v>7544</v>
      </c>
      <c r="D2982" s="28" t="s">
        <v>133</v>
      </c>
      <c r="E2982" s="29" t="s">
        <v>59</v>
      </c>
      <c r="F2982" s="30">
        <v>50</v>
      </c>
      <c r="G2982" s="172">
        <v>1.05</v>
      </c>
      <c r="H2982" s="31">
        <f t="shared" si="169"/>
        <v>52.5</v>
      </c>
      <c r="J2982" t="s">
        <v>2853</v>
      </c>
      <c r="K2982" s="188" t="s">
        <v>2853</v>
      </c>
    </row>
    <row r="2983" spans="2:11" x14ac:dyDescent="0.25">
      <c r="B2983" s="27" t="s">
        <v>7545</v>
      </c>
      <c r="D2983" s="28" t="s">
        <v>134</v>
      </c>
      <c r="E2983" s="29" t="s">
        <v>59</v>
      </c>
      <c r="F2983" s="30">
        <v>50</v>
      </c>
      <c r="G2983" s="172">
        <v>1.24</v>
      </c>
      <c r="H2983" s="31">
        <f t="shared" si="169"/>
        <v>62</v>
      </c>
      <c r="J2983" t="s">
        <v>2853</v>
      </c>
      <c r="K2983" s="188" t="s">
        <v>2853</v>
      </c>
    </row>
    <row r="2984" spans="2:11" x14ac:dyDescent="0.25">
      <c r="B2984" s="27" t="s">
        <v>7546</v>
      </c>
      <c r="D2984" s="28" t="s">
        <v>138</v>
      </c>
      <c r="E2984" s="29" t="s">
        <v>59</v>
      </c>
      <c r="F2984" s="30">
        <v>50</v>
      </c>
      <c r="G2984" s="172">
        <v>1.83</v>
      </c>
      <c r="H2984" s="31">
        <f t="shared" si="169"/>
        <v>91.5</v>
      </c>
      <c r="J2984" t="s">
        <v>2853</v>
      </c>
      <c r="K2984" s="188" t="s">
        <v>2853</v>
      </c>
    </row>
    <row r="2985" spans="2:11" x14ac:dyDescent="0.25">
      <c r="B2985" s="27" t="s">
        <v>7547</v>
      </c>
      <c r="D2985" s="28" t="s">
        <v>2778</v>
      </c>
      <c r="E2985" s="29" t="s">
        <v>59</v>
      </c>
      <c r="F2985" s="30">
        <v>20</v>
      </c>
      <c r="G2985" s="172">
        <v>2.06</v>
      </c>
      <c r="H2985" s="31">
        <f t="shared" si="169"/>
        <v>41.2</v>
      </c>
      <c r="J2985" t="s">
        <v>2853</v>
      </c>
      <c r="K2985" s="188" t="s">
        <v>2853</v>
      </c>
    </row>
    <row r="2986" spans="2:11" x14ac:dyDescent="0.25">
      <c r="B2986" s="27" t="s">
        <v>7548</v>
      </c>
      <c r="D2986" s="28" t="s">
        <v>2779</v>
      </c>
      <c r="E2986" s="29" t="s">
        <v>59</v>
      </c>
      <c r="F2986" s="30">
        <v>20</v>
      </c>
      <c r="G2986" s="172">
        <v>1.9</v>
      </c>
      <c r="H2986" s="31">
        <f t="shared" si="169"/>
        <v>38</v>
      </c>
      <c r="J2986" t="s">
        <v>2853</v>
      </c>
      <c r="K2986" s="188" t="s">
        <v>2853</v>
      </c>
    </row>
    <row r="2987" spans="2:11" x14ac:dyDescent="0.25">
      <c r="B2987" s="27" t="s">
        <v>7549</v>
      </c>
      <c r="D2987" s="28" t="s">
        <v>700</v>
      </c>
      <c r="E2987" s="29" t="s">
        <v>59</v>
      </c>
      <c r="F2987" s="30">
        <v>25</v>
      </c>
      <c r="G2987" s="172">
        <v>1.57</v>
      </c>
      <c r="H2987" s="31">
        <f t="shared" si="169"/>
        <v>39.25</v>
      </c>
      <c r="J2987" t="s">
        <v>2853</v>
      </c>
      <c r="K2987" s="188" t="s">
        <v>2853</v>
      </c>
    </row>
    <row r="2988" spans="2:11" x14ac:dyDescent="0.25">
      <c r="B2988" s="27" t="s">
        <v>7550</v>
      </c>
      <c r="D2988" s="28" t="s">
        <v>702</v>
      </c>
      <c r="E2988" s="29" t="s">
        <v>59</v>
      </c>
      <c r="F2988" s="30">
        <v>25</v>
      </c>
      <c r="G2988" s="172">
        <v>2.4</v>
      </c>
      <c r="H2988" s="31">
        <f t="shared" si="169"/>
        <v>60</v>
      </c>
      <c r="J2988" t="s">
        <v>2853</v>
      </c>
      <c r="K2988" s="188" t="s">
        <v>2853</v>
      </c>
    </row>
    <row r="2989" spans="2:11" x14ac:dyDescent="0.25">
      <c r="B2989" s="27" t="s">
        <v>7551</v>
      </c>
      <c r="D2989" s="28" t="s">
        <v>2780</v>
      </c>
      <c r="E2989" s="29" t="s">
        <v>59</v>
      </c>
      <c r="F2989" s="30">
        <v>20</v>
      </c>
      <c r="G2989" s="172">
        <v>2.6</v>
      </c>
      <c r="H2989" s="31">
        <f t="shared" si="169"/>
        <v>52</v>
      </c>
      <c r="J2989" t="s">
        <v>2853</v>
      </c>
      <c r="K2989" s="188" t="s">
        <v>2853</v>
      </c>
    </row>
    <row r="2990" spans="2:11" x14ac:dyDescent="0.25">
      <c r="B2990" s="27" t="s">
        <v>7552</v>
      </c>
      <c r="D2990" s="28" t="s">
        <v>2781</v>
      </c>
      <c r="E2990" s="29" t="s">
        <v>59</v>
      </c>
      <c r="F2990" s="30">
        <v>20</v>
      </c>
      <c r="G2990" s="172">
        <v>4.21</v>
      </c>
      <c r="H2990" s="31">
        <f t="shared" si="169"/>
        <v>84.2</v>
      </c>
      <c r="J2990" t="s">
        <v>2853</v>
      </c>
      <c r="K2990" s="188" t="s">
        <v>2853</v>
      </c>
    </row>
    <row r="2991" spans="2:11" x14ac:dyDescent="0.25">
      <c r="B2991" s="27" t="s">
        <v>7553</v>
      </c>
      <c r="D2991" s="28" t="s">
        <v>2782</v>
      </c>
      <c r="E2991" s="29" t="s">
        <v>59</v>
      </c>
      <c r="F2991" s="30">
        <v>20</v>
      </c>
      <c r="G2991" s="172">
        <v>3.81</v>
      </c>
      <c r="H2991" s="31">
        <f t="shared" si="169"/>
        <v>76.2</v>
      </c>
      <c r="J2991" t="s">
        <v>2853</v>
      </c>
      <c r="K2991" s="188" t="s">
        <v>2853</v>
      </c>
    </row>
    <row r="2992" spans="2:11" x14ac:dyDescent="0.25">
      <c r="B2992" s="27" t="s">
        <v>7554</v>
      </c>
      <c r="D2992" s="28" t="s">
        <v>2783</v>
      </c>
      <c r="E2992" s="29" t="s">
        <v>59</v>
      </c>
      <c r="F2992" s="30">
        <v>20</v>
      </c>
      <c r="G2992" s="172">
        <v>3.51</v>
      </c>
      <c r="H2992" s="31">
        <f t="shared" si="169"/>
        <v>70.199999999999989</v>
      </c>
      <c r="J2992" t="s">
        <v>2853</v>
      </c>
      <c r="K2992" s="188" t="s">
        <v>2853</v>
      </c>
    </row>
    <row r="2993" spans="2:11" x14ac:dyDescent="0.25">
      <c r="B2993" s="27" t="s">
        <v>7555</v>
      </c>
      <c r="D2993" s="28" t="s">
        <v>602</v>
      </c>
      <c r="E2993" s="29" t="s">
        <v>59</v>
      </c>
      <c r="F2993" s="30">
        <v>25</v>
      </c>
      <c r="G2993" s="172">
        <v>2.62</v>
      </c>
      <c r="H2993" s="31">
        <f t="shared" si="169"/>
        <v>65.5</v>
      </c>
      <c r="J2993" t="s">
        <v>2853</v>
      </c>
      <c r="K2993" s="188" t="s">
        <v>2853</v>
      </c>
    </row>
    <row r="2994" spans="2:11" x14ac:dyDescent="0.25">
      <c r="B2994" s="27" t="s">
        <v>7556</v>
      </c>
      <c r="D2994" s="28" t="s">
        <v>604</v>
      </c>
      <c r="E2994" s="29" t="s">
        <v>59</v>
      </c>
      <c r="F2994" s="30">
        <v>25</v>
      </c>
      <c r="G2994" s="172">
        <v>2.86</v>
      </c>
      <c r="H2994" s="31">
        <f t="shared" si="169"/>
        <v>71.5</v>
      </c>
      <c r="J2994" t="s">
        <v>2853</v>
      </c>
      <c r="K2994" s="188" t="s">
        <v>2853</v>
      </c>
    </row>
    <row r="2995" spans="2:11" x14ac:dyDescent="0.25">
      <c r="B2995" s="27" t="s">
        <v>7557</v>
      </c>
      <c r="D2995" s="28" t="s">
        <v>606</v>
      </c>
      <c r="E2995" s="29" t="s">
        <v>59</v>
      </c>
      <c r="F2995" s="30">
        <v>20</v>
      </c>
      <c r="G2995" s="172">
        <v>4.0199999999999996</v>
      </c>
      <c r="H2995" s="31">
        <f t="shared" si="169"/>
        <v>80.399999999999991</v>
      </c>
      <c r="J2995" t="s">
        <v>2853</v>
      </c>
      <c r="K2995" s="188" t="s">
        <v>2853</v>
      </c>
    </row>
    <row r="2996" spans="2:11" x14ac:dyDescent="0.25">
      <c r="B2996" s="27" t="s">
        <v>7558</v>
      </c>
      <c r="D2996" s="28" t="s">
        <v>7559</v>
      </c>
      <c r="E2996" s="29" t="s">
        <v>59</v>
      </c>
      <c r="F2996" s="30">
        <v>20</v>
      </c>
      <c r="G2996" s="172">
        <v>4.5199999999999996</v>
      </c>
      <c r="H2996" s="31">
        <f t="shared" si="169"/>
        <v>90.399999999999991</v>
      </c>
      <c r="J2996" t="s">
        <v>2853</v>
      </c>
      <c r="K2996" s="188" t="s">
        <v>2853</v>
      </c>
    </row>
    <row r="2997" spans="2:11" x14ac:dyDescent="0.25">
      <c r="B2997" s="27" t="s">
        <v>7560</v>
      </c>
      <c r="D2997" s="28" t="s">
        <v>2785</v>
      </c>
      <c r="E2997" s="29" t="s">
        <v>59</v>
      </c>
      <c r="F2997" s="30">
        <v>20</v>
      </c>
      <c r="G2997" s="172">
        <v>5.04</v>
      </c>
      <c r="H2997" s="31">
        <f t="shared" si="169"/>
        <v>100.8</v>
      </c>
      <c r="J2997" t="s">
        <v>2853</v>
      </c>
      <c r="K2997" s="188" t="s">
        <v>2853</v>
      </c>
    </row>
    <row r="2998" spans="2:11" x14ac:dyDescent="0.25">
      <c r="B2998" s="27" t="s">
        <v>7561</v>
      </c>
      <c r="D2998" s="28" t="s">
        <v>2786</v>
      </c>
      <c r="E2998" s="29" t="s">
        <v>59</v>
      </c>
      <c r="F2998" s="30">
        <v>25</v>
      </c>
      <c r="G2998" s="172">
        <v>2.69</v>
      </c>
      <c r="H2998" s="31">
        <f t="shared" si="169"/>
        <v>67.25</v>
      </c>
      <c r="J2998" t="s">
        <v>2853</v>
      </c>
      <c r="K2998" s="188" t="s">
        <v>2853</v>
      </c>
    </row>
    <row r="2999" spans="2:11" x14ac:dyDescent="0.25">
      <c r="B2999" s="27" t="s">
        <v>7562</v>
      </c>
      <c r="D2999" s="28" t="s">
        <v>2787</v>
      </c>
      <c r="E2999" s="29" t="s">
        <v>59</v>
      </c>
      <c r="F2999" s="30">
        <v>16</v>
      </c>
      <c r="G2999" s="172">
        <v>4.74</v>
      </c>
      <c r="H2999" s="31">
        <f t="shared" si="169"/>
        <v>75.84</v>
      </c>
      <c r="J2999" t="s">
        <v>2853</v>
      </c>
      <c r="K2999" s="188" t="s">
        <v>2853</v>
      </c>
    </row>
    <row r="3000" spans="2:11" x14ac:dyDescent="0.25">
      <c r="B3000" s="27" t="s">
        <v>7563</v>
      </c>
      <c r="D3000" s="28" t="s">
        <v>2788</v>
      </c>
      <c r="E3000" s="29" t="s">
        <v>59</v>
      </c>
      <c r="F3000" s="30">
        <v>6</v>
      </c>
      <c r="G3000" s="172">
        <v>7.81</v>
      </c>
      <c r="H3000" s="31">
        <f t="shared" si="169"/>
        <v>46.86</v>
      </c>
      <c r="J3000" t="s">
        <v>2853</v>
      </c>
      <c r="K3000" s="188" t="s">
        <v>2853</v>
      </c>
    </row>
    <row r="3001" spans="2:11" x14ac:dyDescent="0.25">
      <c r="B3001" s="27" t="s">
        <v>7564</v>
      </c>
      <c r="D3001" s="28" t="s">
        <v>2789</v>
      </c>
      <c r="E3001" s="29" t="s">
        <v>59</v>
      </c>
      <c r="F3001" s="30">
        <v>6</v>
      </c>
      <c r="G3001" s="172">
        <v>10.24</v>
      </c>
      <c r="H3001" s="31">
        <f t="shared" si="169"/>
        <v>61.44</v>
      </c>
      <c r="J3001" t="s">
        <v>2853</v>
      </c>
      <c r="K3001" s="188" t="s">
        <v>2853</v>
      </c>
    </row>
    <row r="3002" spans="2:11" x14ac:dyDescent="0.25">
      <c r="B3002" s="27" t="s">
        <v>7565</v>
      </c>
      <c r="D3002" s="28" t="s">
        <v>2790</v>
      </c>
      <c r="E3002" s="29" t="s">
        <v>59</v>
      </c>
      <c r="F3002" s="30">
        <v>6</v>
      </c>
      <c r="G3002" s="172">
        <v>11.79</v>
      </c>
      <c r="H3002" s="31">
        <f t="shared" si="169"/>
        <v>70.739999999999995</v>
      </c>
      <c r="J3002" t="s">
        <v>2853</v>
      </c>
      <c r="K3002" s="188" t="s">
        <v>2853</v>
      </c>
    </row>
    <row r="3003" spans="2:11" x14ac:dyDescent="0.25">
      <c r="B3003" s="27" t="s">
        <v>7566</v>
      </c>
      <c r="D3003" s="28" t="s">
        <v>2791</v>
      </c>
      <c r="E3003" s="29" t="s">
        <v>59</v>
      </c>
      <c r="F3003" s="30">
        <v>6</v>
      </c>
      <c r="G3003" s="172">
        <v>14.23</v>
      </c>
      <c r="H3003" s="31">
        <f t="shared" si="169"/>
        <v>85.38</v>
      </c>
      <c r="J3003" t="s">
        <v>2853</v>
      </c>
      <c r="K3003" s="188" t="s">
        <v>2853</v>
      </c>
    </row>
    <row r="3004" spans="2:11" x14ac:dyDescent="0.25">
      <c r="B3004" s="27" t="s">
        <v>7567</v>
      </c>
      <c r="D3004" s="28" t="s">
        <v>198</v>
      </c>
      <c r="E3004" s="29" t="s">
        <v>59</v>
      </c>
      <c r="F3004" s="30">
        <v>50</v>
      </c>
      <c r="G3004" s="172">
        <v>5.53</v>
      </c>
      <c r="H3004" s="31">
        <f t="shared" si="169"/>
        <v>276.5</v>
      </c>
      <c r="J3004" t="s">
        <v>2853</v>
      </c>
      <c r="K3004" s="188" t="s">
        <v>2853</v>
      </c>
    </row>
    <row r="3005" spans="2:11" x14ac:dyDescent="0.25">
      <c r="B3005" s="27" t="s">
        <v>7568</v>
      </c>
      <c r="D3005" s="28" t="s">
        <v>199</v>
      </c>
      <c r="E3005" s="29" t="s">
        <v>59</v>
      </c>
      <c r="F3005" s="30">
        <v>6</v>
      </c>
      <c r="G3005" s="172">
        <v>15.42</v>
      </c>
      <c r="H3005" s="31">
        <f t="shared" si="169"/>
        <v>92.52</v>
      </c>
      <c r="J3005" t="s">
        <v>2853</v>
      </c>
      <c r="K3005" s="188" t="s">
        <v>2853</v>
      </c>
    </row>
    <row r="3006" spans="2:11" x14ac:dyDescent="0.25">
      <c r="B3006" s="27" t="s">
        <v>7569</v>
      </c>
      <c r="D3006" s="28" t="s">
        <v>200</v>
      </c>
      <c r="E3006" s="29" t="s">
        <v>59</v>
      </c>
      <c r="F3006" s="30">
        <v>6</v>
      </c>
      <c r="G3006" s="172">
        <v>13.97</v>
      </c>
      <c r="H3006" s="31">
        <f t="shared" si="169"/>
        <v>83.820000000000007</v>
      </c>
      <c r="J3006" t="s">
        <v>2853</v>
      </c>
      <c r="K3006" s="188" t="s">
        <v>2853</v>
      </c>
    </row>
    <row r="3007" spans="2:11" x14ac:dyDescent="0.25">
      <c r="B3007" s="27" t="s">
        <v>7570</v>
      </c>
      <c r="D3007" s="28" t="s">
        <v>201</v>
      </c>
      <c r="E3007" s="29" t="s">
        <v>59</v>
      </c>
      <c r="F3007" s="30">
        <v>6</v>
      </c>
      <c r="G3007" s="172">
        <v>10.51</v>
      </c>
      <c r="H3007" s="31">
        <f t="shared" si="169"/>
        <v>63.06</v>
      </c>
      <c r="J3007" t="s">
        <v>2853</v>
      </c>
      <c r="K3007" s="188" t="s">
        <v>2853</v>
      </c>
    </row>
    <row r="3008" spans="2:11" x14ac:dyDescent="0.25">
      <c r="B3008" s="27" t="s">
        <v>7571</v>
      </c>
      <c r="D3008" s="28" t="s">
        <v>204</v>
      </c>
      <c r="E3008" s="29" t="s">
        <v>59</v>
      </c>
      <c r="F3008" s="30">
        <v>6</v>
      </c>
      <c r="G3008" s="172">
        <v>17.329999999999998</v>
      </c>
      <c r="H3008" s="31">
        <f t="shared" si="169"/>
        <v>103.97999999999999</v>
      </c>
      <c r="J3008" t="s">
        <v>2853</v>
      </c>
      <c r="K3008" s="188" t="s">
        <v>2853</v>
      </c>
    </row>
    <row r="3009" spans="2:11" x14ac:dyDescent="0.25">
      <c r="B3009" s="27" t="s">
        <v>7572</v>
      </c>
      <c r="D3009" s="28" t="s">
        <v>208</v>
      </c>
      <c r="E3009" s="29" t="s">
        <v>59</v>
      </c>
      <c r="F3009" s="30">
        <v>6</v>
      </c>
      <c r="G3009" s="172">
        <v>15.13</v>
      </c>
      <c r="H3009" s="31">
        <f t="shared" si="169"/>
        <v>90.78</v>
      </c>
      <c r="J3009" t="s">
        <v>2853</v>
      </c>
      <c r="K3009" s="188" t="s">
        <v>2853</v>
      </c>
    </row>
    <row r="3010" spans="2:11" x14ac:dyDescent="0.25">
      <c r="B3010" s="27" t="s">
        <v>7573</v>
      </c>
      <c r="D3010" s="28" t="s">
        <v>211</v>
      </c>
      <c r="E3010" s="29" t="s">
        <v>59</v>
      </c>
      <c r="F3010" s="30">
        <v>6</v>
      </c>
      <c r="G3010" s="172">
        <v>13.91</v>
      </c>
      <c r="H3010" s="31">
        <f t="shared" si="169"/>
        <v>83.460000000000008</v>
      </c>
      <c r="J3010" t="s">
        <v>2853</v>
      </c>
      <c r="K3010" s="188" t="s">
        <v>2853</v>
      </c>
    </row>
    <row r="3011" spans="2:11" x14ac:dyDescent="0.25">
      <c r="B3011" s="27" t="s">
        <v>7574</v>
      </c>
      <c r="D3011" s="28" t="s">
        <v>214</v>
      </c>
      <c r="E3011" s="29" t="s">
        <v>59</v>
      </c>
      <c r="F3011" s="30">
        <v>6</v>
      </c>
      <c r="G3011" s="172">
        <v>15.13</v>
      </c>
      <c r="H3011" s="31">
        <f t="shared" si="169"/>
        <v>90.78</v>
      </c>
      <c r="J3011" t="s">
        <v>2853</v>
      </c>
      <c r="K3011" s="188" t="s">
        <v>2853</v>
      </c>
    </row>
    <row r="3012" spans="2:11" x14ac:dyDescent="0.25">
      <c r="B3012" s="27" t="s">
        <v>7575</v>
      </c>
      <c r="D3012" s="28" t="s">
        <v>218</v>
      </c>
      <c r="E3012" s="29" t="s">
        <v>59</v>
      </c>
      <c r="F3012" s="30">
        <v>25</v>
      </c>
      <c r="G3012" s="172">
        <v>4.34</v>
      </c>
      <c r="H3012" s="31">
        <f t="shared" si="169"/>
        <v>108.5</v>
      </c>
      <c r="J3012" t="s">
        <v>2853</v>
      </c>
      <c r="K3012" s="188" t="s">
        <v>2853</v>
      </c>
    </row>
    <row r="3013" spans="2:11" x14ac:dyDescent="0.25">
      <c r="B3013" s="27" t="s">
        <v>7576</v>
      </c>
      <c r="D3013" s="28" t="s">
        <v>401</v>
      </c>
      <c r="E3013" s="29" t="s">
        <v>59</v>
      </c>
      <c r="F3013" s="30">
        <v>1</v>
      </c>
      <c r="G3013" s="172">
        <v>155.27000000000001</v>
      </c>
      <c r="H3013" s="31">
        <f t="shared" si="169"/>
        <v>155.27000000000001</v>
      </c>
      <c r="J3013" t="s">
        <v>2853</v>
      </c>
      <c r="K3013" s="188" t="s">
        <v>2853</v>
      </c>
    </row>
    <row r="3014" spans="2:11" x14ac:dyDescent="0.25">
      <c r="B3014" s="27" t="s">
        <v>7577</v>
      </c>
      <c r="D3014" s="28" t="s">
        <v>7578</v>
      </c>
      <c r="E3014" s="29" t="s">
        <v>59</v>
      </c>
      <c r="F3014" s="30">
        <v>1</v>
      </c>
      <c r="G3014" s="172">
        <v>148.12</v>
      </c>
      <c r="H3014" s="31">
        <f t="shared" si="169"/>
        <v>148.12</v>
      </c>
      <c r="J3014" t="s">
        <v>2853</v>
      </c>
      <c r="K3014" s="188" t="s">
        <v>2853</v>
      </c>
    </row>
    <row r="3015" spans="2:11" x14ac:dyDescent="0.25">
      <c r="B3015" s="27" t="s">
        <v>7579</v>
      </c>
      <c r="D3015" s="28" t="s">
        <v>7737</v>
      </c>
      <c r="E3015" s="29" t="s">
        <v>59</v>
      </c>
      <c r="F3015" s="30">
        <v>1</v>
      </c>
      <c r="G3015" s="172">
        <v>64.38</v>
      </c>
      <c r="H3015" s="31">
        <f t="shared" si="169"/>
        <v>64.38</v>
      </c>
      <c r="J3015" t="s">
        <v>2853</v>
      </c>
      <c r="K3015" s="188" t="s">
        <v>2853</v>
      </c>
    </row>
    <row r="3016" spans="2:11" x14ac:dyDescent="0.25">
      <c r="B3016" s="27" t="s">
        <v>7580</v>
      </c>
      <c r="D3016" s="28" t="s">
        <v>7739</v>
      </c>
      <c r="E3016" s="29" t="s">
        <v>59</v>
      </c>
      <c r="F3016" s="30">
        <v>1</v>
      </c>
      <c r="G3016" s="172">
        <v>57.82</v>
      </c>
      <c r="H3016" s="31">
        <f t="shared" ref="H3016:H3079" si="170">+F3016*G3016</f>
        <v>57.82</v>
      </c>
      <c r="J3016" t="s">
        <v>2853</v>
      </c>
      <c r="K3016" s="188" t="s">
        <v>2853</v>
      </c>
    </row>
    <row r="3017" spans="2:11" x14ac:dyDescent="0.25">
      <c r="B3017" s="27" t="s">
        <v>7581</v>
      </c>
      <c r="D3017" s="28" t="s">
        <v>409</v>
      </c>
      <c r="E3017" s="29" t="s">
        <v>59</v>
      </c>
      <c r="F3017" s="30">
        <v>10</v>
      </c>
      <c r="G3017" s="172">
        <v>10.95</v>
      </c>
      <c r="H3017" s="31">
        <f t="shared" si="170"/>
        <v>109.5</v>
      </c>
      <c r="J3017" t="s">
        <v>2853</v>
      </c>
      <c r="K3017" s="188" t="s">
        <v>2853</v>
      </c>
    </row>
    <row r="3018" spans="2:11" x14ac:dyDescent="0.25">
      <c r="B3018" s="27" t="s">
        <v>7582</v>
      </c>
      <c r="D3018" s="28" t="s">
        <v>410</v>
      </c>
      <c r="E3018" s="29" t="s">
        <v>59</v>
      </c>
      <c r="F3018" s="30">
        <v>10</v>
      </c>
      <c r="G3018" s="172">
        <v>11.33</v>
      </c>
      <c r="H3018" s="31">
        <f t="shared" si="170"/>
        <v>113.3</v>
      </c>
      <c r="J3018" t="s">
        <v>2853</v>
      </c>
      <c r="K3018" s="188" t="s">
        <v>2853</v>
      </c>
    </row>
    <row r="3019" spans="2:11" x14ac:dyDescent="0.25">
      <c r="B3019" s="27" t="s">
        <v>7583</v>
      </c>
      <c r="D3019" s="28" t="s">
        <v>411</v>
      </c>
      <c r="E3019" s="29" t="s">
        <v>59</v>
      </c>
      <c r="F3019" s="30">
        <v>10</v>
      </c>
      <c r="G3019" s="172">
        <v>11.73</v>
      </c>
      <c r="H3019" s="31">
        <f t="shared" si="170"/>
        <v>117.30000000000001</v>
      </c>
      <c r="J3019" t="s">
        <v>2853</v>
      </c>
      <c r="K3019" s="188" t="s">
        <v>2853</v>
      </c>
    </row>
    <row r="3020" spans="2:11" x14ac:dyDescent="0.25">
      <c r="B3020" s="27" t="s">
        <v>7584</v>
      </c>
      <c r="D3020" s="28" t="s">
        <v>412</v>
      </c>
      <c r="E3020" s="29" t="s">
        <v>59</v>
      </c>
      <c r="F3020" s="30">
        <v>4</v>
      </c>
      <c r="G3020" s="172">
        <v>28.02</v>
      </c>
      <c r="H3020" s="31">
        <f t="shared" si="170"/>
        <v>112.08</v>
      </c>
      <c r="J3020" t="s">
        <v>2853</v>
      </c>
      <c r="K3020" s="188" t="s">
        <v>2853</v>
      </c>
    </row>
    <row r="3021" spans="2:11" x14ac:dyDescent="0.25">
      <c r="B3021" s="27" t="s">
        <v>7585</v>
      </c>
      <c r="D3021" s="28" t="s">
        <v>413</v>
      </c>
      <c r="E3021" s="29" t="s">
        <v>59</v>
      </c>
      <c r="F3021" s="30">
        <v>4</v>
      </c>
      <c r="G3021" s="172">
        <v>30.04</v>
      </c>
      <c r="H3021" s="31">
        <f t="shared" si="170"/>
        <v>120.16</v>
      </c>
      <c r="J3021" t="s">
        <v>2853</v>
      </c>
      <c r="K3021" s="188" t="s">
        <v>2853</v>
      </c>
    </row>
    <row r="3022" spans="2:11" x14ac:dyDescent="0.25">
      <c r="B3022" s="27" t="s">
        <v>7586</v>
      </c>
      <c r="D3022" s="28" t="s">
        <v>418</v>
      </c>
      <c r="E3022" s="29" t="s">
        <v>59</v>
      </c>
      <c r="F3022" s="30">
        <v>100</v>
      </c>
      <c r="G3022" s="172">
        <v>1.31</v>
      </c>
      <c r="H3022" s="31">
        <f t="shared" si="170"/>
        <v>131</v>
      </c>
      <c r="J3022" t="s">
        <v>2853</v>
      </c>
      <c r="K3022" s="188" t="s">
        <v>2853</v>
      </c>
    </row>
    <row r="3023" spans="2:11" x14ac:dyDescent="0.25">
      <c r="B3023" s="27" t="s">
        <v>7587</v>
      </c>
      <c r="D3023" s="28" t="s">
        <v>490</v>
      </c>
      <c r="E3023" s="29" t="s">
        <v>59</v>
      </c>
      <c r="F3023" s="30">
        <v>1</v>
      </c>
      <c r="G3023" s="172">
        <v>73.94</v>
      </c>
      <c r="H3023" s="31">
        <f t="shared" si="170"/>
        <v>73.94</v>
      </c>
      <c r="J3023" t="s">
        <v>2853</v>
      </c>
      <c r="K3023" s="188" t="s">
        <v>2853</v>
      </c>
    </row>
    <row r="3024" spans="2:11" x14ac:dyDescent="0.25">
      <c r="B3024" s="27" t="s">
        <v>7588</v>
      </c>
      <c r="D3024" s="28" t="s">
        <v>490</v>
      </c>
      <c r="E3024" s="29" t="s">
        <v>59</v>
      </c>
      <c r="F3024" s="30">
        <v>1</v>
      </c>
      <c r="G3024" s="172">
        <v>73.94</v>
      </c>
      <c r="H3024" s="31">
        <f t="shared" si="170"/>
        <v>73.94</v>
      </c>
      <c r="J3024" t="s">
        <v>2853</v>
      </c>
      <c r="K3024" s="188" t="s">
        <v>2853</v>
      </c>
    </row>
    <row r="3025" spans="2:11" x14ac:dyDescent="0.25">
      <c r="B3025" s="27" t="s">
        <v>7589</v>
      </c>
      <c r="D3025" s="28" t="s">
        <v>494</v>
      </c>
      <c r="E3025" s="29" t="s">
        <v>59</v>
      </c>
      <c r="F3025" s="30">
        <v>1</v>
      </c>
      <c r="G3025" s="172">
        <v>80.430000000000007</v>
      </c>
      <c r="H3025" s="31">
        <f t="shared" si="170"/>
        <v>80.430000000000007</v>
      </c>
      <c r="J3025" t="s">
        <v>2853</v>
      </c>
      <c r="K3025" s="188" t="s">
        <v>2853</v>
      </c>
    </row>
    <row r="3026" spans="2:11" x14ac:dyDescent="0.25">
      <c r="B3026" s="27" t="s">
        <v>7590</v>
      </c>
      <c r="D3026" s="28" t="s">
        <v>494</v>
      </c>
      <c r="E3026" s="29" t="s">
        <v>59</v>
      </c>
      <c r="F3026" s="30">
        <v>1</v>
      </c>
      <c r="G3026" s="172">
        <v>80.430000000000007</v>
      </c>
      <c r="H3026" s="31">
        <f t="shared" si="170"/>
        <v>80.430000000000007</v>
      </c>
      <c r="J3026" t="s">
        <v>2853</v>
      </c>
      <c r="K3026" s="188" t="s">
        <v>2853</v>
      </c>
    </row>
    <row r="3027" spans="2:11" x14ac:dyDescent="0.25">
      <c r="B3027" s="27" t="s">
        <v>7591</v>
      </c>
      <c r="D3027" s="28" t="s">
        <v>497</v>
      </c>
      <c r="E3027" s="29" t="s">
        <v>59</v>
      </c>
      <c r="F3027" s="30">
        <v>1</v>
      </c>
      <c r="G3027" s="172">
        <v>86.93</v>
      </c>
      <c r="H3027" s="31">
        <f t="shared" si="170"/>
        <v>86.93</v>
      </c>
      <c r="J3027" t="s">
        <v>2853</v>
      </c>
      <c r="K3027" s="188" t="s">
        <v>2853</v>
      </c>
    </row>
    <row r="3028" spans="2:11" x14ac:dyDescent="0.25">
      <c r="B3028" s="27" t="s">
        <v>7592</v>
      </c>
      <c r="D3028" s="28" t="s">
        <v>497</v>
      </c>
      <c r="E3028" s="29" t="s">
        <v>59</v>
      </c>
      <c r="F3028" s="30">
        <v>1</v>
      </c>
      <c r="G3028" s="172">
        <v>86.93</v>
      </c>
      <c r="H3028" s="31">
        <f t="shared" si="170"/>
        <v>86.93</v>
      </c>
      <c r="J3028" t="s">
        <v>2853</v>
      </c>
      <c r="K3028" s="188" t="s">
        <v>2853</v>
      </c>
    </row>
    <row r="3029" spans="2:11" x14ac:dyDescent="0.25">
      <c r="B3029" s="27" t="s">
        <v>7593</v>
      </c>
      <c r="D3029" s="28" t="s">
        <v>498</v>
      </c>
      <c r="E3029" s="29" t="s">
        <v>59</v>
      </c>
      <c r="F3029" s="30">
        <v>1</v>
      </c>
      <c r="G3029" s="172">
        <v>93.41</v>
      </c>
      <c r="H3029" s="31">
        <f t="shared" si="170"/>
        <v>93.41</v>
      </c>
      <c r="J3029" t="s">
        <v>2853</v>
      </c>
      <c r="K3029" s="188" t="s">
        <v>2853</v>
      </c>
    </row>
    <row r="3030" spans="2:11" x14ac:dyDescent="0.25">
      <c r="B3030" s="27" t="s">
        <v>7594</v>
      </c>
      <c r="D3030" s="28" t="s">
        <v>498</v>
      </c>
      <c r="E3030" s="29" t="s">
        <v>59</v>
      </c>
      <c r="F3030" s="30">
        <v>1</v>
      </c>
      <c r="G3030" s="172">
        <v>93.41</v>
      </c>
      <c r="H3030" s="31">
        <f t="shared" si="170"/>
        <v>93.41</v>
      </c>
      <c r="J3030" t="s">
        <v>2853</v>
      </c>
      <c r="K3030" s="188" t="s">
        <v>2853</v>
      </c>
    </row>
    <row r="3031" spans="2:11" x14ac:dyDescent="0.25">
      <c r="B3031" s="27" t="s">
        <v>7595</v>
      </c>
      <c r="D3031" s="28" t="s">
        <v>500</v>
      </c>
      <c r="E3031" s="29" t="s">
        <v>59</v>
      </c>
      <c r="F3031" s="30">
        <v>1</v>
      </c>
      <c r="G3031" s="172">
        <v>23.3</v>
      </c>
      <c r="H3031" s="31">
        <f t="shared" si="170"/>
        <v>23.3</v>
      </c>
      <c r="J3031" t="s">
        <v>2853</v>
      </c>
      <c r="K3031" s="188" t="s">
        <v>2853</v>
      </c>
    </row>
    <row r="3032" spans="2:11" x14ac:dyDescent="0.25">
      <c r="B3032" s="27" t="s">
        <v>7596</v>
      </c>
      <c r="D3032" s="28" t="s">
        <v>501</v>
      </c>
      <c r="E3032" s="29" t="s">
        <v>59</v>
      </c>
      <c r="F3032" s="30">
        <v>1</v>
      </c>
      <c r="G3032" s="172">
        <v>32.090000000000003</v>
      </c>
      <c r="H3032" s="31">
        <f t="shared" si="170"/>
        <v>32.090000000000003</v>
      </c>
      <c r="J3032" t="s">
        <v>2853</v>
      </c>
      <c r="K3032" s="188" t="s">
        <v>2853</v>
      </c>
    </row>
    <row r="3033" spans="2:11" x14ac:dyDescent="0.25">
      <c r="B3033" s="27" t="s">
        <v>7597</v>
      </c>
      <c r="D3033" s="28" t="s">
        <v>502</v>
      </c>
      <c r="E3033" s="29" t="s">
        <v>59</v>
      </c>
      <c r="F3033" s="30">
        <v>1</v>
      </c>
      <c r="G3033" s="172">
        <v>40.82</v>
      </c>
      <c r="H3033" s="31">
        <f t="shared" si="170"/>
        <v>40.82</v>
      </c>
      <c r="J3033" t="s">
        <v>2853</v>
      </c>
      <c r="K3033" s="188" t="s">
        <v>2853</v>
      </c>
    </row>
    <row r="3034" spans="2:11" x14ac:dyDescent="0.25">
      <c r="B3034" s="27" t="s">
        <v>7598</v>
      </c>
      <c r="D3034" s="28" t="s">
        <v>503</v>
      </c>
      <c r="E3034" s="29" t="s">
        <v>59</v>
      </c>
      <c r="F3034" s="30">
        <v>1</v>
      </c>
      <c r="G3034" s="172">
        <v>49.59</v>
      </c>
      <c r="H3034" s="31">
        <f t="shared" si="170"/>
        <v>49.59</v>
      </c>
      <c r="J3034" t="s">
        <v>2853</v>
      </c>
      <c r="K3034" s="188" t="s">
        <v>2853</v>
      </c>
    </row>
    <row r="3035" spans="2:11" x14ac:dyDescent="0.25">
      <c r="B3035" s="27" t="s">
        <v>7599</v>
      </c>
      <c r="D3035" s="28" t="s">
        <v>504</v>
      </c>
      <c r="E3035" s="29" t="s">
        <v>59</v>
      </c>
      <c r="F3035" s="30">
        <v>6</v>
      </c>
      <c r="G3035" s="172">
        <v>10.61</v>
      </c>
      <c r="H3035" s="31">
        <f t="shared" si="170"/>
        <v>63.66</v>
      </c>
      <c r="J3035" t="s">
        <v>2853</v>
      </c>
      <c r="K3035" s="188" t="s">
        <v>2853</v>
      </c>
    </row>
    <row r="3036" spans="2:11" x14ac:dyDescent="0.25">
      <c r="B3036" s="27" t="s">
        <v>7600</v>
      </c>
      <c r="D3036" s="28" t="s">
        <v>507</v>
      </c>
      <c r="E3036" s="29" t="s">
        <v>59</v>
      </c>
      <c r="F3036" s="30">
        <v>1</v>
      </c>
      <c r="G3036" s="172">
        <v>93.03</v>
      </c>
      <c r="H3036" s="31">
        <f t="shared" si="170"/>
        <v>93.03</v>
      </c>
      <c r="J3036" t="s">
        <v>2853</v>
      </c>
      <c r="K3036" s="188" t="s">
        <v>2853</v>
      </c>
    </row>
    <row r="3037" spans="2:11" x14ac:dyDescent="0.25">
      <c r="B3037" s="27" t="s">
        <v>7601</v>
      </c>
      <c r="D3037" s="28" t="s">
        <v>507</v>
      </c>
      <c r="E3037" s="29" t="s">
        <v>59</v>
      </c>
      <c r="F3037" s="30">
        <v>1</v>
      </c>
      <c r="G3037" s="172">
        <v>93.03</v>
      </c>
      <c r="H3037" s="31">
        <f t="shared" si="170"/>
        <v>93.03</v>
      </c>
      <c r="J3037" t="s">
        <v>2853</v>
      </c>
      <c r="K3037" s="188" t="s">
        <v>2853</v>
      </c>
    </row>
    <row r="3038" spans="2:11" x14ac:dyDescent="0.25">
      <c r="B3038" s="27" t="s">
        <v>7602</v>
      </c>
      <c r="D3038" s="28" t="s">
        <v>510</v>
      </c>
      <c r="E3038" s="29" t="s">
        <v>59</v>
      </c>
      <c r="F3038" s="30">
        <v>1</v>
      </c>
      <c r="G3038" s="172">
        <v>103.31</v>
      </c>
      <c r="H3038" s="31">
        <f t="shared" si="170"/>
        <v>103.31</v>
      </c>
      <c r="J3038" t="s">
        <v>2853</v>
      </c>
      <c r="K3038" s="188" t="s">
        <v>2853</v>
      </c>
    </row>
    <row r="3039" spans="2:11" x14ac:dyDescent="0.25">
      <c r="B3039" s="27" t="s">
        <v>7603</v>
      </c>
      <c r="D3039" s="28" t="s">
        <v>510</v>
      </c>
      <c r="E3039" s="29" t="s">
        <v>59</v>
      </c>
      <c r="F3039" s="30">
        <v>1</v>
      </c>
      <c r="G3039" s="172">
        <v>103.31</v>
      </c>
      <c r="H3039" s="31">
        <f t="shared" si="170"/>
        <v>103.31</v>
      </c>
      <c r="J3039" t="s">
        <v>2853</v>
      </c>
      <c r="K3039" s="188" t="s">
        <v>2853</v>
      </c>
    </row>
    <row r="3040" spans="2:11" x14ac:dyDescent="0.25">
      <c r="B3040" s="27" t="s">
        <v>7604</v>
      </c>
      <c r="D3040" s="28" t="s">
        <v>513</v>
      </c>
      <c r="E3040" s="29" t="s">
        <v>59</v>
      </c>
      <c r="F3040" s="30">
        <v>1</v>
      </c>
      <c r="G3040" s="172">
        <v>113.62</v>
      </c>
      <c r="H3040" s="31">
        <f t="shared" si="170"/>
        <v>113.62</v>
      </c>
      <c r="J3040" t="s">
        <v>2853</v>
      </c>
      <c r="K3040" s="188" t="s">
        <v>2853</v>
      </c>
    </row>
    <row r="3041" spans="2:11" x14ac:dyDescent="0.25">
      <c r="B3041" s="27" t="s">
        <v>7605</v>
      </c>
      <c r="D3041" s="28" t="s">
        <v>513</v>
      </c>
      <c r="E3041" s="29" t="s">
        <v>59</v>
      </c>
      <c r="F3041" s="30">
        <v>1</v>
      </c>
      <c r="G3041" s="172">
        <v>113.61</v>
      </c>
      <c r="H3041" s="31">
        <f t="shared" si="170"/>
        <v>113.61</v>
      </c>
      <c r="J3041" t="s">
        <v>2853</v>
      </c>
      <c r="K3041" s="188" t="s">
        <v>2853</v>
      </c>
    </row>
    <row r="3042" spans="2:11" x14ac:dyDescent="0.25">
      <c r="B3042" s="27" t="s">
        <v>7606</v>
      </c>
      <c r="D3042" s="28" t="s">
        <v>516</v>
      </c>
      <c r="E3042" s="29" t="s">
        <v>59</v>
      </c>
      <c r="F3042" s="30">
        <v>1</v>
      </c>
      <c r="G3042" s="172">
        <v>123.91</v>
      </c>
      <c r="H3042" s="31">
        <f t="shared" si="170"/>
        <v>123.91</v>
      </c>
      <c r="J3042" t="s">
        <v>2853</v>
      </c>
      <c r="K3042" s="188" t="s">
        <v>2853</v>
      </c>
    </row>
    <row r="3043" spans="2:11" x14ac:dyDescent="0.25">
      <c r="B3043" s="27" t="s">
        <v>7607</v>
      </c>
      <c r="D3043" s="28" t="s">
        <v>516</v>
      </c>
      <c r="E3043" s="29" t="s">
        <v>59</v>
      </c>
      <c r="F3043" s="30">
        <v>1</v>
      </c>
      <c r="G3043" s="172">
        <v>123.91</v>
      </c>
      <c r="H3043" s="31">
        <f t="shared" si="170"/>
        <v>123.91</v>
      </c>
      <c r="J3043" t="s">
        <v>2853</v>
      </c>
      <c r="K3043" s="188" t="s">
        <v>2853</v>
      </c>
    </row>
    <row r="3044" spans="2:11" x14ac:dyDescent="0.25">
      <c r="B3044" s="27" t="s">
        <v>7608</v>
      </c>
      <c r="D3044" s="28" t="s">
        <v>519</v>
      </c>
      <c r="E3044" s="29" t="s">
        <v>59</v>
      </c>
      <c r="F3044" s="30">
        <v>1</v>
      </c>
      <c r="G3044" s="172">
        <v>91.75</v>
      </c>
      <c r="H3044" s="31">
        <f t="shared" si="170"/>
        <v>91.75</v>
      </c>
      <c r="J3044" t="s">
        <v>2853</v>
      </c>
      <c r="K3044" s="188" t="s">
        <v>2853</v>
      </c>
    </row>
    <row r="3045" spans="2:11" x14ac:dyDescent="0.25">
      <c r="B3045" s="27" t="s">
        <v>7609</v>
      </c>
      <c r="D3045" s="28" t="s">
        <v>519</v>
      </c>
      <c r="E3045" s="29" t="s">
        <v>59</v>
      </c>
      <c r="F3045" s="30">
        <v>1</v>
      </c>
      <c r="G3045" s="172">
        <v>91.75</v>
      </c>
      <c r="H3045" s="31">
        <f t="shared" si="170"/>
        <v>91.75</v>
      </c>
      <c r="J3045" t="s">
        <v>2853</v>
      </c>
      <c r="K3045" s="188" t="s">
        <v>2853</v>
      </c>
    </row>
    <row r="3046" spans="2:11" x14ac:dyDescent="0.25">
      <c r="B3046" s="27" t="s">
        <v>7610</v>
      </c>
      <c r="D3046" s="28" t="s">
        <v>524</v>
      </c>
      <c r="E3046" s="29" t="s">
        <v>59</v>
      </c>
      <c r="F3046" s="30">
        <v>1</v>
      </c>
      <c r="G3046" s="172">
        <v>105.87</v>
      </c>
      <c r="H3046" s="31">
        <f t="shared" si="170"/>
        <v>105.87</v>
      </c>
      <c r="J3046" t="s">
        <v>2853</v>
      </c>
      <c r="K3046" s="188" t="s">
        <v>2853</v>
      </c>
    </row>
    <row r="3047" spans="2:11" x14ac:dyDescent="0.25">
      <c r="B3047" s="27" t="s">
        <v>7611</v>
      </c>
      <c r="D3047" s="28" t="s">
        <v>524</v>
      </c>
      <c r="E3047" s="29" t="s">
        <v>59</v>
      </c>
      <c r="F3047" s="30">
        <v>1</v>
      </c>
      <c r="G3047" s="172">
        <v>105.87</v>
      </c>
      <c r="H3047" s="31">
        <f t="shared" si="170"/>
        <v>105.87</v>
      </c>
      <c r="J3047" t="s">
        <v>2853</v>
      </c>
      <c r="K3047" s="188" t="s">
        <v>2853</v>
      </c>
    </row>
    <row r="3048" spans="2:11" x14ac:dyDescent="0.25">
      <c r="B3048" s="27" t="s">
        <v>7612</v>
      </c>
      <c r="D3048" s="28" t="s">
        <v>527</v>
      </c>
      <c r="E3048" s="29" t="s">
        <v>59</v>
      </c>
      <c r="F3048" s="30">
        <v>1</v>
      </c>
      <c r="G3048" s="172">
        <v>113.61</v>
      </c>
      <c r="H3048" s="31">
        <f t="shared" si="170"/>
        <v>113.61</v>
      </c>
      <c r="J3048" t="s">
        <v>2853</v>
      </c>
      <c r="K3048" s="188" t="s">
        <v>2853</v>
      </c>
    </row>
    <row r="3049" spans="2:11" x14ac:dyDescent="0.25">
      <c r="B3049" s="27" t="s">
        <v>7613</v>
      </c>
      <c r="D3049" s="28" t="s">
        <v>527</v>
      </c>
      <c r="E3049" s="29" t="s">
        <v>59</v>
      </c>
      <c r="F3049" s="30">
        <v>1</v>
      </c>
      <c r="G3049" s="172">
        <v>113.61</v>
      </c>
      <c r="H3049" s="31">
        <f t="shared" si="170"/>
        <v>113.61</v>
      </c>
      <c r="J3049" t="s">
        <v>2853</v>
      </c>
      <c r="K3049" s="188" t="s">
        <v>2853</v>
      </c>
    </row>
    <row r="3050" spans="2:11" x14ac:dyDescent="0.25">
      <c r="B3050" s="27" t="s">
        <v>7614</v>
      </c>
      <c r="D3050" s="28" t="s">
        <v>530</v>
      </c>
      <c r="E3050" s="29" t="s">
        <v>59</v>
      </c>
      <c r="F3050" s="30">
        <v>1</v>
      </c>
      <c r="G3050" s="172">
        <v>121.36</v>
      </c>
      <c r="H3050" s="31">
        <f t="shared" si="170"/>
        <v>121.36</v>
      </c>
      <c r="J3050" t="s">
        <v>2853</v>
      </c>
      <c r="K3050" s="188" t="s">
        <v>2853</v>
      </c>
    </row>
    <row r="3051" spans="2:11" x14ac:dyDescent="0.25">
      <c r="B3051" s="27" t="s">
        <v>7615</v>
      </c>
      <c r="D3051" s="28" t="s">
        <v>530</v>
      </c>
      <c r="E3051" s="29" t="s">
        <v>59</v>
      </c>
      <c r="F3051" s="30">
        <v>1</v>
      </c>
      <c r="G3051" s="172">
        <v>121.36</v>
      </c>
      <c r="H3051" s="31">
        <f t="shared" si="170"/>
        <v>121.36</v>
      </c>
      <c r="J3051" t="s">
        <v>2853</v>
      </c>
      <c r="K3051" s="188" t="s">
        <v>2853</v>
      </c>
    </row>
    <row r="3052" spans="2:11" x14ac:dyDescent="0.25">
      <c r="B3052" s="27" t="s">
        <v>7616</v>
      </c>
      <c r="D3052" s="28" t="s">
        <v>540</v>
      </c>
      <c r="E3052" s="29" t="s">
        <v>59</v>
      </c>
      <c r="F3052" s="30">
        <v>1</v>
      </c>
      <c r="G3052" s="172">
        <v>102.38</v>
      </c>
      <c r="H3052" s="31">
        <f t="shared" si="170"/>
        <v>102.38</v>
      </c>
      <c r="J3052" t="s">
        <v>2853</v>
      </c>
      <c r="K3052" s="188" t="s">
        <v>2853</v>
      </c>
    </row>
    <row r="3053" spans="2:11" x14ac:dyDescent="0.25">
      <c r="B3053" s="27" t="s">
        <v>7617</v>
      </c>
      <c r="D3053" s="28" t="s">
        <v>540</v>
      </c>
      <c r="E3053" s="29" t="s">
        <v>59</v>
      </c>
      <c r="F3053" s="30">
        <v>1</v>
      </c>
      <c r="G3053" s="172">
        <v>102.24</v>
      </c>
      <c r="H3053" s="31">
        <f t="shared" si="170"/>
        <v>102.24</v>
      </c>
      <c r="J3053" t="s">
        <v>2853</v>
      </c>
      <c r="K3053" s="188" t="s">
        <v>2853</v>
      </c>
    </row>
    <row r="3054" spans="2:11" x14ac:dyDescent="0.25">
      <c r="B3054" s="27" t="s">
        <v>7618</v>
      </c>
      <c r="D3054" s="28" t="s">
        <v>543</v>
      </c>
      <c r="E3054" s="29" t="s">
        <v>59</v>
      </c>
      <c r="F3054" s="30">
        <v>1</v>
      </c>
      <c r="G3054" s="172">
        <v>115.66</v>
      </c>
      <c r="H3054" s="31">
        <f t="shared" si="170"/>
        <v>115.66</v>
      </c>
      <c r="J3054" t="s">
        <v>2853</v>
      </c>
      <c r="K3054" s="188" t="s">
        <v>2853</v>
      </c>
    </row>
    <row r="3055" spans="2:11" x14ac:dyDescent="0.25">
      <c r="B3055" s="27" t="s">
        <v>7619</v>
      </c>
      <c r="D3055" s="28" t="s">
        <v>543</v>
      </c>
      <c r="E3055" s="29" t="s">
        <v>59</v>
      </c>
      <c r="F3055" s="30">
        <v>1</v>
      </c>
      <c r="G3055" s="172">
        <v>115.66</v>
      </c>
      <c r="H3055" s="31">
        <f t="shared" si="170"/>
        <v>115.66</v>
      </c>
      <c r="J3055" t="s">
        <v>2853</v>
      </c>
      <c r="K3055" s="188" t="s">
        <v>2853</v>
      </c>
    </row>
    <row r="3056" spans="2:11" x14ac:dyDescent="0.25">
      <c r="B3056" s="27" t="s">
        <v>7620</v>
      </c>
      <c r="D3056" s="28" t="s">
        <v>546</v>
      </c>
      <c r="E3056" s="29" t="s">
        <v>59</v>
      </c>
      <c r="F3056" s="30">
        <v>1</v>
      </c>
      <c r="G3056" s="172">
        <v>128.91</v>
      </c>
      <c r="H3056" s="31">
        <f t="shared" si="170"/>
        <v>128.91</v>
      </c>
      <c r="J3056" t="s">
        <v>2853</v>
      </c>
      <c r="K3056" s="188" t="s">
        <v>2853</v>
      </c>
    </row>
    <row r="3057" spans="2:11" x14ac:dyDescent="0.25">
      <c r="B3057" s="27" t="s">
        <v>7621</v>
      </c>
      <c r="D3057" s="28" t="s">
        <v>546</v>
      </c>
      <c r="E3057" s="29" t="s">
        <v>59</v>
      </c>
      <c r="F3057" s="30">
        <v>1</v>
      </c>
      <c r="G3057" s="172">
        <v>128.91</v>
      </c>
      <c r="H3057" s="31">
        <f t="shared" si="170"/>
        <v>128.91</v>
      </c>
      <c r="J3057" t="s">
        <v>2853</v>
      </c>
      <c r="K3057" s="188" t="s">
        <v>2853</v>
      </c>
    </row>
    <row r="3058" spans="2:11" x14ac:dyDescent="0.25">
      <c r="B3058" s="27" t="s">
        <v>7622</v>
      </c>
      <c r="D3058" s="28" t="s">
        <v>549</v>
      </c>
      <c r="E3058" s="29" t="s">
        <v>59</v>
      </c>
      <c r="F3058" s="30">
        <v>1</v>
      </c>
      <c r="G3058" s="172">
        <v>142.16999999999999</v>
      </c>
      <c r="H3058" s="31">
        <f t="shared" si="170"/>
        <v>142.16999999999999</v>
      </c>
      <c r="J3058" t="s">
        <v>2853</v>
      </c>
      <c r="K3058" s="188" t="s">
        <v>2853</v>
      </c>
    </row>
    <row r="3059" spans="2:11" x14ac:dyDescent="0.25">
      <c r="B3059" s="27" t="s">
        <v>7623</v>
      </c>
      <c r="D3059" s="28" t="s">
        <v>549</v>
      </c>
      <c r="E3059" s="29" t="s">
        <v>59</v>
      </c>
      <c r="F3059" s="30">
        <v>1</v>
      </c>
      <c r="G3059" s="172">
        <v>142.16999999999999</v>
      </c>
      <c r="H3059" s="31">
        <f t="shared" si="170"/>
        <v>142.16999999999999</v>
      </c>
      <c r="J3059" t="s">
        <v>2853</v>
      </c>
      <c r="K3059" s="188" t="s">
        <v>2853</v>
      </c>
    </row>
    <row r="3060" spans="2:11" x14ac:dyDescent="0.25">
      <c r="B3060" s="27" t="s">
        <v>7624</v>
      </c>
      <c r="D3060" s="28" t="s">
        <v>769</v>
      </c>
      <c r="E3060" s="29" t="s">
        <v>59</v>
      </c>
      <c r="F3060" s="30">
        <v>1</v>
      </c>
      <c r="G3060" s="172">
        <v>110.86</v>
      </c>
      <c r="H3060" s="31">
        <f t="shared" si="170"/>
        <v>110.86</v>
      </c>
      <c r="J3060" t="s">
        <v>2853</v>
      </c>
      <c r="K3060" s="188" t="s">
        <v>2853</v>
      </c>
    </row>
    <row r="3061" spans="2:11" x14ac:dyDescent="0.25">
      <c r="B3061" s="27" t="s">
        <v>7625</v>
      </c>
      <c r="D3061" s="28" t="s">
        <v>769</v>
      </c>
      <c r="E3061" s="29" t="s">
        <v>59</v>
      </c>
      <c r="F3061" s="30">
        <v>1</v>
      </c>
      <c r="G3061" s="172">
        <v>110.86</v>
      </c>
      <c r="H3061" s="31">
        <f t="shared" si="170"/>
        <v>110.86</v>
      </c>
      <c r="J3061" t="s">
        <v>2853</v>
      </c>
      <c r="K3061" s="188" t="s">
        <v>2853</v>
      </c>
    </row>
    <row r="3062" spans="2:11" x14ac:dyDescent="0.25">
      <c r="B3062" s="27" t="s">
        <v>7626</v>
      </c>
      <c r="D3062" s="28" t="s">
        <v>772</v>
      </c>
      <c r="E3062" s="29" t="s">
        <v>59</v>
      </c>
      <c r="F3062" s="30">
        <v>1</v>
      </c>
      <c r="G3062" s="172">
        <v>146.63</v>
      </c>
      <c r="H3062" s="31">
        <f t="shared" si="170"/>
        <v>146.63</v>
      </c>
      <c r="J3062" t="s">
        <v>2853</v>
      </c>
      <c r="K3062" s="188" t="s">
        <v>2853</v>
      </c>
    </row>
    <row r="3063" spans="2:11" x14ac:dyDescent="0.25">
      <c r="B3063" s="27" t="s">
        <v>7627</v>
      </c>
      <c r="D3063" s="28" t="s">
        <v>772</v>
      </c>
      <c r="E3063" s="29" t="s">
        <v>59</v>
      </c>
      <c r="F3063" s="30">
        <v>1</v>
      </c>
      <c r="G3063" s="172">
        <v>146.63</v>
      </c>
      <c r="H3063" s="31">
        <f t="shared" si="170"/>
        <v>146.63</v>
      </c>
      <c r="J3063" t="s">
        <v>2853</v>
      </c>
      <c r="K3063" s="188" t="s">
        <v>2853</v>
      </c>
    </row>
    <row r="3064" spans="2:11" x14ac:dyDescent="0.25">
      <c r="B3064" s="27" t="s">
        <v>7628</v>
      </c>
      <c r="D3064" s="28" t="s">
        <v>775</v>
      </c>
      <c r="E3064" s="29" t="s">
        <v>59</v>
      </c>
      <c r="F3064" s="30">
        <v>1</v>
      </c>
      <c r="G3064" s="172">
        <v>150.56</v>
      </c>
      <c r="H3064" s="31">
        <f t="shared" si="170"/>
        <v>150.56</v>
      </c>
      <c r="J3064" t="s">
        <v>2853</v>
      </c>
      <c r="K3064" s="188" t="s">
        <v>2853</v>
      </c>
    </row>
    <row r="3065" spans="2:11" x14ac:dyDescent="0.25">
      <c r="B3065" s="27" t="s">
        <v>7629</v>
      </c>
      <c r="D3065" s="28" t="s">
        <v>775</v>
      </c>
      <c r="E3065" s="29" t="s">
        <v>59</v>
      </c>
      <c r="F3065" s="30">
        <v>1</v>
      </c>
      <c r="G3065" s="172">
        <v>150.56</v>
      </c>
      <c r="H3065" s="31">
        <f t="shared" si="170"/>
        <v>150.56</v>
      </c>
      <c r="J3065" t="s">
        <v>2853</v>
      </c>
      <c r="K3065" s="188" t="s">
        <v>2853</v>
      </c>
    </row>
    <row r="3066" spans="2:11" x14ac:dyDescent="0.25">
      <c r="B3066" s="27" t="s">
        <v>7630</v>
      </c>
      <c r="D3066" s="28" t="s">
        <v>778</v>
      </c>
      <c r="E3066" s="29" t="s">
        <v>59</v>
      </c>
      <c r="F3066" s="30">
        <v>1</v>
      </c>
      <c r="G3066" s="172">
        <v>154.51</v>
      </c>
      <c r="H3066" s="31">
        <f t="shared" si="170"/>
        <v>154.51</v>
      </c>
      <c r="J3066" t="s">
        <v>2853</v>
      </c>
      <c r="K3066" s="188" t="s">
        <v>2853</v>
      </c>
    </row>
    <row r="3067" spans="2:11" x14ac:dyDescent="0.25">
      <c r="B3067" s="27" t="s">
        <v>7631</v>
      </c>
      <c r="D3067" s="28" t="s">
        <v>778</v>
      </c>
      <c r="E3067" s="29" t="s">
        <v>59</v>
      </c>
      <c r="F3067" s="30">
        <v>1</v>
      </c>
      <c r="G3067" s="172">
        <v>154.51</v>
      </c>
      <c r="H3067" s="31">
        <f t="shared" si="170"/>
        <v>154.51</v>
      </c>
      <c r="J3067" t="s">
        <v>2853</v>
      </c>
      <c r="K3067" s="188" t="s">
        <v>2853</v>
      </c>
    </row>
    <row r="3068" spans="2:11" x14ac:dyDescent="0.25">
      <c r="B3068" s="27" t="s">
        <v>7632</v>
      </c>
      <c r="D3068" s="28" t="s">
        <v>798</v>
      </c>
      <c r="E3068" s="29" t="s">
        <v>59</v>
      </c>
      <c r="F3068" s="30">
        <v>1</v>
      </c>
      <c r="G3068" s="172">
        <v>103.39</v>
      </c>
      <c r="H3068" s="31">
        <f t="shared" si="170"/>
        <v>103.39</v>
      </c>
      <c r="J3068" t="s">
        <v>2853</v>
      </c>
      <c r="K3068" s="188" t="s">
        <v>2853</v>
      </c>
    </row>
    <row r="3069" spans="2:11" x14ac:dyDescent="0.25">
      <c r="B3069" s="27" t="s">
        <v>7633</v>
      </c>
      <c r="D3069" s="28" t="s">
        <v>798</v>
      </c>
      <c r="E3069" s="29" t="s">
        <v>59</v>
      </c>
      <c r="F3069" s="30">
        <v>1</v>
      </c>
      <c r="G3069" s="172">
        <v>103.39</v>
      </c>
      <c r="H3069" s="31">
        <f t="shared" si="170"/>
        <v>103.39</v>
      </c>
      <c r="J3069" t="s">
        <v>2853</v>
      </c>
      <c r="K3069" s="188" t="s">
        <v>2853</v>
      </c>
    </row>
    <row r="3070" spans="2:11" x14ac:dyDescent="0.25">
      <c r="B3070" s="27" t="s">
        <v>7634</v>
      </c>
      <c r="D3070" s="28" t="s">
        <v>801</v>
      </c>
      <c r="E3070" s="29" t="s">
        <v>59</v>
      </c>
      <c r="F3070" s="30">
        <v>1</v>
      </c>
      <c r="G3070" s="172">
        <v>122.57</v>
      </c>
      <c r="H3070" s="31">
        <f t="shared" si="170"/>
        <v>122.57</v>
      </c>
      <c r="J3070" t="s">
        <v>2853</v>
      </c>
      <c r="K3070" s="188" t="s">
        <v>2853</v>
      </c>
    </row>
    <row r="3071" spans="2:11" x14ac:dyDescent="0.25">
      <c r="B3071" s="27" t="s">
        <v>7635</v>
      </c>
      <c r="D3071" s="28" t="s">
        <v>801</v>
      </c>
      <c r="E3071" s="29" t="s">
        <v>59</v>
      </c>
      <c r="F3071" s="30">
        <v>1</v>
      </c>
      <c r="G3071" s="172">
        <v>122.57</v>
      </c>
      <c r="H3071" s="31">
        <f t="shared" si="170"/>
        <v>122.57</v>
      </c>
      <c r="J3071" t="s">
        <v>2853</v>
      </c>
      <c r="K3071" s="188" t="s">
        <v>2853</v>
      </c>
    </row>
    <row r="3072" spans="2:11" x14ac:dyDescent="0.25">
      <c r="B3072" s="27" t="s">
        <v>7636</v>
      </c>
      <c r="D3072" s="28" t="s">
        <v>804</v>
      </c>
      <c r="E3072" s="29" t="s">
        <v>59</v>
      </c>
      <c r="F3072" s="30">
        <v>1</v>
      </c>
      <c r="G3072" s="172">
        <v>141.71</v>
      </c>
      <c r="H3072" s="31">
        <f t="shared" si="170"/>
        <v>141.71</v>
      </c>
      <c r="J3072" t="s">
        <v>2853</v>
      </c>
      <c r="K3072" s="188" t="s">
        <v>2853</v>
      </c>
    </row>
    <row r="3073" spans="2:11" x14ac:dyDescent="0.25">
      <c r="B3073" s="27" t="s">
        <v>7637</v>
      </c>
      <c r="D3073" s="28" t="s">
        <v>804</v>
      </c>
      <c r="E3073" s="29" t="s">
        <v>59</v>
      </c>
      <c r="F3073" s="30">
        <v>1</v>
      </c>
      <c r="G3073" s="172">
        <v>141.71</v>
      </c>
      <c r="H3073" s="31">
        <f t="shared" si="170"/>
        <v>141.71</v>
      </c>
      <c r="J3073" t="s">
        <v>2853</v>
      </c>
      <c r="K3073" s="188" t="s">
        <v>2853</v>
      </c>
    </row>
    <row r="3074" spans="2:11" x14ac:dyDescent="0.25">
      <c r="B3074" s="27" t="s">
        <v>7638</v>
      </c>
      <c r="D3074" s="28" t="s">
        <v>807</v>
      </c>
      <c r="E3074" s="29" t="s">
        <v>59</v>
      </c>
      <c r="F3074" s="30">
        <v>1</v>
      </c>
      <c r="G3074" s="172">
        <v>160.9</v>
      </c>
      <c r="H3074" s="31">
        <f t="shared" si="170"/>
        <v>160.9</v>
      </c>
      <c r="J3074" t="s">
        <v>2853</v>
      </c>
      <c r="K3074" s="188" t="s">
        <v>2853</v>
      </c>
    </row>
    <row r="3075" spans="2:11" x14ac:dyDescent="0.25">
      <c r="B3075" s="27" t="s">
        <v>7639</v>
      </c>
      <c r="D3075" s="28" t="s">
        <v>807</v>
      </c>
      <c r="E3075" s="29" t="s">
        <v>59</v>
      </c>
      <c r="F3075" s="30">
        <v>1</v>
      </c>
      <c r="G3075" s="172">
        <v>160.9</v>
      </c>
      <c r="H3075" s="31">
        <f t="shared" si="170"/>
        <v>160.9</v>
      </c>
      <c r="J3075" t="s">
        <v>2853</v>
      </c>
      <c r="K3075" s="188" t="s">
        <v>2853</v>
      </c>
    </row>
    <row r="3076" spans="2:11" x14ac:dyDescent="0.25">
      <c r="B3076" s="27" t="s">
        <v>7640</v>
      </c>
      <c r="D3076" s="28" t="s">
        <v>7377</v>
      </c>
      <c r="E3076" s="29" t="s">
        <v>59</v>
      </c>
      <c r="F3076" s="30">
        <v>20</v>
      </c>
      <c r="G3076" s="172">
        <v>10.16</v>
      </c>
      <c r="H3076" s="31">
        <f t="shared" si="170"/>
        <v>203.2</v>
      </c>
      <c r="J3076" t="s">
        <v>2853</v>
      </c>
      <c r="K3076" s="188" t="s">
        <v>2853</v>
      </c>
    </row>
    <row r="3077" spans="2:11" x14ac:dyDescent="0.25">
      <c r="B3077" s="27" t="s">
        <v>7641</v>
      </c>
      <c r="D3077" s="28" t="s">
        <v>7642</v>
      </c>
      <c r="E3077" s="29" t="s">
        <v>59</v>
      </c>
      <c r="F3077" s="30">
        <v>6</v>
      </c>
      <c r="G3077" s="172">
        <v>9.3800000000000008</v>
      </c>
      <c r="H3077" s="31">
        <f t="shared" si="170"/>
        <v>56.28</v>
      </c>
      <c r="J3077" t="s">
        <v>2853</v>
      </c>
      <c r="K3077" s="188" t="s">
        <v>2853</v>
      </c>
    </row>
    <row r="3078" spans="2:11" x14ac:dyDescent="0.25">
      <c r="B3078" s="27" t="s">
        <v>7643</v>
      </c>
      <c r="D3078" s="28" t="s">
        <v>7644</v>
      </c>
      <c r="E3078" s="29" t="s">
        <v>59</v>
      </c>
      <c r="F3078" s="30">
        <v>6</v>
      </c>
      <c r="G3078" s="172">
        <v>11.06</v>
      </c>
      <c r="H3078" s="31">
        <f t="shared" si="170"/>
        <v>66.36</v>
      </c>
      <c r="J3078" t="s">
        <v>2853</v>
      </c>
      <c r="K3078" s="188" t="s">
        <v>2853</v>
      </c>
    </row>
    <row r="3079" spans="2:11" x14ac:dyDescent="0.25">
      <c r="B3079" s="27" t="s">
        <v>7645</v>
      </c>
      <c r="D3079" s="28" t="s">
        <v>7646</v>
      </c>
      <c r="E3079" s="29" t="s">
        <v>59</v>
      </c>
      <c r="F3079" s="30">
        <v>6</v>
      </c>
      <c r="G3079" s="172">
        <v>12.73</v>
      </c>
      <c r="H3079" s="31">
        <f t="shared" si="170"/>
        <v>76.38</v>
      </c>
      <c r="J3079" t="s">
        <v>2853</v>
      </c>
      <c r="K3079" s="188" t="s">
        <v>2853</v>
      </c>
    </row>
    <row r="3080" spans="2:11" x14ac:dyDescent="0.25">
      <c r="B3080" s="27" t="s">
        <v>7647</v>
      </c>
      <c r="D3080" s="28" t="s">
        <v>7648</v>
      </c>
      <c r="E3080" s="29" t="s">
        <v>59</v>
      </c>
      <c r="F3080" s="30">
        <v>4</v>
      </c>
      <c r="G3080" s="172">
        <v>7.06</v>
      </c>
      <c r="H3080" s="31">
        <f t="shared" ref="H3080:H3088" si="171">+F3080*G3080</f>
        <v>28.24</v>
      </c>
      <c r="J3080" t="s">
        <v>2853</v>
      </c>
      <c r="K3080" s="188" t="s">
        <v>2853</v>
      </c>
    </row>
    <row r="3081" spans="2:11" x14ac:dyDescent="0.25">
      <c r="B3081" s="27" t="s">
        <v>7649</v>
      </c>
      <c r="D3081" s="28" t="s">
        <v>7650</v>
      </c>
      <c r="E3081" s="29" t="s">
        <v>59</v>
      </c>
      <c r="F3081" s="30">
        <v>4</v>
      </c>
      <c r="G3081" s="172">
        <v>10.61</v>
      </c>
      <c r="H3081" s="31">
        <f t="shared" si="171"/>
        <v>42.44</v>
      </c>
      <c r="J3081" t="s">
        <v>2853</v>
      </c>
      <c r="K3081" s="188" t="s">
        <v>2853</v>
      </c>
    </row>
    <row r="3082" spans="2:11" x14ac:dyDescent="0.25">
      <c r="B3082" s="27" t="s">
        <v>7651</v>
      </c>
      <c r="D3082" s="28" t="s">
        <v>7652</v>
      </c>
      <c r="E3082" s="29" t="s">
        <v>59</v>
      </c>
      <c r="F3082" s="30">
        <v>4</v>
      </c>
      <c r="G3082" s="172">
        <v>10.61</v>
      </c>
      <c r="H3082" s="31">
        <f t="shared" si="171"/>
        <v>42.44</v>
      </c>
      <c r="J3082" t="s">
        <v>2853</v>
      </c>
      <c r="K3082" s="188" t="s">
        <v>2853</v>
      </c>
    </row>
    <row r="3083" spans="2:11" x14ac:dyDescent="0.25">
      <c r="B3083" s="27" t="s">
        <v>7653</v>
      </c>
      <c r="D3083" s="28" t="s">
        <v>7654</v>
      </c>
      <c r="E3083" s="29" t="s">
        <v>59</v>
      </c>
      <c r="F3083" s="30">
        <v>1</v>
      </c>
      <c r="G3083" s="172">
        <v>107.09</v>
      </c>
      <c r="H3083" s="31">
        <f t="shared" si="171"/>
        <v>107.09</v>
      </c>
      <c r="J3083" t="s">
        <v>2853</v>
      </c>
      <c r="K3083" s="188" t="s">
        <v>2853</v>
      </c>
    </row>
    <row r="3084" spans="2:11" x14ac:dyDescent="0.25">
      <c r="B3084" s="27" t="s">
        <v>7655</v>
      </c>
      <c r="D3084" s="28" t="s">
        <v>7656</v>
      </c>
      <c r="E3084" s="29" t="s">
        <v>59</v>
      </c>
      <c r="F3084" s="30">
        <v>1</v>
      </c>
      <c r="G3084" s="172">
        <v>185.62</v>
      </c>
      <c r="H3084" s="31">
        <f t="shared" si="171"/>
        <v>185.62</v>
      </c>
      <c r="J3084" t="s">
        <v>2853</v>
      </c>
      <c r="K3084" s="188" t="s">
        <v>2853</v>
      </c>
    </row>
    <row r="3085" spans="2:11" x14ac:dyDescent="0.25">
      <c r="B3085" s="27" t="s">
        <v>7657</v>
      </c>
      <c r="D3085" s="28" t="s">
        <v>7658</v>
      </c>
      <c r="E3085" s="29" t="s">
        <v>59</v>
      </c>
      <c r="F3085" s="30">
        <v>1</v>
      </c>
      <c r="G3085" s="172">
        <v>249.86</v>
      </c>
      <c r="H3085" s="31">
        <f t="shared" si="171"/>
        <v>249.86</v>
      </c>
      <c r="J3085" t="s">
        <v>2853</v>
      </c>
      <c r="K3085" s="188" t="s">
        <v>2853</v>
      </c>
    </row>
    <row r="3086" spans="2:11" x14ac:dyDescent="0.25">
      <c r="B3086" s="27" t="s">
        <v>7659</v>
      </c>
      <c r="D3086" s="28" t="s">
        <v>7660</v>
      </c>
      <c r="E3086" s="29" t="s">
        <v>59</v>
      </c>
      <c r="F3086" s="30">
        <v>1</v>
      </c>
      <c r="G3086" s="172">
        <v>19.649999999999999</v>
      </c>
      <c r="H3086" s="31">
        <f t="shared" si="171"/>
        <v>19.649999999999999</v>
      </c>
      <c r="J3086" t="s">
        <v>2853</v>
      </c>
      <c r="K3086" s="188" t="s">
        <v>2853</v>
      </c>
    </row>
    <row r="3087" spans="2:11" x14ac:dyDescent="0.25">
      <c r="B3087" s="27" t="s">
        <v>7661</v>
      </c>
      <c r="D3087" s="34" t="s">
        <v>8261</v>
      </c>
      <c r="E3087" s="29" t="s">
        <v>59</v>
      </c>
      <c r="F3087" s="30">
        <v>50</v>
      </c>
      <c r="G3087" s="31">
        <v>0.89</v>
      </c>
      <c r="H3087" s="31">
        <f t="shared" si="171"/>
        <v>44.5</v>
      </c>
      <c r="J3087" t="s">
        <v>2853</v>
      </c>
      <c r="K3087" s="188" t="s">
        <v>2853</v>
      </c>
    </row>
    <row r="3088" spans="2:11" x14ac:dyDescent="0.25">
      <c r="B3088" s="27" t="s">
        <v>7662</v>
      </c>
      <c r="D3088" s="34" t="s">
        <v>8262</v>
      </c>
      <c r="E3088" s="29" t="s">
        <v>59</v>
      </c>
      <c r="F3088" s="30">
        <v>100</v>
      </c>
      <c r="G3088" s="31">
        <v>1.64</v>
      </c>
      <c r="H3088" s="31">
        <f t="shared" si="171"/>
        <v>164</v>
      </c>
      <c r="J3088" t="s">
        <v>2853</v>
      </c>
      <c r="K3088" s="188" t="s">
        <v>2853</v>
      </c>
    </row>
    <row r="3089" spans="2:11" x14ac:dyDescent="0.25">
      <c r="B3089" s="27"/>
      <c r="D3089" s="28"/>
      <c r="E3089" s="29"/>
      <c r="F3089" s="30"/>
      <c r="G3089" s="31"/>
      <c r="H3089" s="31"/>
      <c r="J3089" t="s">
        <v>2853</v>
      </c>
      <c r="K3089" s="188" t="s">
        <v>2853</v>
      </c>
    </row>
    <row r="3090" spans="2:11" ht="30" x14ac:dyDescent="0.4">
      <c r="B3090" s="171" t="s">
        <v>7963</v>
      </c>
      <c r="C3090" s="25"/>
      <c r="D3090" s="25"/>
      <c r="E3090" s="25"/>
      <c r="F3090" s="25"/>
      <c r="G3090" s="25"/>
      <c r="H3090" s="25"/>
      <c r="J3090" t="s">
        <v>2853</v>
      </c>
      <c r="K3090" s="188" t="s">
        <v>2853</v>
      </c>
    </row>
    <row r="3091" spans="2:11" x14ac:dyDescent="0.25">
      <c r="B3091" s="27"/>
      <c r="D3091" s="28"/>
      <c r="E3091" s="29"/>
      <c r="F3091" s="30"/>
      <c r="G3091" s="172"/>
      <c r="H3091" s="31"/>
      <c r="J3091" t="s">
        <v>2853</v>
      </c>
      <c r="K3091" s="188" t="s">
        <v>2853</v>
      </c>
    </row>
    <row r="3092" spans="2:11" x14ac:dyDescent="0.25">
      <c r="B3092" s="27" t="s">
        <v>7666</v>
      </c>
      <c r="D3092" s="28" t="s">
        <v>7667</v>
      </c>
      <c r="E3092" s="29" t="s">
        <v>59</v>
      </c>
      <c r="F3092" s="30">
        <v>25</v>
      </c>
      <c r="G3092" s="172">
        <v>2.52</v>
      </c>
      <c r="H3092" s="31">
        <f t="shared" ref="H3092:H3115" si="172">+F3092*G3092</f>
        <v>63</v>
      </c>
      <c r="J3092" t="s">
        <v>2853</v>
      </c>
      <c r="K3092" s="188" t="s">
        <v>2853</v>
      </c>
    </row>
    <row r="3093" spans="2:11" x14ac:dyDescent="0.25">
      <c r="B3093" s="27" t="s">
        <v>7668</v>
      </c>
      <c r="D3093" s="28" t="s">
        <v>7669</v>
      </c>
      <c r="E3093" s="29" t="s">
        <v>19</v>
      </c>
      <c r="F3093" s="30">
        <v>25</v>
      </c>
      <c r="G3093" s="172">
        <v>2.2999999999999998</v>
      </c>
      <c r="H3093" s="31">
        <f t="shared" si="172"/>
        <v>57.499999999999993</v>
      </c>
      <c r="J3093" t="s">
        <v>2853</v>
      </c>
      <c r="K3093" s="188" t="s">
        <v>2853</v>
      </c>
    </row>
    <row r="3094" spans="2:11" x14ac:dyDescent="0.25">
      <c r="B3094" s="27" t="s">
        <v>7670</v>
      </c>
      <c r="D3094" s="28" t="s">
        <v>7671</v>
      </c>
      <c r="E3094" s="29" t="s">
        <v>21</v>
      </c>
      <c r="F3094" s="30">
        <v>25</v>
      </c>
      <c r="G3094" s="172">
        <v>2.52</v>
      </c>
      <c r="H3094" s="31">
        <f t="shared" si="172"/>
        <v>63</v>
      </c>
      <c r="J3094" t="s">
        <v>2853</v>
      </c>
      <c r="K3094" s="188" t="s">
        <v>2853</v>
      </c>
    </row>
    <row r="3095" spans="2:11" x14ac:dyDescent="0.25">
      <c r="B3095" s="27" t="s">
        <v>7672</v>
      </c>
      <c r="D3095" s="28" t="s">
        <v>7673</v>
      </c>
      <c r="E3095" s="29" t="s">
        <v>563</v>
      </c>
      <c r="F3095" s="30">
        <v>25</v>
      </c>
      <c r="G3095" s="172">
        <v>2.97</v>
      </c>
      <c r="H3095" s="31">
        <f t="shared" si="172"/>
        <v>74.25</v>
      </c>
      <c r="J3095" t="s">
        <v>2853</v>
      </c>
      <c r="K3095" s="188" t="s">
        <v>2853</v>
      </c>
    </row>
    <row r="3096" spans="2:11" x14ac:dyDescent="0.25">
      <c r="B3096" s="27" t="s">
        <v>7674</v>
      </c>
      <c r="D3096" s="28" t="s">
        <v>7675</v>
      </c>
      <c r="E3096" s="29" t="s">
        <v>4633</v>
      </c>
      <c r="F3096" s="30">
        <v>25</v>
      </c>
      <c r="G3096" s="172">
        <v>2.52</v>
      </c>
      <c r="H3096" s="31">
        <f t="shared" si="172"/>
        <v>63</v>
      </c>
      <c r="J3096" t="s">
        <v>2853</v>
      </c>
      <c r="K3096" s="188" t="s">
        <v>2853</v>
      </c>
    </row>
    <row r="3097" spans="2:11" x14ac:dyDescent="0.25">
      <c r="B3097" s="27" t="s">
        <v>7676</v>
      </c>
      <c r="D3097" s="28" t="s">
        <v>7677</v>
      </c>
      <c r="E3097" s="29" t="s">
        <v>671</v>
      </c>
      <c r="F3097" s="30">
        <v>25</v>
      </c>
      <c r="G3097" s="172">
        <v>2.97</v>
      </c>
      <c r="H3097" s="31">
        <f t="shared" si="172"/>
        <v>74.25</v>
      </c>
      <c r="J3097" t="s">
        <v>2853</v>
      </c>
      <c r="K3097" s="188" t="s">
        <v>2853</v>
      </c>
    </row>
    <row r="3098" spans="2:11" x14ac:dyDescent="0.25">
      <c r="B3098" s="27" t="s">
        <v>7678</v>
      </c>
      <c r="D3098" s="28" t="s">
        <v>7679</v>
      </c>
      <c r="E3098" s="29" t="s">
        <v>19</v>
      </c>
      <c r="F3098" s="30">
        <v>20</v>
      </c>
      <c r="G3098" s="172">
        <v>5.0199999999999996</v>
      </c>
      <c r="H3098" s="31">
        <f t="shared" si="172"/>
        <v>100.39999999999999</v>
      </c>
      <c r="J3098" t="s">
        <v>2853</v>
      </c>
      <c r="K3098" s="188" t="s">
        <v>2853</v>
      </c>
    </row>
    <row r="3099" spans="2:11" x14ac:dyDescent="0.25">
      <c r="B3099" s="27" t="s">
        <v>7680</v>
      </c>
      <c r="D3099" s="28" t="s">
        <v>7681</v>
      </c>
      <c r="E3099" s="29" t="s">
        <v>21</v>
      </c>
      <c r="F3099" s="30">
        <v>20</v>
      </c>
      <c r="G3099" s="172">
        <v>5.51</v>
      </c>
      <c r="H3099" s="31">
        <f t="shared" si="172"/>
        <v>110.19999999999999</v>
      </c>
      <c r="J3099" t="s">
        <v>2853</v>
      </c>
      <c r="K3099" s="188" t="s">
        <v>2853</v>
      </c>
    </row>
    <row r="3100" spans="2:11" x14ac:dyDescent="0.25">
      <c r="B3100" s="27" t="s">
        <v>7682</v>
      </c>
      <c r="D3100" s="28" t="s">
        <v>7683</v>
      </c>
      <c r="E3100" s="29" t="s">
        <v>563</v>
      </c>
      <c r="F3100" s="30">
        <v>20</v>
      </c>
      <c r="G3100" s="172">
        <v>6.63</v>
      </c>
      <c r="H3100" s="31">
        <f t="shared" si="172"/>
        <v>132.6</v>
      </c>
      <c r="J3100" t="s">
        <v>2853</v>
      </c>
      <c r="K3100" s="188" t="s">
        <v>2853</v>
      </c>
    </row>
    <row r="3101" spans="2:11" x14ac:dyDescent="0.25">
      <c r="B3101" s="27" t="s">
        <v>7684</v>
      </c>
      <c r="D3101" s="28" t="s">
        <v>7685</v>
      </c>
      <c r="E3101" s="29" t="s">
        <v>4633</v>
      </c>
      <c r="F3101" s="30">
        <v>20</v>
      </c>
      <c r="G3101" s="172">
        <v>5.51</v>
      </c>
      <c r="H3101" s="31">
        <f t="shared" si="172"/>
        <v>110.19999999999999</v>
      </c>
      <c r="J3101" t="s">
        <v>2853</v>
      </c>
      <c r="K3101" s="188" t="s">
        <v>2853</v>
      </c>
    </row>
    <row r="3102" spans="2:11" x14ac:dyDescent="0.25">
      <c r="B3102" s="27" t="s">
        <v>7686</v>
      </c>
      <c r="D3102" s="28" t="s">
        <v>7687</v>
      </c>
      <c r="E3102" s="29" t="s">
        <v>59</v>
      </c>
      <c r="F3102" s="30">
        <v>20</v>
      </c>
      <c r="G3102" s="172">
        <v>5.51</v>
      </c>
      <c r="H3102" s="31">
        <f t="shared" si="172"/>
        <v>110.19999999999999</v>
      </c>
      <c r="J3102" t="s">
        <v>2853</v>
      </c>
      <c r="K3102" s="188" t="s">
        <v>2853</v>
      </c>
    </row>
    <row r="3103" spans="2:11" x14ac:dyDescent="0.25">
      <c r="B3103" s="27" t="s">
        <v>7688</v>
      </c>
      <c r="D3103" s="28" t="s">
        <v>7689</v>
      </c>
      <c r="E3103" s="29" t="s">
        <v>671</v>
      </c>
      <c r="F3103" s="30">
        <v>20</v>
      </c>
      <c r="G3103" s="172">
        <v>6.63</v>
      </c>
      <c r="H3103" s="31">
        <f t="shared" si="172"/>
        <v>132.6</v>
      </c>
      <c r="J3103" t="s">
        <v>2853</v>
      </c>
      <c r="K3103" s="188" t="s">
        <v>2853</v>
      </c>
    </row>
    <row r="3104" spans="2:11" x14ac:dyDescent="0.25">
      <c r="B3104" s="27" t="s">
        <v>7690</v>
      </c>
      <c r="D3104" s="28" t="s">
        <v>7691</v>
      </c>
      <c r="E3104" s="29" t="s">
        <v>19</v>
      </c>
      <c r="F3104" s="30">
        <v>20</v>
      </c>
      <c r="G3104" s="172">
        <v>10.84</v>
      </c>
      <c r="H3104" s="31">
        <f t="shared" si="172"/>
        <v>216.8</v>
      </c>
      <c r="J3104" t="s">
        <v>2853</v>
      </c>
      <c r="K3104" s="188" t="s">
        <v>2853</v>
      </c>
    </row>
    <row r="3105" spans="2:11" x14ac:dyDescent="0.25">
      <c r="B3105" s="27" t="s">
        <v>7692</v>
      </c>
      <c r="D3105" s="28" t="s">
        <v>7693</v>
      </c>
      <c r="E3105" s="29" t="s">
        <v>21</v>
      </c>
      <c r="F3105" s="30">
        <v>20</v>
      </c>
      <c r="G3105" s="172">
        <v>11.97</v>
      </c>
      <c r="H3105" s="31">
        <f t="shared" si="172"/>
        <v>239.4</v>
      </c>
      <c r="J3105" t="s">
        <v>2853</v>
      </c>
      <c r="K3105" s="188" t="s">
        <v>2853</v>
      </c>
    </row>
    <row r="3106" spans="2:11" x14ac:dyDescent="0.25">
      <c r="B3106" s="27" t="s">
        <v>7694</v>
      </c>
      <c r="D3106" s="28" t="s">
        <v>7695</v>
      </c>
      <c r="E3106" s="29" t="s">
        <v>563</v>
      </c>
      <c r="F3106" s="30">
        <v>20</v>
      </c>
      <c r="G3106" s="172">
        <v>14.03</v>
      </c>
      <c r="H3106" s="31">
        <f t="shared" si="172"/>
        <v>280.59999999999997</v>
      </c>
      <c r="J3106" t="s">
        <v>2853</v>
      </c>
      <c r="K3106" s="188" t="s">
        <v>2853</v>
      </c>
    </row>
    <row r="3107" spans="2:11" x14ac:dyDescent="0.25">
      <c r="B3107" s="27" t="s">
        <v>7696</v>
      </c>
      <c r="D3107" s="28" t="s">
        <v>7697</v>
      </c>
      <c r="E3107" s="29" t="s">
        <v>4633</v>
      </c>
      <c r="F3107" s="30">
        <v>20</v>
      </c>
      <c r="G3107" s="172">
        <v>11.97</v>
      </c>
      <c r="H3107" s="31">
        <f t="shared" si="172"/>
        <v>239.4</v>
      </c>
      <c r="J3107" t="s">
        <v>2853</v>
      </c>
      <c r="K3107" s="188" t="s">
        <v>2853</v>
      </c>
    </row>
    <row r="3108" spans="2:11" x14ac:dyDescent="0.25">
      <c r="B3108" s="27" t="s">
        <v>7698</v>
      </c>
      <c r="D3108" s="28" t="s">
        <v>7699</v>
      </c>
      <c r="E3108" s="29" t="s">
        <v>59</v>
      </c>
      <c r="F3108" s="30">
        <v>20</v>
      </c>
      <c r="G3108" s="172">
        <v>11.97</v>
      </c>
      <c r="H3108" s="31">
        <f t="shared" si="172"/>
        <v>239.4</v>
      </c>
      <c r="J3108" t="s">
        <v>2853</v>
      </c>
      <c r="K3108" s="188" t="s">
        <v>2853</v>
      </c>
    </row>
    <row r="3109" spans="2:11" x14ac:dyDescent="0.25">
      <c r="B3109" s="27" t="s">
        <v>7700</v>
      </c>
      <c r="D3109" s="28" t="s">
        <v>7701</v>
      </c>
      <c r="E3109" s="29" t="s">
        <v>671</v>
      </c>
      <c r="F3109" s="30">
        <v>20</v>
      </c>
      <c r="G3109" s="172">
        <v>14.03</v>
      </c>
      <c r="H3109" s="31">
        <f t="shared" si="172"/>
        <v>280.59999999999997</v>
      </c>
      <c r="J3109" t="s">
        <v>2853</v>
      </c>
      <c r="K3109" s="188" t="s">
        <v>2853</v>
      </c>
    </row>
    <row r="3110" spans="2:11" x14ac:dyDescent="0.25">
      <c r="B3110" s="27" t="s">
        <v>7702</v>
      </c>
      <c r="D3110" s="28" t="s">
        <v>7703</v>
      </c>
      <c r="E3110" s="29" t="s">
        <v>19</v>
      </c>
      <c r="F3110" s="30">
        <v>20</v>
      </c>
      <c r="G3110" s="172">
        <v>14.91</v>
      </c>
      <c r="H3110" s="31">
        <f t="shared" si="172"/>
        <v>298.2</v>
      </c>
      <c r="J3110" t="s">
        <v>2853</v>
      </c>
      <c r="K3110" s="188" t="s">
        <v>2853</v>
      </c>
    </row>
    <row r="3111" spans="2:11" x14ac:dyDescent="0.25">
      <c r="B3111" s="27" t="s">
        <v>7704</v>
      </c>
      <c r="D3111" s="28" t="s">
        <v>7705</v>
      </c>
      <c r="E3111" s="29" t="s">
        <v>21</v>
      </c>
      <c r="F3111" s="30">
        <v>20</v>
      </c>
      <c r="G3111" s="172">
        <v>16.46</v>
      </c>
      <c r="H3111" s="31">
        <f t="shared" si="172"/>
        <v>329.20000000000005</v>
      </c>
      <c r="J3111" t="s">
        <v>2853</v>
      </c>
      <c r="K3111" s="188" t="s">
        <v>2853</v>
      </c>
    </row>
    <row r="3112" spans="2:11" x14ac:dyDescent="0.25">
      <c r="B3112" s="27" t="s">
        <v>7706</v>
      </c>
      <c r="D3112" s="28" t="s">
        <v>7707</v>
      </c>
      <c r="E3112" s="29" t="s">
        <v>563</v>
      </c>
      <c r="F3112" s="30">
        <v>20</v>
      </c>
      <c r="G3112" s="172">
        <v>19.29</v>
      </c>
      <c r="H3112" s="31">
        <f t="shared" si="172"/>
        <v>385.79999999999995</v>
      </c>
      <c r="J3112" t="s">
        <v>2853</v>
      </c>
      <c r="K3112" s="188" t="s">
        <v>2853</v>
      </c>
    </row>
    <row r="3113" spans="2:11" x14ac:dyDescent="0.25">
      <c r="B3113" s="27" t="s">
        <v>7708</v>
      </c>
      <c r="D3113" s="28" t="s">
        <v>7709</v>
      </c>
      <c r="E3113" s="29" t="s">
        <v>4633</v>
      </c>
      <c r="F3113" s="30">
        <v>20</v>
      </c>
      <c r="G3113" s="172">
        <v>16.46</v>
      </c>
      <c r="H3113" s="31">
        <f t="shared" si="172"/>
        <v>329.20000000000005</v>
      </c>
      <c r="J3113" t="s">
        <v>2853</v>
      </c>
      <c r="K3113" s="188" t="s">
        <v>2853</v>
      </c>
    </row>
    <row r="3114" spans="2:11" x14ac:dyDescent="0.25">
      <c r="B3114" s="27" t="s">
        <v>7710</v>
      </c>
      <c r="D3114" s="28" t="s">
        <v>7711</v>
      </c>
      <c r="E3114" s="29" t="s">
        <v>59</v>
      </c>
      <c r="F3114" s="30">
        <v>20</v>
      </c>
      <c r="G3114" s="172">
        <v>16.46</v>
      </c>
      <c r="H3114" s="31">
        <f t="shared" si="172"/>
        <v>329.20000000000005</v>
      </c>
      <c r="J3114" t="s">
        <v>2853</v>
      </c>
      <c r="K3114" s="188" t="s">
        <v>2853</v>
      </c>
    </row>
    <row r="3115" spans="2:11" x14ac:dyDescent="0.25">
      <c r="B3115" s="27" t="s">
        <v>7712</v>
      </c>
      <c r="D3115" s="28" t="s">
        <v>7713</v>
      </c>
      <c r="E3115" s="29" t="s">
        <v>671</v>
      </c>
      <c r="F3115" s="30">
        <v>20</v>
      </c>
      <c r="G3115" s="172">
        <v>19.29</v>
      </c>
      <c r="H3115" s="31">
        <f t="shared" si="172"/>
        <v>385.79999999999995</v>
      </c>
      <c r="J3115" t="s">
        <v>2853</v>
      </c>
      <c r="K3115" s="188" t="s">
        <v>2853</v>
      </c>
    </row>
    <row r="3116" spans="2:11" x14ac:dyDescent="0.25">
      <c r="B3116" s="27"/>
      <c r="D3116" s="28"/>
      <c r="E3116" s="29"/>
      <c r="F3116" s="30"/>
      <c r="G3116" s="31"/>
      <c r="H3116" s="31"/>
      <c r="J3116" t="s">
        <v>2853</v>
      </c>
      <c r="K3116" s="188" t="s">
        <v>2853</v>
      </c>
    </row>
    <row r="3117" spans="2:11" ht="30" x14ac:dyDescent="0.4">
      <c r="B3117" s="171" t="s">
        <v>7964</v>
      </c>
      <c r="C3117" s="25"/>
      <c r="D3117" s="25"/>
      <c r="E3117" s="25"/>
      <c r="F3117" s="25"/>
      <c r="G3117" s="25"/>
      <c r="H3117" s="25"/>
      <c r="J3117" t="s">
        <v>2853</v>
      </c>
      <c r="K3117" s="188" t="s">
        <v>2853</v>
      </c>
    </row>
    <row r="3118" spans="2:11" ht="15" x14ac:dyDescent="0.25">
      <c r="J3118" t="s">
        <v>2853</v>
      </c>
      <c r="K3118" s="188" t="s">
        <v>2853</v>
      </c>
    </row>
    <row r="3119" spans="2:11" x14ac:dyDescent="0.25">
      <c r="B3119" s="27" t="s">
        <v>7965</v>
      </c>
      <c r="D3119" s="28" t="s">
        <v>7966</v>
      </c>
      <c r="E3119" s="29" t="s">
        <v>1699</v>
      </c>
      <c r="F3119" s="30">
        <v>1</v>
      </c>
      <c r="G3119" s="31">
        <v>15.5</v>
      </c>
      <c r="H3119" s="31">
        <f t="shared" ref="H3119:H3121" si="173">+F3119*G3119</f>
        <v>15.5</v>
      </c>
      <c r="J3119" t="s">
        <v>2853</v>
      </c>
      <c r="K3119" s="188" t="s">
        <v>2853</v>
      </c>
    </row>
    <row r="3120" spans="2:11" x14ac:dyDescent="0.25">
      <c r="B3120" s="27" t="s">
        <v>7967</v>
      </c>
      <c r="D3120" s="28" t="s">
        <v>7966</v>
      </c>
      <c r="E3120" s="29" t="s">
        <v>1701</v>
      </c>
      <c r="F3120" s="30">
        <v>1</v>
      </c>
      <c r="G3120" s="31">
        <v>15.5</v>
      </c>
      <c r="H3120" s="31">
        <f t="shared" si="173"/>
        <v>15.5</v>
      </c>
      <c r="J3120" t="s">
        <v>2853</v>
      </c>
      <c r="K3120" s="188" t="s">
        <v>2853</v>
      </c>
    </row>
    <row r="3121" spans="2:11" x14ac:dyDescent="0.25">
      <c r="B3121" s="27" t="s">
        <v>7968</v>
      </c>
      <c r="D3121" s="28" t="s">
        <v>7966</v>
      </c>
      <c r="E3121" s="29" t="s">
        <v>1703</v>
      </c>
      <c r="F3121" s="30">
        <v>1</v>
      </c>
      <c r="G3121" s="31">
        <v>15.5</v>
      </c>
      <c r="H3121" s="31">
        <f t="shared" si="173"/>
        <v>15.5</v>
      </c>
      <c r="J3121" t="s">
        <v>2853</v>
      </c>
      <c r="K3121" s="188" t="s">
        <v>2853</v>
      </c>
    </row>
    <row r="3122" spans="2:11" x14ac:dyDescent="0.25">
      <c r="B3122" s="27"/>
      <c r="D3122" s="28"/>
      <c r="E3122" s="29"/>
      <c r="F3122" s="30"/>
      <c r="G3122" s="31"/>
      <c r="H3122" s="31"/>
      <c r="J3122" t="s">
        <v>2853</v>
      </c>
      <c r="K3122" s="188" t="s">
        <v>2853</v>
      </c>
    </row>
    <row r="3123" spans="2:11" ht="30" x14ac:dyDescent="0.4">
      <c r="B3123" s="171" t="s">
        <v>7969</v>
      </c>
      <c r="C3123" s="25"/>
      <c r="D3123" s="25"/>
      <c r="E3123" s="25"/>
      <c r="F3123" s="25"/>
      <c r="G3123" s="25"/>
      <c r="H3123" s="25"/>
      <c r="J3123" t="s">
        <v>2853</v>
      </c>
      <c r="K3123" s="188" t="s">
        <v>2853</v>
      </c>
    </row>
    <row r="3124" spans="2:11" x14ac:dyDescent="0.25">
      <c r="B3124" s="27" t="s">
        <v>7970</v>
      </c>
      <c r="D3124" s="28" t="s">
        <v>7971</v>
      </c>
      <c r="E3124" s="29" t="s">
        <v>1701</v>
      </c>
      <c r="F3124" s="30">
        <v>3</v>
      </c>
      <c r="G3124" s="31">
        <v>22.85</v>
      </c>
      <c r="H3124" s="31">
        <f t="shared" ref="H3124:H3132" si="174">+F3124*G3124</f>
        <v>68.550000000000011</v>
      </c>
      <c r="J3124" t="s">
        <v>2853</v>
      </c>
      <c r="K3124" s="188" t="s">
        <v>2853</v>
      </c>
    </row>
    <row r="3125" spans="2:11" x14ac:dyDescent="0.25">
      <c r="B3125" s="27" t="s">
        <v>7972</v>
      </c>
      <c r="D3125" s="28" t="s">
        <v>7973</v>
      </c>
      <c r="E3125" s="29" t="s">
        <v>1699</v>
      </c>
      <c r="F3125" s="30">
        <v>3</v>
      </c>
      <c r="G3125" s="31">
        <v>22.85</v>
      </c>
      <c r="H3125" s="31">
        <f t="shared" si="174"/>
        <v>68.550000000000011</v>
      </c>
      <c r="I3125" s="137"/>
      <c r="J3125" t="s">
        <v>2853</v>
      </c>
      <c r="K3125" s="188" t="s">
        <v>2853</v>
      </c>
    </row>
    <row r="3126" spans="2:11" x14ac:dyDescent="0.25">
      <c r="B3126" s="27" t="s">
        <v>7974</v>
      </c>
      <c r="D3126" s="28" t="s">
        <v>7975</v>
      </c>
      <c r="E3126" s="29" t="s">
        <v>1703</v>
      </c>
      <c r="F3126" s="30">
        <v>3</v>
      </c>
      <c r="G3126" s="31">
        <v>22.85</v>
      </c>
      <c r="H3126" s="31">
        <f t="shared" si="174"/>
        <v>68.550000000000011</v>
      </c>
      <c r="J3126" t="s">
        <v>2853</v>
      </c>
      <c r="K3126" s="188" t="s">
        <v>2853</v>
      </c>
    </row>
    <row r="3127" spans="2:11" x14ac:dyDescent="0.25">
      <c r="B3127" s="27" t="s">
        <v>7976</v>
      </c>
      <c r="D3127" s="28" t="s">
        <v>7977</v>
      </c>
      <c r="E3127" s="29" t="s">
        <v>59</v>
      </c>
      <c r="F3127" s="30">
        <v>6</v>
      </c>
      <c r="G3127" s="31">
        <v>4.8</v>
      </c>
      <c r="H3127" s="31">
        <f t="shared" si="174"/>
        <v>28.799999999999997</v>
      </c>
      <c r="J3127" t="s">
        <v>2853</v>
      </c>
      <c r="K3127" s="188" t="s">
        <v>2853</v>
      </c>
    </row>
    <row r="3128" spans="2:11" x14ac:dyDescent="0.25">
      <c r="B3128" s="27" t="s">
        <v>7978</v>
      </c>
      <c r="D3128" s="28" t="s">
        <v>7979</v>
      </c>
      <c r="E3128" s="29" t="s">
        <v>19</v>
      </c>
      <c r="F3128" s="30">
        <v>6</v>
      </c>
      <c r="G3128" s="31">
        <v>4.8</v>
      </c>
      <c r="H3128" s="31">
        <f t="shared" si="174"/>
        <v>28.799999999999997</v>
      </c>
      <c r="J3128" t="s">
        <v>2853</v>
      </c>
      <c r="K3128" s="188" t="s">
        <v>2853</v>
      </c>
    </row>
    <row r="3129" spans="2:11" x14ac:dyDescent="0.25">
      <c r="B3129" s="27" t="s">
        <v>7980</v>
      </c>
      <c r="D3129" s="28" t="s">
        <v>7981</v>
      </c>
      <c r="E3129" s="29" t="s">
        <v>21</v>
      </c>
      <c r="F3129" s="30">
        <v>6</v>
      </c>
      <c r="G3129" s="31">
        <v>4.8</v>
      </c>
      <c r="H3129" s="31">
        <f t="shared" si="174"/>
        <v>28.799999999999997</v>
      </c>
      <c r="J3129" t="s">
        <v>2853</v>
      </c>
      <c r="K3129" s="188" t="s">
        <v>2853</v>
      </c>
    </row>
    <row r="3130" spans="2:11" x14ac:dyDescent="0.25">
      <c r="B3130" s="27" t="s">
        <v>7982</v>
      </c>
      <c r="D3130" s="28" t="s">
        <v>7983</v>
      </c>
      <c r="E3130" s="29" t="s">
        <v>563</v>
      </c>
      <c r="F3130" s="30">
        <v>6</v>
      </c>
      <c r="G3130" s="31">
        <v>4.8</v>
      </c>
      <c r="H3130" s="31">
        <f t="shared" si="174"/>
        <v>28.799999999999997</v>
      </c>
      <c r="J3130" t="s">
        <v>2853</v>
      </c>
      <c r="K3130" s="188" t="s">
        <v>2853</v>
      </c>
    </row>
    <row r="3131" spans="2:11" x14ac:dyDescent="0.25">
      <c r="B3131" s="27" t="s">
        <v>7984</v>
      </c>
      <c r="D3131" s="28" t="s">
        <v>7985</v>
      </c>
      <c r="E3131" s="29" t="s">
        <v>4633</v>
      </c>
      <c r="F3131" s="30">
        <v>6</v>
      </c>
      <c r="G3131" s="31">
        <v>4.8</v>
      </c>
      <c r="H3131" s="31">
        <f t="shared" si="174"/>
        <v>28.799999999999997</v>
      </c>
      <c r="J3131" t="s">
        <v>2853</v>
      </c>
      <c r="K3131" s="188" t="s">
        <v>2853</v>
      </c>
    </row>
    <row r="3132" spans="2:11" x14ac:dyDescent="0.25">
      <c r="B3132" s="27" t="s">
        <v>7986</v>
      </c>
      <c r="D3132" s="28" t="s">
        <v>7987</v>
      </c>
      <c r="E3132" s="29" t="s">
        <v>671</v>
      </c>
      <c r="F3132" s="30">
        <v>6</v>
      </c>
      <c r="G3132" s="31">
        <v>4.8</v>
      </c>
      <c r="H3132" s="31">
        <f t="shared" si="174"/>
        <v>28.799999999999997</v>
      </c>
      <c r="J3132" t="s">
        <v>2853</v>
      </c>
      <c r="K3132" s="188" t="s">
        <v>2853</v>
      </c>
    </row>
    <row r="3133" spans="2:11" x14ac:dyDescent="0.25">
      <c r="B3133" s="27" t="s">
        <v>7988</v>
      </c>
      <c r="D3133" s="28" t="s">
        <v>7989</v>
      </c>
      <c r="E3133" s="29" t="s">
        <v>405</v>
      </c>
      <c r="F3133" s="30">
        <v>1</v>
      </c>
      <c r="G3133" s="31">
        <v>35.35</v>
      </c>
      <c r="H3133" s="31">
        <f>+F3133*G3133</f>
        <v>35.35</v>
      </c>
      <c r="J3133" t="s">
        <v>2853</v>
      </c>
      <c r="K3133" s="188" t="s">
        <v>2853</v>
      </c>
    </row>
    <row r="3134" spans="2:11" x14ac:dyDescent="0.25">
      <c r="B3134" s="27"/>
      <c r="D3134" s="28"/>
      <c r="E3134" s="29"/>
      <c r="F3134" s="30"/>
      <c r="G3134" s="31"/>
      <c r="H3134" s="31"/>
      <c r="J3134" t="s">
        <v>2853</v>
      </c>
      <c r="K3134" s="188" t="s">
        <v>2853</v>
      </c>
    </row>
    <row r="3135" spans="2:11" ht="30" x14ac:dyDescent="0.4">
      <c r="B3135" s="171" t="s">
        <v>7990</v>
      </c>
      <c r="C3135" s="25"/>
      <c r="D3135" s="25"/>
      <c r="E3135" s="25"/>
      <c r="F3135" s="25"/>
      <c r="G3135" s="25"/>
      <c r="H3135" s="25"/>
      <c r="J3135" t="s">
        <v>2853</v>
      </c>
      <c r="K3135" s="188" t="s">
        <v>2853</v>
      </c>
    </row>
    <row r="3136" spans="2:11" x14ac:dyDescent="0.25">
      <c r="B3136" s="27" t="s">
        <v>7991</v>
      </c>
      <c r="D3136" s="28" t="s">
        <v>7992</v>
      </c>
      <c r="E3136" s="29" t="s">
        <v>59</v>
      </c>
      <c r="F3136" s="30">
        <v>1</v>
      </c>
      <c r="G3136" s="31">
        <v>88.71</v>
      </c>
      <c r="H3136" s="31">
        <f t="shared" ref="H3136:H3140" si="175">+F3136*G3136</f>
        <v>88.71</v>
      </c>
      <c r="J3136" t="s">
        <v>2853</v>
      </c>
      <c r="K3136" s="188" t="s">
        <v>2853</v>
      </c>
    </row>
    <row r="3137" spans="2:11" x14ac:dyDescent="0.25">
      <c r="B3137" s="27" t="s">
        <v>7993</v>
      </c>
      <c r="D3137" s="28" t="s">
        <v>7994</v>
      </c>
      <c r="E3137" s="29" t="s">
        <v>21</v>
      </c>
      <c r="F3137" s="30">
        <v>1</v>
      </c>
      <c r="G3137" s="31">
        <v>88.71</v>
      </c>
      <c r="H3137" s="31">
        <f t="shared" si="175"/>
        <v>88.71</v>
      </c>
      <c r="J3137" t="s">
        <v>2853</v>
      </c>
      <c r="K3137" s="188" t="s">
        <v>2853</v>
      </c>
    </row>
    <row r="3138" spans="2:11" x14ac:dyDescent="0.25">
      <c r="B3138" s="27" t="s">
        <v>7995</v>
      </c>
      <c r="D3138" s="28" t="s">
        <v>7996</v>
      </c>
      <c r="E3138" s="29" t="s">
        <v>563</v>
      </c>
      <c r="F3138" s="30">
        <v>1</v>
      </c>
      <c r="G3138" s="31">
        <v>88.71</v>
      </c>
      <c r="H3138" s="31">
        <f t="shared" si="175"/>
        <v>88.71</v>
      </c>
      <c r="J3138" t="s">
        <v>2853</v>
      </c>
      <c r="K3138" s="188" t="s">
        <v>2853</v>
      </c>
    </row>
    <row r="3139" spans="2:11" x14ac:dyDescent="0.25">
      <c r="B3139" s="27" t="s">
        <v>7997</v>
      </c>
      <c r="D3139" s="28" t="s">
        <v>7998</v>
      </c>
      <c r="E3139" s="29" t="s">
        <v>4633</v>
      </c>
      <c r="F3139" s="30">
        <v>1</v>
      </c>
      <c r="G3139" s="31">
        <v>88.71</v>
      </c>
      <c r="H3139" s="31">
        <f t="shared" si="175"/>
        <v>88.71</v>
      </c>
      <c r="J3139" t="s">
        <v>2853</v>
      </c>
      <c r="K3139" s="188" t="s">
        <v>2853</v>
      </c>
    </row>
    <row r="3140" spans="2:11" x14ac:dyDescent="0.25">
      <c r="B3140" s="27" t="s">
        <v>7999</v>
      </c>
      <c r="D3140" s="28" t="s">
        <v>8000</v>
      </c>
      <c r="E3140" s="29" t="s">
        <v>671</v>
      </c>
      <c r="F3140" s="30">
        <v>1</v>
      </c>
      <c r="G3140" s="31">
        <v>88.71</v>
      </c>
      <c r="H3140" s="31">
        <f t="shared" si="175"/>
        <v>88.71</v>
      </c>
      <c r="J3140" t="s">
        <v>2853</v>
      </c>
      <c r="K3140" s="188" t="s">
        <v>2853</v>
      </c>
    </row>
    <row r="3141" spans="2:11" x14ac:dyDescent="0.25">
      <c r="B3141" s="27"/>
      <c r="D3141" s="28"/>
      <c r="E3141" s="29"/>
      <c r="F3141" s="30"/>
      <c r="G3141" s="31"/>
      <c r="H3141" s="31"/>
      <c r="J3141" t="s">
        <v>2853</v>
      </c>
      <c r="K3141" s="188" t="s">
        <v>2853</v>
      </c>
    </row>
    <row r="3142" spans="2:11" ht="30" x14ac:dyDescent="0.4">
      <c r="B3142" s="171" t="s">
        <v>8001</v>
      </c>
      <c r="C3142" s="25"/>
      <c r="D3142" s="25"/>
      <c r="E3142" s="25"/>
      <c r="F3142" s="25"/>
      <c r="G3142" s="25"/>
      <c r="H3142" s="25"/>
      <c r="J3142" t="s">
        <v>2853</v>
      </c>
      <c r="K3142" s="188" t="s">
        <v>2853</v>
      </c>
    </row>
    <row r="3143" spans="2:11" x14ac:dyDescent="0.25">
      <c r="B3143" s="27" t="s">
        <v>8002</v>
      </c>
      <c r="D3143" s="28" t="s">
        <v>8003</v>
      </c>
      <c r="E3143" s="29" t="s">
        <v>21</v>
      </c>
      <c r="F3143" s="30">
        <v>1</v>
      </c>
      <c r="G3143" s="31">
        <v>40</v>
      </c>
      <c r="H3143" s="31">
        <f t="shared" ref="H3143:H3147" si="176">+F3143*G3143</f>
        <v>40</v>
      </c>
      <c r="J3143" t="s">
        <v>2853</v>
      </c>
      <c r="K3143" s="188" t="s">
        <v>2853</v>
      </c>
    </row>
    <row r="3144" spans="2:11" x14ac:dyDescent="0.25">
      <c r="B3144" s="27" t="s">
        <v>8004</v>
      </c>
      <c r="D3144" s="28" t="s">
        <v>8005</v>
      </c>
      <c r="E3144" s="29" t="s">
        <v>671</v>
      </c>
      <c r="F3144" s="30">
        <v>1</v>
      </c>
      <c r="G3144" s="31">
        <v>40</v>
      </c>
      <c r="H3144" s="31">
        <f t="shared" si="176"/>
        <v>40</v>
      </c>
      <c r="J3144" t="s">
        <v>2853</v>
      </c>
      <c r="K3144" s="188" t="s">
        <v>2853</v>
      </c>
    </row>
    <row r="3145" spans="2:11" x14ac:dyDescent="0.25">
      <c r="B3145" s="27" t="s">
        <v>8006</v>
      </c>
      <c r="D3145" s="28" t="s">
        <v>8007</v>
      </c>
      <c r="E3145" s="29" t="s">
        <v>4633</v>
      </c>
      <c r="F3145" s="30">
        <v>1</v>
      </c>
      <c r="G3145" s="31">
        <v>40</v>
      </c>
      <c r="H3145" s="31">
        <f t="shared" si="176"/>
        <v>40</v>
      </c>
      <c r="J3145" t="s">
        <v>2853</v>
      </c>
      <c r="K3145" s="188" t="s">
        <v>2853</v>
      </c>
    </row>
    <row r="3146" spans="2:11" x14ac:dyDescent="0.25">
      <c r="B3146" s="27" t="s">
        <v>8008</v>
      </c>
      <c r="D3146" s="28" t="s">
        <v>8009</v>
      </c>
      <c r="E3146" s="29" t="s">
        <v>563</v>
      </c>
      <c r="F3146" s="30">
        <v>1</v>
      </c>
      <c r="G3146" s="31">
        <v>40</v>
      </c>
      <c r="H3146" s="31">
        <f t="shared" si="176"/>
        <v>40</v>
      </c>
      <c r="J3146" t="s">
        <v>2853</v>
      </c>
      <c r="K3146" s="188" t="s">
        <v>2853</v>
      </c>
    </row>
    <row r="3147" spans="2:11" x14ac:dyDescent="0.25">
      <c r="B3147" s="27" t="s">
        <v>8010</v>
      </c>
      <c r="D3147" s="28" t="s">
        <v>8011</v>
      </c>
      <c r="E3147" s="29" t="s">
        <v>59</v>
      </c>
      <c r="F3147" s="30">
        <v>1</v>
      </c>
      <c r="G3147" s="31">
        <v>40</v>
      </c>
      <c r="H3147" s="31">
        <f t="shared" si="176"/>
        <v>40</v>
      </c>
      <c r="J3147" t="s">
        <v>2853</v>
      </c>
      <c r="K3147" s="188" t="s">
        <v>2853</v>
      </c>
    </row>
    <row r="3148" spans="2:11" x14ac:dyDescent="0.25">
      <c r="B3148" s="27" t="s">
        <v>8012</v>
      </c>
      <c r="D3148" s="28" t="s">
        <v>8013</v>
      </c>
      <c r="E3148" s="29" t="s">
        <v>59</v>
      </c>
      <c r="F3148" s="30" t="s">
        <v>8014</v>
      </c>
      <c r="G3148" s="31">
        <v>15</v>
      </c>
      <c r="H3148" s="31">
        <v>15</v>
      </c>
      <c r="J3148" t="s">
        <v>2853</v>
      </c>
      <c r="K3148" s="188" t="s">
        <v>2853</v>
      </c>
    </row>
    <row r="3149" spans="2:11" x14ac:dyDescent="0.25">
      <c r="B3149" s="27"/>
      <c r="D3149" s="28"/>
      <c r="E3149" s="29"/>
      <c r="F3149" s="30"/>
      <c r="G3149" s="31"/>
      <c r="H3149" s="31"/>
      <c r="J3149" t="s">
        <v>2853</v>
      </c>
      <c r="K3149" s="188" t="s">
        <v>2853</v>
      </c>
    </row>
    <row r="3150" spans="2:11" ht="30" x14ac:dyDescent="0.4">
      <c r="B3150" s="171" t="s">
        <v>8015</v>
      </c>
      <c r="C3150" s="25"/>
      <c r="D3150" s="25"/>
      <c r="E3150" s="25"/>
      <c r="F3150" s="25"/>
      <c r="G3150" s="25"/>
      <c r="H3150" s="25"/>
      <c r="J3150" t="s">
        <v>2853</v>
      </c>
      <c r="K3150" s="188" t="s">
        <v>2853</v>
      </c>
    </row>
    <row r="3151" spans="2:11" x14ac:dyDescent="0.25">
      <c r="B3151" s="27" t="s">
        <v>8016</v>
      </c>
      <c r="D3151" s="28" t="s">
        <v>8017</v>
      </c>
      <c r="E3151" s="29" t="s">
        <v>1701</v>
      </c>
      <c r="F3151" s="30">
        <v>1</v>
      </c>
      <c r="G3151" s="31">
        <v>35</v>
      </c>
      <c r="H3151" s="31">
        <f t="shared" ref="H3151:H3153" si="177">+F3151*G3151</f>
        <v>35</v>
      </c>
      <c r="J3151" t="s">
        <v>2853</v>
      </c>
      <c r="K3151" s="188" t="s">
        <v>2853</v>
      </c>
    </row>
    <row r="3152" spans="2:11" x14ac:dyDescent="0.25">
      <c r="B3152" s="27" t="s">
        <v>8018</v>
      </c>
      <c r="D3152" s="28" t="s">
        <v>8019</v>
      </c>
      <c r="E3152" s="29" t="s">
        <v>1699</v>
      </c>
      <c r="F3152" s="30">
        <v>1</v>
      </c>
      <c r="G3152" s="31">
        <v>35</v>
      </c>
      <c r="H3152" s="31">
        <f t="shared" si="177"/>
        <v>35</v>
      </c>
      <c r="J3152" t="s">
        <v>2853</v>
      </c>
      <c r="K3152" s="188" t="s">
        <v>2853</v>
      </c>
    </row>
    <row r="3153" spans="2:11" x14ac:dyDescent="0.25">
      <c r="B3153" s="27" t="s">
        <v>8020</v>
      </c>
      <c r="D3153" s="28" t="s">
        <v>8021</v>
      </c>
      <c r="E3153" s="29" t="s">
        <v>1703</v>
      </c>
      <c r="F3153" s="30">
        <v>1</v>
      </c>
      <c r="G3153" s="31">
        <v>35</v>
      </c>
      <c r="H3153" s="31">
        <f t="shared" si="177"/>
        <v>35</v>
      </c>
      <c r="J3153" t="s">
        <v>2853</v>
      </c>
      <c r="K3153" s="188" t="s">
        <v>2853</v>
      </c>
    </row>
    <row r="3154" spans="2:11" x14ac:dyDescent="0.25">
      <c r="B3154" s="27"/>
      <c r="D3154" s="28"/>
      <c r="E3154" s="29"/>
      <c r="F3154" s="30"/>
      <c r="G3154" s="31"/>
      <c r="H3154" s="31"/>
      <c r="J3154" t="s">
        <v>2853</v>
      </c>
      <c r="K3154" s="188" t="s">
        <v>2853</v>
      </c>
    </row>
    <row r="3155" spans="2:11" ht="30" x14ac:dyDescent="0.4">
      <c r="B3155" s="171" t="s">
        <v>8022</v>
      </c>
      <c r="C3155" s="25"/>
      <c r="D3155" s="25"/>
      <c r="E3155" s="25"/>
      <c r="F3155" s="25"/>
      <c r="G3155" s="25"/>
      <c r="H3155" s="25"/>
      <c r="J3155" t="s">
        <v>2853</v>
      </c>
      <c r="K3155" s="188" t="s">
        <v>2853</v>
      </c>
    </row>
    <row r="3156" spans="2:11" x14ac:dyDescent="0.25">
      <c r="B3156" s="27" t="s">
        <v>8023</v>
      </c>
      <c r="D3156" s="28" t="s">
        <v>8024</v>
      </c>
      <c r="E3156" s="29" t="s">
        <v>4633</v>
      </c>
      <c r="F3156" s="30">
        <v>10</v>
      </c>
      <c r="G3156" s="31">
        <v>6.2</v>
      </c>
      <c r="H3156" s="31">
        <f t="shared" ref="H3156:H3161" si="178">+F3156*G3156</f>
        <v>62</v>
      </c>
      <c r="J3156" t="s">
        <v>2853</v>
      </c>
      <c r="K3156" s="188" t="s">
        <v>2853</v>
      </c>
    </row>
    <row r="3157" spans="2:11" x14ac:dyDescent="0.25">
      <c r="B3157" s="27" t="s">
        <v>8025</v>
      </c>
      <c r="D3157" s="28" t="s">
        <v>8026</v>
      </c>
      <c r="E3157" s="29" t="s">
        <v>21</v>
      </c>
      <c r="F3157" s="30">
        <v>10</v>
      </c>
      <c r="G3157" s="31">
        <v>6.2</v>
      </c>
      <c r="H3157" s="31">
        <f t="shared" si="178"/>
        <v>62</v>
      </c>
      <c r="J3157" t="s">
        <v>2853</v>
      </c>
      <c r="K3157" s="188" t="s">
        <v>2853</v>
      </c>
    </row>
    <row r="3158" spans="2:11" x14ac:dyDescent="0.25">
      <c r="B3158" s="27" t="s">
        <v>8027</v>
      </c>
      <c r="D3158" s="28" t="s">
        <v>8028</v>
      </c>
      <c r="E3158" s="29" t="s">
        <v>671</v>
      </c>
      <c r="F3158" s="30">
        <v>10</v>
      </c>
      <c r="G3158" s="31">
        <v>6.2</v>
      </c>
      <c r="H3158" s="31">
        <f t="shared" si="178"/>
        <v>62</v>
      </c>
      <c r="J3158" t="s">
        <v>2853</v>
      </c>
      <c r="K3158" s="188" t="s">
        <v>2853</v>
      </c>
    </row>
    <row r="3159" spans="2:11" x14ac:dyDescent="0.25">
      <c r="B3159" s="27" t="s">
        <v>8029</v>
      </c>
      <c r="D3159" s="28" t="s">
        <v>8030</v>
      </c>
      <c r="E3159" s="29" t="s">
        <v>563</v>
      </c>
      <c r="F3159" s="30">
        <v>10</v>
      </c>
      <c r="G3159" s="31">
        <v>6.2</v>
      </c>
      <c r="H3159" s="31">
        <f t="shared" si="178"/>
        <v>62</v>
      </c>
      <c r="J3159" t="s">
        <v>2853</v>
      </c>
      <c r="K3159" s="188" t="s">
        <v>2853</v>
      </c>
    </row>
    <row r="3160" spans="2:11" x14ac:dyDescent="0.25">
      <c r="B3160" s="27" t="s">
        <v>8031</v>
      </c>
      <c r="D3160" s="28" t="s">
        <v>8032</v>
      </c>
      <c r="E3160" s="29" t="s">
        <v>59</v>
      </c>
      <c r="F3160" s="30">
        <v>10</v>
      </c>
      <c r="G3160" s="31">
        <v>6.2</v>
      </c>
      <c r="H3160" s="31">
        <f t="shared" si="178"/>
        <v>62</v>
      </c>
      <c r="J3160" t="s">
        <v>2853</v>
      </c>
      <c r="K3160" s="188" t="s">
        <v>2853</v>
      </c>
    </row>
    <row r="3161" spans="2:11" x14ac:dyDescent="0.25">
      <c r="B3161" s="27" t="s">
        <v>8033</v>
      </c>
      <c r="D3161" s="28" t="s">
        <v>8034</v>
      </c>
      <c r="E3161" s="29" t="s">
        <v>19</v>
      </c>
      <c r="F3161" s="30">
        <v>10</v>
      </c>
      <c r="G3161" s="31">
        <v>6.2</v>
      </c>
      <c r="H3161" s="31">
        <f t="shared" si="178"/>
        <v>62</v>
      </c>
      <c r="J3161" t="s">
        <v>2853</v>
      </c>
      <c r="K3161" s="188" t="s">
        <v>2853</v>
      </c>
    </row>
    <row r="3162" spans="2:11" x14ac:dyDescent="0.25">
      <c r="B3162" s="27"/>
      <c r="D3162" s="28"/>
      <c r="E3162" s="29"/>
      <c r="F3162" s="30"/>
      <c r="G3162" s="31"/>
      <c r="H3162" s="31"/>
      <c r="J3162" t="s">
        <v>2853</v>
      </c>
      <c r="K3162" s="188" t="s">
        <v>2853</v>
      </c>
    </row>
    <row r="3163" spans="2:11" ht="30" x14ac:dyDescent="0.4">
      <c r="B3163" s="171" t="s">
        <v>8035</v>
      </c>
      <c r="C3163" s="25"/>
      <c r="D3163" s="25"/>
      <c r="E3163" s="25"/>
      <c r="F3163" s="25"/>
      <c r="G3163" s="25"/>
      <c r="H3163" s="25"/>
      <c r="J3163" t="s">
        <v>2853</v>
      </c>
      <c r="K3163" s="188" t="s">
        <v>2853</v>
      </c>
    </row>
    <row r="3164" spans="2:11" ht="26.25" x14ac:dyDescent="0.4">
      <c r="B3164" s="28"/>
      <c r="C3164" s="187"/>
      <c r="D3164" s="187"/>
      <c r="E3164" s="187"/>
      <c r="F3164" s="187"/>
      <c r="G3164" s="187"/>
      <c r="H3164" s="187"/>
      <c r="J3164" t="s">
        <v>2853</v>
      </c>
      <c r="K3164" s="188" t="s">
        <v>2853</v>
      </c>
    </row>
    <row r="3165" spans="2:11" x14ac:dyDescent="0.25">
      <c r="B3165" s="27" t="s">
        <v>8036</v>
      </c>
      <c r="D3165" s="28" t="s">
        <v>8037</v>
      </c>
      <c r="E3165" s="29" t="s">
        <v>8038</v>
      </c>
      <c r="F3165" s="30">
        <v>6</v>
      </c>
      <c r="G3165" s="31">
        <v>13</v>
      </c>
      <c r="H3165" s="31">
        <f t="shared" ref="H3165:H3225" si="179">+F3165*G3165</f>
        <v>78</v>
      </c>
      <c r="J3165" t="s">
        <v>2853</v>
      </c>
      <c r="K3165" s="188" t="s">
        <v>2853</v>
      </c>
    </row>
    <row r="3166" spans="2:11" x14ac:dyDescent="0.25">
      <c r="B3166" s="27" t="s">
        <v>8039</v>
      </c>
      <c r="D3166" s="28" t="s">
        <v>8040</v>
      </c>
      <c r="E3166" s="29" t="s">
        <v>8041</v>
      </c>
      <c r="F3166" s="30">
        <v>6</v>
      </c>
      <c r="G3166" s="31">
        <v>13</v>
      </c>
      <c r="H3166" s="31">
        <f t="shared" si="179"/>
        <v>78</v>
      </c>
      <c r="J3166" t="s">
        <v>2853</v>
      </c>
      <c r="K3166" s="188" t="s">
        <v>2853</v>
      </c>
    </row>
    <row r="3167" spans="2:11" x14ac:dyDescent="0.25">
      <c r="B3167" s="27" t="s">
        <v>8042</v>
      </c>
      <c r="D3167" s="28" t="s">
        <v>8043</v>
      </c>
      <c r="E3167" s="29" t="s">
        <v>8044</v>
      </c>
      <c r="F3167" s="30">
        <v>6</v>
      </c>
      <c r="G3167" s="31">
        <v>13</v>
      </c>
      <c r="H3167" s="31">
        <f t="shared" si="179"/>
        <v>78</v>
      </c>
      <c r="J3167" t="s">
        <v>2853</v>
      </c>
      <c r="K3167" s="188" t="s">
        <v>2853</v>
      </c>
    </row>
    <row r="3168" spans="2:11" x14ac:dyDescent="0.25">
      <c r="B3168" s="27" t="s">
        <v>8045</v>
      </c>
      <c r="D3168" s="28" t="s">
        <v>8046</v>
      </c>
      <c r="E3168" s="29" t="s">
        <v>8047</v>
      </c>
      <c r="F3168" s="30">
        <v>6</v>
      </c>
      <c r="G3168" s="31">
        <v>13</v>
      </c>
      <c r="H3168" s="31">
        <f t="shared" si="179"/>
        <v>78</v>
      </c>
      <c r="J3168" t="s">
        <v>2853</v>
      </c>
      <c r="K3168" s="188" t="s">
        <v>2853</v>
      </c>
    </row>
    <row r="3169" spans="2:11" x14ac:dyDescent="0.25">
      <c r="B3169" s="27" t="s">
        <v>8048</v>
      </c>
      <c r="D3169" s="28" t="s">
        <v>8049</v>
      </c>
      <c r="E3169" s="29" t="s">
        <v>8050</v>
      </c>
      <c r="F3169" s="30">
        <v>6</v>
      </c>
      <c r="G3169" s="31">
        <v>13</v>
      </c>
      <c r="H3169" s="31">
        <f t="shared" si="179"/>
        <v>78</v>
      </c>
      <c r="J3169" t="s">
        <v>2853</v>
      </c>
      <c r="K3169" s="188" t="s">
        <v>2853</v>
      </c>
    </row>
    <row r="3170" spans="2:11" x14ac:dyDescent="0.25">
      <c r="B3170" s="27" t="s">
        <v>8051</v>
      </c>
      <c r="D3170" s="28" t="s">
        <v>8052</v>
      </c>
      <c r="E3170" s="29" t="s">
        <v>8053</v>
      </c>
      <c r="F3170" s="30">
        <v>6</v>
      </c>
      <c r="G3170" s="31">
        <v>13</v>
      </c>
      <c r="H3170" s="31">
        <f t="shared" si="179"/>
        <v>78</v>
      </c>
      <c r="J3170" t="s">
        <v>2853</v>
      </c>
      <c r="K3170" s="188" t="s">
        <v>2853</v>
      </c>
    </row>
    <row r="3171" spans="2:11" x14ac:dyDescent="0.25">
      <c r="B3171" s="27" t="s">
        <v>8054</v>
      </c>
      <c r="D3171" s="28" t="s">
        <v>8055</v>
      </c>
      <c r="E3171" s="29" t="s">
        <v>8056</v>
      </c>
      <c r="F3171" s="30">
        <v>6</v>
      </c>
      <c r="G3171" s="31">
        <v>13</v>
      </c>
      <c r="H3171" s="31">
        <f t="shared" si="179"/>
        <v>78</v>
      </c>
      <c r="J3171" t="s">
        <v>2853</v>
      </c>
      <c r="K3171" s="188" t="s">
        <v>2853</v>
      </c>
    </row>
    <row r="3172" spans="2:11" x14ac:dyDescent="0.25">
      <c r="B3172" s="27" t="s">
        <v>8057</v>
      </c>
      <c r="D3172" s="28" t="s">
        <v>8058</v>
      </c>
      <c r="E3172" s="29" t="s">
        <v>8059</v>
      </c>
      <c r="F3172" s="30">
        <v>6</v>
      </c>
      <c r="G3172" s="31">
        <v>13</v>
      </c>
      <c r="H3172" s="31">
        <f t="shared" si="179"/>
        <v>78</v>
      </c>
      <c r="J3172" t="s">
        <v>2853</v>
      </c>
      <c r="K3172" s="188" t="s">
        <v>2853</v>
      </c>
    </row>
    <row r="3173" spans="2:11" x14ac:dyDescent="0.25">
      <c r="B3173" s="27" t="s">
        <v>8060</v>
      </c>
      <c r="D3173" s="28" t="s">
        <v>8061</v>
      </c>
      <c r="E3173" s="29" t="s">
        <v>8062</v>
      </c>
      <c r="F3173" s="30">
        <v>6</v>
      </c>
      <c r="G3173" s="31">
        <v>13</v>
      </c>
      <c r="H3173" s="31">
        <f t="shared" si="179"/>
        <v>78</v>
      </c>
      <c r="J3173" t="s">
        <v>2853</v>
      </c>
      <c r="K3173" s="188" t="s">
        <v>2853</v>
      </c>
    </row>
    <row r="3174" spans="2:11" x14ac:dyDescent="0.25">
      <c r="B3174" s="27" t="s">
        <v>8063</v>
      </c>
      <c r="D3174" s="28" t="s">
        <v>8064</v>
      </c>
      <c r="E3174" s="29" t="s">
        <v>8065</v>
      </c>
      <c r="F3174" s="30">
        <v>6</v>
      </c>
      <c r="G3174" s="31">
        <v>13</v>
      </c>
      <c r="H3174" s="31">
        <f t="shared" si="179"/>
        <v>78</v>
      </c>
      <c r="J3174" t="s">
        <v>2853</v>
      </c>
      <c r="K3174" s="188" t="s">
        <v>2853</v>
      </c>
    </row>
    <row r="3175" spans="2:11" x14ac:dyDescent="0.25">
      <c r="B3175" s="27" t="s">
        <v>8066</v>
      </c>
      <c r="D3175" s="28" t="s">
        <v>8067</v>
      </c>
      <c r="E3175" s="29" t="s">
        <v>8068</v>
      </c>
      <c r="F3175" s="30">
        <v>6</v>
      </c>
      <c r="G3175" s="31">
        <v>13</v>
      </c>
      <c r="H3175" s="31">
        <f t="shared" si="179"/>
        <v>78</v>
      </c>
      <c r="J3175" t="s">
        <v>2853</v>
      </c>
      <c r="K3175" s="188" t="s">
        <v>2853</v>
      </c>
    </row>
    <row r="3176" spans="2:11" x14ac:dyDescent="0.25">
      <c r="B3176" s="27" t="s">
        <v>8069</v>
      </c>
      <c r="D3176" s="28" t="s">
        <v>8070</v>
      </c>
      <c r="E3176" s="29" t="s">
        <v>8071</v>
      </c>
      <c r="F3176" s="30">
        <v>6</v>
      </c>
      <c r="G3176" s="31">
        <v>13</v>
      </c>
      <c r="H3176" s="31">
        <f t="shared" si="179"/>
        <v>78</v>
      </c>
      <c r="J3176" t="s">
        <v>2853</v>
      </c>
      <c r="K3176" s="188" t="s">
        <v>2853</v>
      </c>
    </row>
    <row r="3177" spans="2:11" x14ac:dyDescent="0.25">
      <c r="B3177" s="27" t="s">
        <v>8072</v>
      </c>
      <c r="D3177" s="28" t="s">
        <v>8073</v>
      </c>
      <c r="E3177" s="29" t="s">
        <v>8074</v>
      </c>
      <c r="F3177" s="30">
        <v>6</v>
      </c>
      <c r="G3177" s="31">
        <v>13</v>
      </c>
      <c r="H3177" s="31">
        <f t="shared" si="179"/>
        <v>78</v>
      </c>
      <c r="J3177" t="s">
        <v>2853</v>
      </c>
      <c r="K3177" s="188" t="s">
        <v>2853</v>
      </c>
    </row>
    <row r="3178" spans="2:11" x14ac:dyDescent="0.25">
      <c r="B3178" s="27" t="s">
        <v>8075</v>
      </c>
      <c r="D3178" s="28" t="s">
        <v>8076</v>
      </c>
      <c r="E3178" s="29" t="s">
        <v>8077</v>
      </c>
      <c r="F3178" s="30">
        <v>6</v>
      </c>
      <c r="G3178" s="31">
        <v>13</v>
      </c>
      <c r="H3178" s="31">
        <f t="shared" si="179"/>
        <v>78</v>
      </c>
      <c r="J3178" t="s">
        <v>2853</v>
      </c>
      <c r="K3178" s="188" t="s">
        <v>2853</v>
      </c>
    </row>
    <row r="3179" spans="2:11" x14ac:dyDescent="0.25">
      <c r="B3179" s="27" t="s">
        <v>8078</v>
      </c>
      <c r="D3179" s="28" t="s">
        <v>8079</v>
      </c>
      <c r="E3179" s="29" t="s">
        <v>8080</v>
      </c>
      <c r="F3179" s="30">
        <v>6</v>
      </c>
      <c r="G3179" s="31">
        <v>13</v>
      </c>
      <c r="H3179" s="31">
        <f t="shared" si="179"/>
        <v>78</v>
      </c>
      <c r="J3179" t="s">
        <v>2853</v>
      </c>
      <c r="K3179" s="188" t="s">
        <v>2853</v>
      </c>
    </row>
    <row r="3180" spans="2:11" x14ac:dyDescent="0.25">
      <c r="B3180" s="27" t="s">
        <v>8081</v>
      </c>
      <c r="D3180" s="28" t="s">
        <v>8082</v>
      </c>
      <c r="E3180" s="29" t="s">
        <v>8083</v>
      </c>
      <c r="F3180" s="30">
        <v>6</v>
      </c>
      <c r="G3180" s="31">
        <v>13</v>
      </c>
      <c r="H3180" s="31">
        <f t="shared" si="179"/>
        <v>78</v>
      </c>
      <c r="J3180" t="s">
        <v>2853</v>
      </c>
      <c r="K3180" s="188" t="s">
        <v>2853</v>
      </c>
    </row>
    <row r="3181" spans="2:11" x14ac:dyDescent="0.25">
      <c r="B3181" s="27" t="s">
        <v>8084</v>
      </c>
      <c r="D3181" s="28" t="s">
        <v>8085</v>
      </c>
      <c r="E3181" s="29" t="s">
        <v>8086</v>
      </c>
      <c r="F3181" s="30">
        <v>6</v>
      </c>
      <c r="G3181" s="31">
        <v>13</v>
      </c>
      <c r="H3181" s="31">
        <f t="shared" si="179"/>
        <v>78</v>
      </c>
      <c r="J3181" t="s">
        <v>2853</v>
      </c>
      <c r="K3181" s="188" t="s">
        <v>2853</v>
      </c>
    </row>
    <row r="3182" spans="2:11" x14ac:dyDescent="0.25">
      <c r="B3182" s="27" t="s">
        <v>8087</v>
      </c>
      <c r="D3182" s="28" t="s">
        <v>8088</v>
      </c>
      <c r="E3182" s="29" t="s">
        <v>8089</v>
      </c>
      <c r="F3182" s="30">
        <v>6</v>
      </c>
      <c r="G3182" s="31">
        <v>13</v>
      </c>
      <c r="H3182" s="31">
        <f t="shared" si="179"/>
        <v>78</v>
      </c>
      <c r="J3182" t="s">
        <v>2853</v>
      </c>
      <c r="K3182" s="188" t="s">
        <v>2853</v>
      </c>
    </row>
    <row r="3183" spans="2:11" x14ac:dyDescent="0.25">
      <c r="B3183" s="27" t="s">
        <v>8090</v>
      </c>
      <c r="D3183" s="28" t="s">
        <v>8091</v>
      </c>
      <c r="E3183" s="29" t="s">
        <v>8038</v>
      </c>
      <c r="F3183" s="30">
        <v>6</v>
      </c>
      <c r="G3183" s="31">
        <v>19</v>
      </c>
      <c r="H3183" s="31">
        <f t="shared" si="179"/>
        <v>114</v>
      </c>
      <c r="J3183" t="s">
        <v>2853</v>
      </c>
      <c r="K3183" s="188" t="s">
        <v>2853</v>
      </c>
    </row>
    <row r="3184" spans="2:11" x14ac:dyDescent="0.25">
      <c r="B3184" s="27" t="s">
        <v>8092</v>
      </c>
      <c r="D3184" s="28" t="s">
        <v>8093</v>
      </c>
      <c r="E3184" s="29" t="s">
        <v>8041</v>
      </c>
      <c r="F3184" s="30">
        <v>6</v>
      </c>
      <c r="G3184" s="31">
        <v>19</v>
      </c>
      <c r="H3184" s="31">
        <f t="shared" si="179"/>
        <v>114</v>
      </c>
      <c r="J3184" t="s">
        <v>2853</v>
      </c>
      <c r="K3184" s="188" t="s">
        <v>2853</v>
      </c>
    </row>
    <row r="3185" spans="2:11" x14ac:dyDescent="0.25">
      <c r="B3185" s="27" t="s">
        <v>8094</v>
      </c>
      <c r="D3185" s="28" t="s">
        <v>8095</v>
      </c>
      <c r="E3185" s="29" t="s">
        <v>8044</v>
      </c>
      <c r="F3185" s="30">
        <v>6</v>
      </c>
      <c r="G3185" s="31">
        <v>19</v>
      </c>
      <c r="H3185" s="31">
        <f t="shared" si="179"/>
        <v>114</v>
      </c>
      <c r="J3185" t="s">
        <v>2853</v>
      </c>
      <c r="K3185" s="188" t="s">
        <v>2853</v>
      </c>
    </row>
    <row r="3186" spans="2:11" x14ac:dyDescent="0.25">
      <c r="B3186" s="27" t="s">
        <v>8096</v>
      </c>
      <c r="D3186" s="28" t="s">
        <v>8097</v>
      </c>
      <c r="E3186" s="29" t="s">
        <v>8047</v>
      </c>
      <c r="F3186" s="30">
        <v>6</v>
      </c>
      <c r="G3186" s="31">
        <v>19</v>
      </c>
      <c r="H3186" s="31">
        <f t="shared" si="179"/>
        <v>114</v>
      </c>
      <c r="J3186" t="s">
        <v>2853</v>
      </c>
      <c r="K3186" s="188" t="s">
        <v>2853</v>
      </c>
    </row>
    <row r="3187" spans="2:11" x14ac:dyDescent="0.25">
      <c r="B3187" s="27" t="s">
        <v>8098</v>
      </c>
      <c r="D3187" s="28" t="s">
        <v>8099</v>
      </c>
      <c r="E3187" s="29" t="s">
        <v>8050</v>
      </c>
      <c r="F3187" s="30">
        <v>6</v>
      </c>
      <c r="G3187" s="31">
        <v>19</v>
      </c>
      <c r="H3187" s="31">
        <f t="shared" si="179"/>
        <v>114</v>
      </c>
      <c r="J3187" t="s">
        <v>2853</v>
      </c>
      <c r="K3187" s="188" t="s">
        <v>2853</v>
      </c>
    </row>
    <row r="3188" spans="2:11" x14ac:dyDescent="0.25">
      <c r="B3188" s="27" t="s">
        <v>8100</v>
      </c>
      <c r="D3188" s="28" t="s">
        <v>8101</v>
      </c>
      <c r="E3188" s="29" t="s">
        <v>8102</v>
      </c>
      <c r="F3188" s="30">
        <v>6</v>
      </c>
      <c r="G3188" s="31">
        <v>19</v>
      </c>
      <c r="H3188" s="31">
        <f t="shared" si="179"/>
        <v>114</v>
      </c>
      <c r="J3188" t="s">
        <v>2853</v>
      </c>
      <c r="K3188" s="188" t="s">
        <v>2853</v>
      </c>
    </row>
    <row r="3189" spans="2:11" x14ac:dyDescent="0.25">
      <c r="B3189" s="27" t="s">
        <v>8103</v>
      </c>
      <c r="D3189" s="28" t="s">
        <v>8104</v>
      </c>
      <c r="E3189" s="29" t="s">
        <v>8056</v>
      </c>
      <c r="F3189" s="30">
        <v>6</v>
      </c>
      <c r="G3189" s="31">
        <v>19</v>
      </c>
      <c r="H3189" s="31">
        <f t="shared" si="179"/>
        <v>114</v>
      </c>
      <c r="J3189" t="s">
        <v>2853</v>
      </c>
      <c r="K3189" s="188" t="s">
        <v>2853</v>
      </c>
    </row>
    <row r="3190" spans="2:11" x14ac:dyDescent="0.25">
      <c r="B3190" s="27" t="s">
        <v>8105</v>
      </c>
      <c r="D3190" s="28" t="s">
        <v>8106</v>
      </c>
      <c r="E3190" s="29" t="s">
        <v>8059</v>
      </c>
      <c r="F3190" s="30">
        <v>6</v>
      </c>
      <c r="G3190" s="31">
        <v>19</v>
      </c>
      <c r="H3190" s="31">
        <f t="shared" si="179"/>
        <v>114</v>
      </c>
      <c r="J3190" t="s">
        <v>2853</v>
      </c>
      <c r="K3190" s="188" t="s">
        <v>2853</v>
      </c>
    </row>
    <row r="3191" spans="2:11" x14ac:dyDescent="0.25">
      <c r="B3191" s="27" t="s">
        <v>8107</v>
      </c>
      <c r="D3191" s="28" t="s">
        <v>8108</v>
      </c>
      <c r="E3191" s="29" t="s">
        <v>8062</v>
      </c>
      <c r="F3191" s="30">
        <v>6</v>
      </c>
      <c r="G3191" s="31">
        <v>19</v>
      </c>
      <c r="H3191" s="31">
        <f t="shared" si="179"/>
        <v>114</v>
      </c>
      <c r="J3191" t="s">
        <v>2853</v>
      </c>
      <c r="K3191" s="188" t="s">
        <v>2853</v>
      </c>
    </row>
    <row r="3192" spans="2:11" x14ac:dyDescent="0.25">
      <c r="B3192" s="27" t="s">
        <v>8109</v>
      </c>
      <c r="D3192" s="28" t="s">
        <v>8110</v>
      </c>
      <c r="E3192" s="29" t="s">
        <v>8065</v>
      </c>
      <c r="F3192" s="30">
        <v>6</v>
      </c>
      <c r="G3192" s="31">
        <v>19</v>
      </c>
      <c r="H3192" s="31">
        <f t="shared" si="179"/>
        <v>114</v>
      </c>
      <c r="J3192" t="s">
        <v>2853</v>
      </c>
      <c r="K3192" s="188" t="s">
        <v>2853</v>
      </c>
    </row>
    <row r="3193" spans="2:11" x14ac:dyDescent="0.25">
      <c r="B3193" s="27" t="s">
        <v>8111</v>
      </c>
      <c r="D3193" s="28" t="s">
        <v>8112</v>
      </c>
      <c r="E3193" s="29" t="s">
        <v>8068</v>
      </c>
      <c r="F3193" s="30">
        <v>6</v>
      </c>
      <c r="G3193" s="31">
        <v>19</v>
      </c>
      <c r="H3193" s="31">
        <f t="shared" si="179"/>
        <v>114</v>
      </c>
      <c r="J3193" t="s">
        <v>2853</v>
      </c>
      <c r="K3193" s="188" t="s">
        <v>2853</v>
      </c>
    </row>
    <row r="3194" spans="2:11" x14ac:dyDescent="0.25">
      <c r="B3194" s="27" t="s">
        <v>8113</v>
      </c>
      <c r="D3194" s="28" t="s">
        <v>8114</v>
      </c>
      <c r="E3194" s="29" t="s">
        <v>8071</v>
      </c>
      <c r="F3194" s="30">
        <v>6</v>
      </c>
      <c r="G3194" s="31">
        <v>19</v>
      </c>
      <c r="H3194" s="31">
        <f t="shared" si="179"/>
        <v>114</v>
      </c>
      <c r="J3194" t="s">
        <v>2853</v>
      </c>
      <c r="K3194" s="188" t="s">
        <v>2853</v>
      </c>
    </row>
    <row r="3195" spans="2:11" x14ac:dyDescent="0.25">
      <c r="B3195" s="27" t="s">
        <v>8115</v>
      </c>
      <c r="D3195" s="28" t="s">
        <v>8116</v>
      </c>
      <c r="E3195" s="29" t="s">
        <v>8074</v>
      </c>
      <c r="F3195" s="30">
        <v>6</v>
      </c>
      <c r="G3195" s="31">
        <v>19</v>
      </c>
      <c r="H3195" s="31">
        <f t="shared" si="179"/>
        <v>114</v>
      </c>
      <c r="J3195" t="s">
        <v>2853</v>
      </c>
      <c r="K3195" s="188" t="s">
        <v>2853</v>
      </c>
    </row>
    <row r="3196" spans="2:11" x14ac:dyDescent="0.25">
      <c r="B3196" s="27" t="s">
        <v>8117</v>
      </c>
      <c r="D3196" s="28" t="s">
        <v>8118</v>
      </c>
      <c r="E3196" s="29" t="s">
        <v>8077</v>
      </c>
      <c r="F3196" s="30">
        <v>6</v>
      </c>
      <c r="G3196" s="31">
        <v>19</v>
      </c>
      <c r="H3196" s="31">
        <f t="shared" si="179"/>
        <v>114</v>
      </c>
      <c r="J3196" t="s">
        <v>2853</v>
      </c>
      <c r="K3196" s="188" t="s">
        <v>2853</v>
      </c>
    </row>
    <row r="3197" spans="2:11" x14ac:dyDescent="0.25">
      <c r="B3197" s="27" t="s">
        <v>8119</v>
      </c>
      <c r="D3197" s="28" t="s">
        <v>8120</v>
      </c>
      <c r="E3197" s="29" t="s">
        <v>8080</v>
      </c>
      <c r="F3197" s="30">
        <v>6</v>
      </c>
      <c r="G3197" s="31">
        <v>19</v>
      </c>
      <c r="H3197" s="31">
        <f t="shared" si="179"/>
        <v>114</v>
      </c>
      <c r="J3197" t="s">
        <v>2853</v>
      </c>
      <c r="K3197" s="188" t="s">
        <v>2853</v>
      </c>
    </row>
    <row r="3198" spans="2:11" x14ac:dyDescent="0.25">
      <c r="B3198" s="27" t="s">
        <v>8121</v>
      </c>
      <c r="D3198" s="28" t="s">
        <v>8122</v>
      </c>
      <c r="E3198" s="29" t="s">
        <v>8083</v>
      </c>
      <c r="F3198" s="30">
        <v>6</v>
      </c>
      <c r="G3198" s="31">
        <v>19</v>
      </c>
      <c r="H3198" s="31">
        <f t="shared" si="179"/>
        <v>114</v>
      </c>
      <c r="J3198" t="s">
        <v>2853</v>
      </c>
      <c r="K3198" s="188" t="s">
        <v>2853</v>
      </c>
    </row>
    <row r="3199" spans="2:11" x14ac:dyDescent="0.25">
      <c r="B3199" s="27" t="s">
        <v>8123</v>
      </c>
      <c r="D3199" s="28" t="s">
        <v>8124</v>
      </c>
      <c r="E3199" s="29" t="s">
        <v>8086</v>
      </c>
      <c r="F3199" s="30">
        <v>6</v>
      </c>
      <c r="G3199" s="31">
        <v>19</v>
      </c>
      <c r="H3199" s="31">
        <f t="shared" si="179"/>
        <v>114</v>
      </c>
      <c r="J3199" t="s">
        <v>2853</v>
      </c>
      <c r="K3199" s="188" t="s">
        <v>2853</v>
      </c>
    </row>
    <row r="3200" spans="2:11" x14ac:dyDescent="0.25">
      <c r="B3200" s="27" t="s">
        <v>8125</v>
      </c>
      <c r="D3200" s="28" t="s">
        <v>8126</v>
      </c>
      <c r="E3200" s="29" t="s">
        <v>8089</v>
      </c>
      <c r="F3200" s="30">
        <v>6</v>
      </c>
      <c r="G3200" s="31">
        <v>19</v>
      </c>
      <c r="H3200" s="31">
        <f t="shared" si="179"/>
        <v>114</v>
      </c>
      <c r="J3200" t="s">
        <v>2853</v>
      </c>
      <c r="K3200" s="188" t="s">
        <v>2853</v>
      </c>
    </row>
    <row r="3201" spans="2:11" x14ac:dyDescent="0.25">
      <c r="B3201" s="27"/>
      <c r="D3201" s="28"/>
      <c r="E3201" s="29"/>
      <c r="F3201" s="30"/>
      <c r="G3201" s="31"/>
      <c r="H3201" s="31"/>
      <c r="J3201" t="s">
        <v>2853</v>
      </c>
      <c r="K3201" s="188" t="s">
        <v>2853</v>
      </c>
    </row>
    <row r="3202" spans="2:11" x14ac:dyDescent="0.25">
      <c r="B3202" s="27" t="s">
        <v>8127</v>
      </c>
      <c r="D3202" s="28" t="s">
        <v>8128</v>
      </c>
      <c r="E3202" s="29" t="s">
        <v>8038</v>
      </c>
      <c r="F3202" s="30">
        <v>6</v>
      </c>
      <c r="G3202" s="31">
        <v>13</v>
      </c>
      <c r="H3202" s="31">
        <f t="shared" si="179"/>
        <v>78</v>
      </c>
      <c r="J3202" t="s">
        <v>2853</v>
      </c>
      <c r="K3202" s="188" t="s">
        <v>2853</v>
      </c>
    </row>
    <row r="3203" spans="2:11" x14ac:dyDescent="0.25">
      <c r="B3203" s="27" t="s">
        <v>8129</v>
      </c>
      <c r="D3203" s="28" t="s">
        <v>8130</v>
      </c>
      <c r="E3203" s="29" t="s">
        <v>8041</v>
      </c>
      <c r="F3203" s="30">
        <v>6</v>
      </c>
      <c r="G3203" s="31">
        <v>13</v>
      </c>
      <c r="H3203" s="31">
        <f t="shared" si="179"/>
        <v>78</v>
      </c>
      <c r="J3203" t="s">
        <v>2853</v>
      </c>
      <c r="K3203" s="188" t="s">
        <v>2853</v>
      </c>
    </row>
    <row r="3204" spans="2:11" x14ac:dyDescent="0.25">
      <c r="B3204" s="27" t="s">
        <v>8131</v>
      </c>
      <c r="D3204" s="28" t="s">
        <v>8132</v>
      </c>
      <c r="E3204" s="29" t="s">
        <v>8044</v>
      </c>
      <c r="F3204" s="30">
        <v>6</v>
      </c>
      <c r="G3204" s="31">
        <v>13</v>
      </c>
      <c r="H3204" s="31">
        <f t="shared" si="179"/>
        <v>78</v>
      </c>
      <c r="J3204" t="s">
        <v>2853</v>
      </c>
      <c r="K3204" s="188" t="s">
        <v>2853</v>
      </c>
    </row>
    <row r="3205" spans="2:11" x14ac:dyDescent="0.25">
      <c r="B3205" s="27" t="s">
        <v>8133</v>
      </c>
      <c r="D3205" s="28" t="s">
        <v>8134</v>
      </c>
      <c r="E3205" s="29" t="s">
        <v>8047</v>
      </c>
      <c r="F3205" s="30">
        <v>6</v>
      </c>
      <c r="G3205" s="31">
        <v>13</v>
      </c>
      <c r="H3205" s="31">
        <f t="shared" si="179"/>
        <v>78</v>
      </c>
      <c r="J3205" t="s">
        <v>2853</v>
      </c>
      <c r="K3205" s="188" t="s">
        <v>2853</v>
      </c>
    </row>
    <row r="3206" spans="2:11" x14ac:dyDescent="0.25">
      <c r="B3206" s="27" t="s">
        <v>8135</v>
      </c>
      <c r="D3206" s="28" t="s">
        <v>8136</v>
      </c>
      <c r="E3206" s="29" t="s">
        <v>8050</v>
      </c>
      <c r="F3206" s="30">
        <v>6</v>
      </c>
      <c r="G3206" s="31">
        <v>13</v>
      </c>
      <c r="H3206" s="31">
        <f t="shared" si="179"/>
        <v>78</v>
      </c>
      <c r="J3206" t="s">
        <v>2853</v>
      </c>
      <c r="K3206" s="188" t="s">
        <v>2853</v>
      </c>
    </row>
    <row r="3207" spans="2:11" x14ac:dyDescent="0.25">
      <c r="B3207" s="27" t="s">
        <v>8137</v>
      </c>
      <c r="D3207" s="28" t="s">
        <v>8138</v>
      </c>
      <c r="E3207" s="29" t="s">
        <v>8053</v>
      </c>
      <c r="F3207" s="30">
        <v>6</v>
      </c>
      <c r="G3207" s="31">
        <v>13</v>
      </c>
      <c r="H3207" s="31">
        <f t="shared" si="179"/>
        <v>78</v>
      </c>
      <c r="J3207" t="s">
        <v>2853</v>
      </c>
      <c r="K3207" s="188" t="s">
        <v>2853</v>
      </c>
    </row>
    <row r="3208" spans="2:11" x14ac:dyDescent="0.25">
      <c r="B3208" s="27" t="s">
        <v>8139</v>
      </c>
      <c r="D3208" s="28" t="s">
        <v>8140</v>
      </c>
      <c r="E3208" s="29" t="s">
        <v>8056</v>
      </c>
      <c r="F3208" s="30">
        <v>6</v>
      </c>
      <c r="G3208" s="31">
        <v>13</v>
      </c>
      <c r="H3208" s="31">
        <f t="shared" si="179"/>
        <v>78</v>
      </c>
      <c r="J3208" t="s">
        <v>2853</v>
      </c>
      <c r="K3208" s="188" t="s">
        <v>2853</v>
      </c>
    </row>
    <row r="3209" spans="2:11" x14ac:dyDescent="0.25">
      <c r="B3209" s="27" t="s">
        <v>8141</v>
      </c>
      <c r="D3209" s="28" t="s">
        <v>8142</v>
      </c>
      <c r="E3209" s="29" t="s">
        <v>8059</v>
      </c>
      <c r="F3209" s="30">
        <v>6</v>
      </c>
      <c r="G3209" s="31">
        <v>13</v>
      </c>
      <c r="H3209" s="31">
        <f t="shared" si="179"/>
        <v>78</v>
      </c>
      <c r="J3209" t="s">
        <v>2853</v>
      </c>
      <c r="K3209" s="188" t="s">
        <v>2853</v>
      </c>
    </row>
    <row r="3210" spans="2:11" x14ac:dyDescent="0.25">
      <c r="B3210" s="27" t="s">
        <v>8143</v>
      </c>
      <c r="D3210" s="28" t="s">
        <v>8144</v>
      </c>
      <c r="E3210" s="29" t="s">
        <v>8062</v>
      </c>
      <c r="F3210" s="30">
        <v>6</v>
      </c>
      <c r="G3210" s="31">
        <v>13</v>
      </c>
      <c r="H3210" s="31">
        <f t="shared" si="179"/>
        <v>78</v>
      </c>
      <c r="J3210" t="s">
        <v>2853</v>
      </c>
      <c r="K3210" s="188" t="s">
        <v>2853</v>
      </c>
    </row>
    <row r="3211" spans="2:11" x14ac:dyDescent="0.25">
      <c r="B3211" s="27" t="s">
        <v>8145</v>
      </c>
      <c r="D3211" s="28" t="s">
        <v>8146</v>
      </c>
      <c r="E3211" s="29" t="s">
        <v>8065</v>
      </c>
      <c r="F3211" s="30">
        <v>6</v>
      </c>
      <c r="G3211" s="31">
        <v>13</v>
      </c>
      <c r="H3211" s="31">
        <f t="shared" si="179"/>
        <v>78</v>
      </c>
      <c r="J3211" t="s">
        <v>2853</v>
      </c>
      <c r="K3211" s="188" t="s">
        <v>2853</v>
      </c>
    </row>
    <row r="3212" spans="2:11" x14ac:dyDescent="0.25">
      <c r="B3212" s="27" t="s">
        <v>8147</v>
      </c>
      <c r="D3212" s="28" t="s">
        <v>8148</v>
      </c>
      <c r="E3212" s="29" t="s">
        <v>8068</v>
      </c>
      <c r="F3212" s="30">
        <v>6</v>
      </c>
      <c r="G3212" s="31">
        <v>13</v>
      </c>
      <c r="H3212" s="31">
        <f t="shared" si="179"/>
        <v>78</v>
      </c>
      <c r="J3212" t="s">
        <v>2853</v>
      </c>
      <c r="K3212" s="188" t="s">
        <v>2853</v>
      </c>
    </row>
    <row r="3213" spans="2:11" x14ac:dyDescent="0.25">
      <c r="B3213" s="27" t="s">
        <v>8149</v>
      </c>
      <c r="D3213" s="28" t="s">
        <v>8150</v>
      </c>
      <c r="E3213" s="29" t="s">
        <v>8071</v>
      </c>
      <c r="F3213" s="30">
        <v>6</v>
      </c>
      <c r="G3213" s="31">
        <v>13</v>
      </c>
      <c r="H3213" s="31">
        <f t="shared" si="179"/>
        <v>78</v>
      </c>
      <c r="J3213" t="s">
        <v>2853</v>
      </c>
      <c r="K3213" s="188" t="s">
        <v>2853</v>
      </c>
    </row>
    <row r="3214" spans="2:11" x14ac:dyDescent="0.25">
      <c r="B3214" s="27" t="s">
        <v>8151</v>
      </c>
      <c r="D3214" s="28" t="s">
        <v>8152</v>
      </c>
      <c r="E3214" s="29" t="s">
        <v>8074</v>
      </c>
      <c r="F3214" s="30">
        <v>6</v>
      </c>
      <c r="G3214" s="31">
        <v>13</v>
      </c>
      <c r="H3214" s="31">
        <f t="shared" si="179"/>
        <v>78</v>
      </c>
      <c r="J3214" t="s">
        <v>2853</v>
      </c>
      <c r="K3214" s="188" t="s">
        <v>2853</v>
      </c>
    </row>
    <row r="3215" spans="2:11" x14ac:dyDescent="0.25">
      <c r="B3215" s="27" t="s">
        <v>8153</v>
      </c>
      <c r="D3215" s="28" t="s">
        <v>8154</v>
      </c>
      <c r="E3215" s="29" t="s">
        <v>8077</v>
      </c>
      <c r="F3215" s="30">
        <v>6</v>
      </c>
      <c r="G3215" s="31">
        <v>13</v>
      </c>
      <c r="H3215" s="31">
        <f t="shared" si="179"/>
        <v>78</v>
      </c>
      <c r="J3215" t="s">
        <v>2853</v>
      </c>
      <c r="K3215" s="188" t="s">
        <v>2853</v>
      </c>
    </row>
    <row r="3216" spans="2:11" x14ac:dyDescent="0.25">
      <c r="B3216" s="27" t="s">
        <v>8155</v>
      </c>
      <c r="D3216" s="28" t="s">
        <v>8156</v>
      </c>
      <c r="E3216" s="29" t="s">
        <v>8080</v>
      </c>
      <c r="F3216" s="30">
        <v>6</v>
      </c>
      <c r="G3216" s="31">
        <v>13</v>
      </c>
      <c r="H3216" s="31">
        <f t="shared" si="179"/>
        <v>78</v>
      </c>
      <c r="J3216" t="s">
        <v>2853</v>
      </c>
      <c r="K3216" s="188" t="s">
        <v>2853</v>
      </c>
    </row>
    <row r="3217" spans="2:11" x14ac:dyDescent="0.25">
      <c r="B3217" s="27" t="s">
        <v>8157</v>
      </c>
      <c r="D3217" s="28" t="s">
        <v>8158</v>
      </c>
      <c r="E3217" s="29" t="s">
        <v>8038</v>
      </c>
      <c r="F3217" s="30">
        <v>6</v>
      </c>
      <c r="G3217" s="31">
        <v>19</v>
      </c>
      <c r="H3217" s="31">
        <f t="shared" si="179"/>
        <v>114</v>
      </c>
      <c r="J3217" t="s">
        <v>2853</v>
      </c>
      <c r="K3217" s="188" t="s">
        <v>2853</v>
      </c>
    </row>
    <row r="3218" spans="2:11" x14ac:dyDescent="0.25">
      <c r="B3218" s="27" t="s">
        <v>8159</v>
      </c>
      <c r="D3218" s="28" t="s">
        <v>8160</v>
      </c>
      <c r="E3218" s="29" t="s">
        <v>8041</v>
      </c>
      <c r="F3218" s="30">
        <v>6</v>
      </c>
      <c r="G3218" s="31">
        <v>19</v>
      </c>
      <c r="H3218" s="31">
        <f t="shared" si="179"/>
        <v>114</v>
      </c>
      <c r="J3218" t="s">
        <v>2853</v>
      </c>
      <c r="K3218" s="188" t="s">
        <v>2853</v>
      </c>
    </row>
    <row r="3219" spans="2:11" x14ac:dyDescent="0.25">
      <c r="B3219" s="27" t="s">
        <v>8161</v>
      </c>
      <c r="D3219" s="28" t="s">
        <v>8162</v>
      </c>
      <c r="E3219" s="29" t="s">
        <v>8044</v>
      </c>
      <c r="F3219" s="30">
        <v>6</v>
      </c>
      <c r="G3219" s="31">
        <v>19</v>
      </c>
      <c r="H3219" s="31">
        <f t="shared" si="179"/>
        <v>114</v>
      </c>
      <c r="J3219" t="s">
        <v>2853</v>
      </c>
      <c r="K3219" s="188" t="s">
        <v>2853</v>
      </c>
    </row>
    <row r="3220" spans="2:11" x14ac:dyDescent="0.25">
      <c r="B3220" s="27" t="s">
        <v>8163</v>
      </c>
      <c r="D3220" s="28" t="s">
        <v>8164</v>
      </c>
      <c r="E3220" s="29" t="s">
        <v>8047</v>
      </c>
      <c r="F3220" s="30">
        <v>6</v>
      </c>
      <c r="G3220" s="31">
        <v>19</v>
      </c>
      <c r="H3220" s="31">
        <f t="shared" si="179"/>
        <v>114</v>
      </c>
      <c r="J3220" t="s">
        <v>2853</v>
      </c>
      <c r="K3220" s="188" t="s">
        <v>2853</v>
      </c>
    </row>
    <row r="3221" spans="2:11" x14ac:dyDescent="0.25">
      <c r="B3221" s="27" t="s">
        <v>8165</v>
      </c>
      <c r="D3221" s="28" t="s">
        <v>8166</v>
      </c>
      <c r="E3221" s="29" t="s">
        <v>8050</v>
      </c>
      <c r="F3221" s="30">
        <v>6</v>
      </c>
      <c r="G3221" s="31">
        <v>19</v>
      </c>
      <c r="H3221" s="31">
        <f t="shared" si="179"/>
        <v>114</v>
      </c>
      <c r="J3221" t="s">
        <v>2853</v>
      </c>
      <c r="K3221" s="188" t="s">
        <v>2853</v>
      </c>
    </row>
    <row r="3222" spans="2:11" x14ac:dyDescent="0.25">
      <c r="B3222" s="27" t="s">
        <v>8167</v>
      </c>
      <c r="D3222" s="28" t="s">
        <v>8168</v>
      </c>
      <c r="E3222" s="29" t="s">
        <v>8053</v>
      </c>
      <c r="F3222" s="30">
        <v>6</v>
      </c>
      <c r="G3222" s="31">
        <v>19</v>
      </c>
      <c r="H3222" s="31">
        <f t="shared" si="179"/>
        <v>114</v>
      </c>
      <c r="J3222" t="s">
        <v>2853</v>
      </c>
      <c r="K3222" s="188" t="s">
        <v>2853</v>
      </c>
    </row>
    <row r="3223" spans="2:11" x14ac:dyDescent="0.25">
      <c r="B3223" s="27" t="s">
        <v>8169</v>
      </c>
      <c r="D3223" s="28" t="s">
        <v>8170</v>
      </c>
      <c r="E3223" s="29" t="s">
        <v>8056</v>
      </c>
      <c r="F3223" s="30">
        <v>6</v>
      </c>
      <c r="G3223" s="31">
        <v>19</v>
      </c>
      <c r="H3223" s="31">
        <f t="shared" si="179"/>
        <v>114</v>
      </c>
      <c r="J3223" t="s">
        <v>2853</v>
      </c>
      <c r="K3223" s="188" t="s">
        <v>2853</v>
      </c>
    </row>
    <row r="3224" spans="2:11" x14ac:dyDescent="0.25">
      <c r="B3224" s="27" t="s">
        <v>8171</v>
      </c>
      <c r="D3224" s="28" t="s">
        <v>8172</v>
      </c>
      <c r="E3224" s="29" t="s">
        <v>8059</v>
      </c>
      <c r="F3224" s="30">
        <v>6</v>
      </c>
      <c r="G3224" s="31">
        <v>19</v>
      </c>
      <c r="H3224" s="31">
        <f t="shared" si="179"/>
        <v>114</v>
      </c>
      <c r="J3224" t="s">
        <v>2853</v>
      </c>
      <c r="K3224" s="188" t="s">
        <v>2853</v>
      </c>
    </row>
    <row r="3225" spans="2:11" x14ac:dyDescent="0.25">
      <c r="B3225" s="27" t="s">
        <v>8173</v>
      </c>
      <c r="D3225" s="28" t="s">
        <v>8174</v>
      </c>
      <c r="E3225" s="29" t="s">
        <v>8062</v>
      </c>
      <c r="F3225" s="30">
        <v>6</v>
      </c>
      <c r="G3225" s="31">
        <v>19</v>
      </c>
      <c r="H3225" s="31">
        <f t="shared" si="179"/>
        <v>114</v>
      </c>
      <c r="J3225" t="s">
        <v>2853</v>
      </c>
      <c r="K3225" s="188" t="s">
        <v>2853</v>
      </c>
    </row>
    <row r="3226" spans="2:11" x14ac:dyDescent="0.25">
      <c r="B3226" s="27" t="s">
        <v>8175</v>
      </c>
      <c r="D3226" s="28" t="s">
        <v>8176</v>
      </c>
      <c r="E3226" s="29" t="s">
        <v>8065</v>
      </c>
      <c r="F3226" s="30">
        <v>6</v>
      </c>
      <c r="G3226" s="31">
        <v>19</v>
      </c>
      <c r="H3226" s="31">
        <f t="shared" ref="H3226:H3268" si="180">+F3226*G3226</f>
        <v>114</v>
      </c>
      <c r="J3226" t="s">
        <v>2853</v>
      </c>
      <c r="K3226" s="188" t="s">
        <v>2853</v>
      </c>
    </row>
    <row r="3227" spans="2:11" x14ac:dyDescent="0.25">
      <c r="B3227" s="27" t="s">
        <v>8177</v>
      </c>
      <c r="D3227" s="28" t="s">
        <v>8178</v>
      </c>
      <c r="E3227" s="29" t="s">
        <v>8068</v>
      </c>
      <c r="F3227" s="30">
        <v>6</v>
      </c>
      <c r="G3227" s="31">
        <v>19</v>
      </c>
      <c r="H3227" s="31">
        <f t="shared" si="180"/>
        <v>114</v>
      </c>
      <c r="J3227" t="s">
        <v>2853</v>
      </c>
      <c r="K3227" s="188" t="s">
        <v>2853</v>
      </c>
    </row>
    <row r="3228" spans="2:11" x14ac:dyDescent="0.25">
      <c r="B3228" s="27" t="s">
        <v>8179</v>
      </c>
      <c r="D3228" s="28" t="s">
        <v>8180</v>
      </c>
      <c r="E3228" s="29" t="s">
        <v>8071</v>
      </c>
      <c r="F3228" s="30">
        <v>6</v>
      </c>
      <c r="G3228" s="31">
        <v>19</v>
      </c>
      <c r="H3228" s="31">
        <f t="shared" si="180"/>
        <v>114</v>
      </c>
      <c r="J3228" t="s">
        <v>2853</v>
      </c>
      <c r="K3228" s="188" t="s">
        <v>2853</v>
      </c>
    </row>
    <row r="3229" spans="2:11" x14ac:dyDescent="0.25">
      <c r="B3229" s="27" t="s">
        <v>8181</v>
      </c>
      <c r="D3229" s="28" t="s">
        <v>8182</v>
      </c>
      <c r="E3229" s="29" t="s">
        <v>8074</v>
      </c>
      <c r="F3229" s="30">
        <v>6</v>
      </c>
      <c r="G3229" s="31">
        <v>19</v>
      </c>
      <c r="H3229" s="31">
        <f t="shared" si="180"/>
        <v>114</v>
      </c>
      <c r="J3229" t="s">
        <v>2853</v>
      </c>
      <c r="K3229" s="188" t="s">
        <v>2853</v>
      </c>
    </row>
    <row r="3230" spans="2:11" x14ac:dyDescent="0.25">
      <c r="B3230" s="27" t="s">
        <v>8183</v>
      </c>
      <c r="D3230" s="28" t="s">
        <v>8184</v>
      </c>
      <c r="E3230" s="29" t="s">
        <v>8077</v>
      </c>
      <c r="F3230" s="30">
        <v>6</v>
      </c>
      <c r="G3230" s="31">
        <v>19</v>
      </c>
      <c r="H3230" s="31">
        <f t="shared" si="180"/>
        <v>114</v>
      </c>
      <c r="J3230" t="s">
        <v>2853</v>
      </c>
      <c r="K3230" s="188" t="s">
        <v>2853</v>
      </c>
    </row>
    <row r="3231" spans="2:11" x14ac:dyDescent="0.25">
      <c r="B3231" s="27" t="s">
        <v>8185</v>
      </c>
      <c r="D3231" s="28" t="s">
        <v>8186</v>
      </c>
      <c r="E3231" s="29" t="s">
        <v>8080</v>
      </c>
      <c r="F3231" s="30">
        <v>6</v>
      </c>
      <c r="G3231" s="31">
        <v>19</v>
      </c>
      <c r="H3231" s="31">
        <f t="shared" si="180"/>
        <v>114</v>
      </c>
      <c r="J3231" t="s">
        <v>2853</v>
      </c>
      <c r="K3231" s="188" t="s">
        <v>2853</v>
      </c>
    </row>
    <row r="3232" spans="2:11" x14ac:dyDescent="0.25">
      <c r="B3232" s="27"/>
      <c r="D3232" s="28"/>
      <c r="E3232" s="29"/>
      <c r="F3232" s="30"/>
      <c r="G3232" s="31"/>
      <c r="H3232" s="31"/>
      <c r="J3232" t="s">
        <v>2853</v>
      </c>
      <c r="K3232" s="188" t="s">
        <v>2853</v>
      </c>
    </row>
    <row r="3233" spans="2:11" x14ac:dyDescent="0.25">
      <c r="B3233" s="27" t="s">
        <v>8187</v>
      </c>
      <c r="D3233" s="28" t="s">
        <v>8188</v>
      </c>
      <c r="E3233" s="29" t="s">
        <v>8038</v>
      </c>
      <c r="F3233" s="30">
        <v>6</v>
      </c>
      <c r="G3233" s="31">
        <v>13</v>
      </c>
      <c r="H3233" s="31">
        <f t="shared" si="180"/>
        <v>78</v>
      </c>
      <c r="J3233" t="s">
        <v>2853</v>
      </c>
      <c r="K3233" s="188" t="s">
        <v>2853</v>
      </c>
    </row>
    <row r="3234" spans="2:11" x14ac:dyDescent="0.25">
      <c r="B3234" s="27" t="s">
        <v>8189</v>
      </c>
      <c r="D3234" s="28" t="s">
        <v>8190</v>
      </c>
      <c r="E3234" s="29" t="s">
        <v>8041</v>
      </c>
      <c r="F3234" s="30">
        <v>6</v>
      </c>
      <c r="G3234" s="31">
        <v>13</v>
      </c>
      <c r="H3234" s="31">
        <f t="shared" si="180"/>
        <v>78</v>
      </c>
      <c r="J3234" t="s">
        <v>2853</v>
      </c>
      <c r="K3234" s="188" t="s">
        <v>2853</v>
      </c>
    </row>
    <row r="3235" spans="2:11" x14ac:dyDescent="0.25">
      <c r="B3235" s="27" t="s">
        <v>8191</v>
      </c>
      <c r="D3235" s="28" t="s">
        <v>8192</v>
      </c>
      <c r="E3235" s="29" t="s">
        <v>8044</v>
      </c>
      <c r="F3235" s="30">
        <v>6</v>
      </c>
      <c r="G3235" s="31">
        <v>13</v>
      </c>
      <c r="H3235" s="31">
        <f t="shared" si="180"/>
        <v>78</v>
      </c>
      <c r="J3235" t="s">
        <v>2853</v>
      </c>
      <c r="K3235" s="188" t="s">
        <v>2853</v>
      </c>
    </row>
    <row r="3236" spans="2:11" x14ac:dyDescent="0.25">
      <c r="B3236" s="27" t="s">
        <v>8193</v>
      </c>
      <c r="D3236" s="28" t="s">
        <v>8194</v>
      </c>
      <c r="E3236" s="29" t="s">
        <v>8047</v>
      </c>
      <c r="F3236" s="30">
        <v>6</v>
      </c>
      <c r="G3236" s="31">
        <v>13</v>
      </c>
      <c r="H3236" s="31">
        <f t="shared" si="180"/>
        <v>78</v>
      </c>
      <c r="J3236" t="s">
        <v>2853</v>
      </c>
      <c r="K3236" s="188" t="s">
        <v>2853</v>
      </c>
    </row>
    <row r="3237" spans="2:11" x14ac:dyDescent="0.25">
      <c r="B3237" s="27" t="s">
        <v>8195</v>
      </c>
      <c r="D3237" s="28" t="s">
        <v>8196</v>
      </c>
      <c r="E3237" s="29" t="s">
        <v>8050</v>
      </c>
      <c r="F3237" s="30">
        <v>6</v>
      </c>
      <c r="G3237" s="31">
        <v>13</v>
      </c>
      <c r="H3237" s="31">
        <f t="shared" si="180"/>
        <v>78</v>
      </c>
      <c r="J3237" t="s">
        <v>2853</v>
      </c>
      <c r="K3237" s="188" t="s">
        <v>2853</v>
      </c>
    </row>
    <row r="3238" spans="2:11" x14ac:dyDescent="0.25">
      <c r="B3238" s="27" t="s">
        <v>8197</v>
      </c>
      <c r="D3238" s="28" t="s">
        <v>8198</v>
      </c>
      <c r="E3238" s="29" t="s">
        <v>8053</v>
      </c>
      <c r="F3238" s="30">
        <v>6</v>
      </c>
      <c r="G3238" s="31">
        <v>13</v>
      </c>
      <c r="H3238" s="31">
        <f t="shared" si="180"/>
        <v>78</v>
      </c>
      <c r="J3238" t="s">
        <v>2853</v>
      </c>
      <c r="K3238" s="188" t="s">
        <v>2853</v>
      </c>
    </row>
    <row r="3239" spans="2:11" x14ac:dyDescent="0.25">
      <c r="B3239" s="27" t="s">
        <v>8199</v>
      </c>
      <c r="D3239" s="28" t="s">
        <v>8200</v>
      </c>
      <c r="E3239" s="29" t="s">
        <v>8056</v>
      </c>
      <c r="F3239" s="30">
        <v>6</v>
      </c>
      <c r="G3239" s="31">
        <v>13</v>
      </c>
      <c r="H3239" s="31">
        <f t="shared" si="180"/>
        <v>78</v>
      </c>
      <c r="J3239" t="s">
        <v>2853</v>
      </c>
      <c r="K3239" s="188" t="s">
        <v>2853</v>
      </c>
    </row>
    <row r="3240" spans="2:11" x14ac:dyDescent="0.25">
      <c r="B3240" s="27" t="s">
        <v>8201</v>
      </c>
      <c r="D3240" s="28" t="s">
        <v>8202</v>
      </c>
      <c r="E3240" s="29" t="s">
        <v>8059</v>
      </c>
      <c r="F3240" s="30">
        <v>6</v>
      </c>
      <c r="G3240" s="31">
        <v>13</v>
      </c>
      <c r="H3240" s="31">
        <f t="shared" si="180"/>
        <v>78</v>
      </c>
      <c r="J3240" t="s">
        <v>2853</v>
      </c>
      <c r="K3240" s="188" t="s">
        <v>2853</v>
      </c>
    </row>
    <row r="3241" spans="2:11" x14ac:dyDescent="0.25">
      <c r="B3241" s="27" t="s">
        <v>8203</v>
      </c>
      <c r="D3241" s="28" t="s">
        <v>8204</v>
      </c>
      <c r="E3241" s="29" t="s">
        <v>8062</v>
      </c>
      <c r="F3241" s="30">
        <v>6</v>
      </c>
      <c r="G3241" s="31">
        <v>13</v>
      </c>
      <c r="H3241" s="31">
        <f t="shared" si="180"/>
        <v>78</v>
      </c>
      <c r="J3241" t="s">
        <v>2853</v>
      </c>
      <c r="K3241" s="188" t="s">
        <v>2853</v>
      </c>
    </row>
    <row r="3242" spans="2:11" x14ac:dyDescent="0.25">
      <c r="B3242" s="27" t="s">
        <v>8205</v>
      </c>
      <c r="D3242" s="28" t="s">
        <v>8206</v>
      </c>
      <c r="E3242" s="29" t="s">
        <v>8065</v>
      </c>
      <c r="F3242" s="30">
        <v>6</v>
      </c>
      <c r="G3242" s="31">
        <v>13</v>
      </c>
      <c r="H3242" s="31">
        <f t="shared" si="180"/>
        <v>78</v>
      </c>
      <c r="J3242" t="s">
        <v>2853</v>
      </c>
      <c r="K3242" s="188" t="s">
        <v>2853</v>
      </c>
    </row>
    <row r="3243" spans="2:11" x14ac:dyDescent="0.25">
      <c r="B3243" s="27" t="s">
        <v>8207</v>
      </c>
      <c r="D3243" s="28" t="s">
        <v>8208</v>
      </c>
      <c r="E3243" s="29" t="s">
        <v>8068</v>
      </c>
      <c r="F3243" s="30">
        <v>6</v>
      </c>
      <c r="G3243" s="31">
        <v>13</v>
      </c>
      <c r="H3243" s="31">
        <f t="shared" si="180"/>
        <v>78</v>
      </c>
      <c r="J3243" t="s">
        <v>2853</v>
      </c>
      <c r="K3243" s="188" t="s">
        <v>2853</v>
      </c>
    </row>
    <row r="3244" spans="2:11" x14ac:dyDescent="0.25">
      <c r="B3244" s="27" t="s">
        <v>8209</v>
      </c>
      <c r="D3244" s="28" t="s">
        <v>8210</v>
      </c>
      <c r="E3244" s="29" t="s">
        <v>8071</v>
      </c>
      <c r="F3244" s="30">
        <v>6</v>
      </c>
      <c r="G3244" s="31">
        <v>13</v>
      </c>
      <c r="H3244" s="31">
        <f t="shared" si="180"/>
        <v>78</v>
      </c>
      <c r="J3244" t="s">
        <v>2853</v>
      </c>
      <c r="K3244" s="188" t="s">
        <v>2853</v>
      </c>
    </row>
    <row r="3245" spans="2:11" x14ac:dyDescent="0.25">
      <c r="B3245" s="27" t="s">
        <v>8211</v>
      </c>
      <c r="D3245" s="28" t="s">
        <v>8212</v>
      </c>
      <c r="E3245" s="29" t="s">
        <v>8074</v>
      </c>
      <c r="F3245" s="30">
        <v>6</v>
      </c>
      <c r="G3245" s="31">
        <v>13</v>
      </c>
      <c r="H3245" s="31">
        <f t="shared" si="180"/>
        <v>78</v>
      </c>
      <c r="J3245" t="s">
        <v>2853</v>
      </c>
      <c r="K3245" s="188" t="s">
        <v>2853</v>
      </c>
    </row>
    <row r="3246" spans="2:11" x14ac:dyDescent="0.25">
      <c r="B3246" s="27" t="s">
        <v>8213</v>
      </c>
      <c r="D3246" s="28" t="s">
        <v>8214</v>
      </c>
      <c r="E3246" s="29" t="s">
        <v>8077</v>
      </c>
      <c r="F3246" s="30">
        <v>6</v>
      </c>
      <c r="G3246" s="31">
        <v>13</v>
      </c>
      <c r="H3246" s="31">
        <f t="shared" si="180"/>
        <v>78</v>
      </c>
      <c r="J3246" t="s">
        <v>2853</v>
      </c>
      <c r="K3246" s="188" t="s">
        <v>2853</v>
      </c>
    </row>
    <row r="3247" spans="2:11" x14ac:dyDescent="0.25">
      <c r="B3247" s="27" t="s">
        <v>8215</v>
      </c>
      <c r="D3247" s="28" t="s">
        <v>8216</v>
      </c>
      <c r="E3247" s="29" t="s">
        <v>8080</v>
      </c>
      <c r="F3247" s="30">
        <v>6</v>
      </c>
      <c r="G3247" s="31">
        <v>13</v>
      </c>
      <c r="H3247" s="31">
        <f t="shared" si="180"/>
        <v>78</v>
      </c>
      <c r="J3247" t="s">
        <v>2853</v>
      </c>
      <c r="K3247" s="188" t="s">
        <v>2853</v>
      </c>
    </row>
    <row r="3248" spans="2:11" x14ac:dyDescent="0.25">
      <c r="B3248" s="27" t="s">
        <v>8217</v>
      </c>
      <c r="D3248" s="28" t="s">
        <v>8218</v>
      </c>
      <c r="E3248" s="29" t="s">
        <v>8083</v>
      </c>
      <c r="F3248" s="30">
        <v>6</v>
      </c>
      <c r="G3248" s="31">
        <v>13</v>
      </c>
      <c r="H3248" s="31">
        <f t="shared" si="180"/>
        <v>78</v>
      </c>
      <c r="J3248" t="s">
        <v>2853</v>
      </c>
      <c r="K3248" s="188" t="s">
        <v>2853</v>
      </c>
    </row>
    <row r="3249" spans="2:11" x14ac:dyDescent="0.25">
      <c r="B3249" s="27" t="s">
        <v>8219</v>
      </c>
      <c r="D3249" s="28" t="s">
        <v>8220</v>
      </c>
      <c r="E3249" s="29" t="s">
        <v>8086</v>
      </c>
      <c r="F3249" s="30">
        <v>6</v>
      </c>
      <c r="G3249" s="31">
        <v>13</v>
      </c>
      <c r="H3249" s="31">
        <f t="shared" si="180"/>
        <v>78</v>
      </c>
      <c r="J3249" t="s">
        <v>2853</v>
      </c>
      <c r="K3249" s="188" t="s">
        <v>2853</v>
      </c>
    </row>
    <row r="3250" spans="2:11" x14ac:dyDescent="0.25">
      <c r="B3250" s="27" t="s">
        <v>8221</v>
      </c>
      <c r="D3250" s="28" t="s">
        <v>8222</v>
      </c>
      <c r="E3250" s="29" t="s">
        <v>8089</v>
      </c>
      <c r="F3250" s="30">
        <v>6</v>
      </c>
      <c r="G3250" s="31">
        <v>13</v>
      </c>
      <c r="H3250" s="31">
        <f t="shared" si="180"/>
        <v>78</v>
      </c>
      <c r="J3250" t="s">
        <v>2853</v>
      </c>
      <c r="K3250" s="188" t="s">
        <v>2853</v>
      </c>
    </row>
    <row r="3251" spans="2:11" x14ac:dyDescent="0.25">
      <c r="B3251" s="27" t="s">
        <v>8223</v>
      </c>
      <c r="D3251" s="28" t="s">
        <v>8224</v>
      </c>
      <c r="E3251" s="29" t="s">
        <v>8038</v>
      </c>
      <c r="F3251" s="30">
        <v>6</v>
      </c>
      <c r="G3251" s="31">
        <v>19</v>
      </c>
      <c r="H3251" s="31">
        <f t="shared" si="180"/>
        <v>114</v>
      </c>
      <c r="J3251" t="s">
        <v>2853</v>
      </c>
      <c r="K3251" s="188" t="s">
        <v>2853</v>
      </c>
    </row>
    <row r="3252" spans="2:11" x14ac:dyDescent="0.25">
      <c r="B3252" s="27" t="s">
        <v>8225</v>
      </c>
      <c r="D3252" s="28" t="s">
        <v>8226</v>
      </c>
      <c r="E3252" s="29" t="s">
        <v>8041</v>
      </c>
      <c r="F3252" s="30">
        <v>6</v>
      </c>
      <c r="G3252" s="31">
        <v>19</v>
      </c>
      <c r="H3252" s="31">
        <f t="shared" si="180"/>
        <v>114</v>
      </c>
      <c r="J3252" t="s">
        <v>2853</v>
      </c>
      <c r="K3252" s="188" t="s">
        <v>2853</v>
      </c>
    </row>
    <row r="3253" spans="2:11" x14ac:dyDescent="0.25">
      <c r="B3253" s="27" t="s">
        <v>8227</v>
      </c>
      <c r="D3253" s="28" t="s">
        <v>8228</v>
      </c>
      <c r="E3253" s="29" t="s">
        <v>8044</v>
      </c>
      <c r="F3253" s="30">
        <v>6</v>
      </c>
      <c r="G3253" s="31">
        <v>19</v>
      </c>
      <c r="H3253" s="31">
        <f t="shared" si="180"/>
        <v>114</v>
      </c>
      <c r="J3253" t="s">
        <v>2853</v>
      </c>
      <c r="K3253" s="188" t="s">
        <v>2853</v>
      </c>
    </row>
    <row r="3254" spans="2:11" x14ac:dyDescent="0.25">
      <c r="B3254" s="27" t="s">
        <v>8229</v>
      </c>
      <c r="D3254" s="28" t="s">
        <v>8230</v>
      </c>
      <c r="E3254" s="29" t="s">
        <v>8047</v>
      </c>
      <c r="F3254" s="30">
        <v>6</v>
      </c>
      <c r="G3254" s="31">
        <v>19</v>
      </c>
      <c r="H3254" s="31">
        <f t="shared" si="180"/>
        <v>114</v>
      </c>
      <c r="J3254" t="s">
        <v>2853</v>
      </c>
      <c r="K3254" s="188" t="s">
        <v>2853</v>
      </c>
    </row>
    <row r="3255" spans="2:11" x14ac:dyDescent="0.25">
      <c r="B3255" s="27" t="s">
        <v>8231</v>
      </c>
      <c r="D3255" s="28" t="s">
        <v>8232</v>
      </c>
      <c r="E3255" s="29" t="s">
        <v>8050</v>
      </c>
      <c r="F3255" s="30">
        <v>6</v>
      </c>
      <c r="G3255" s="31">
        <v>19</v>
      </c>
      <c r="H3255" s="31">
        <f t="shared" si="180"/>
        <v>114</v>
      </c>
      <c r="J3255" t="s">
        <v>2853</v>
      </c>
      <c r="K3255" s="188" t="s">
        <v>2853</v>
      </c>
    </row>
    <row r="3256" spans="2:11" x14ac:dyDescent="0.25">
      <c r="B3256" s="27" t="s">
        <v>8233</v>
      </c>
      <c r="D3256" s="28" t="s">
        <v>8234</v>
      </c>
      <c r="E3256" s="29" t="s">
        <v>8053</v>
      </c>
      <c r="F3256" s="30">
        <v>6</v>
      </c>
      <c r="G3256" s="31">
        <v>19</v>
      </c>
      <c r="H3256" s="31">
        <f t="shared" si="180"/>
        <v>114</v>
      </c>
      <c r="J3256" t="s">
        <v>2853</v>
      </c>
      <c r="K3256" s="188" t="s">
        <v>2853</v>
      </c>
    </row>
    <row r="3257" spans="2:11" x14ac:dyDescent="0.25">
      <c r="B3257" s="27" t="s">
        <v>8235</v>
      </c>
      <c r="D3257" s="28" t="s">
        <v>8236</v>
      </c>
      <c r="E3257" s="29" t="s">
        <v>8056</v>
      </c>
      <c r="F3257" s="30">
        <v>6</v>
      </c>
      <c r="G3257" s="31">
        <v>19</v>
      </c>
      <c r="H3257" s="31">
        <f t="shared" si="180"/>
        <v>114</v>
      </c>
      <c r="J3257" t="s">
        <v>2853</v>
      </c>
      <c r="K3257" s="188" t="s">
        <v>2853</v>
      </c>
    </row>
    <row r="3258" spans="2:11" x14ac:dyDescent="0.25">
      <c r="B3258" s="27" t="s">
        <v>8237</v>
      </c>
      <c r="D3258" s="28" t="s">
        <v>8238</v>
      </c>
      <c r="E3258" s="29" t="s">
        <v>8059</v>
      </c>
      <c r="F3258" s="30">
        <v>6</v>
      </c>
      <c r="G3258" s="31">
        <v>19</v>
      </c>
      <c r="H3258" s="31">
        <f t="shared" si="180"/>
        <v>114</v>
      </c>
      <c r="J3258" t="s">
        <v>2853</v>
      </c>
      <c r="K3258" s="188" t="s">
        <v>2853</v>
      </c>
    </row>
    <row r="3259" spans="2:11" x14ac:dyDescent="0.25">
      <c r="B3259" s="27" t="s">
        <v>8239</v>
      </c>
      <c r="D3259" s="28" t="s">
        <v>8240</v>
      </c>
      <c r="E3259" s="29" t="s">
        <v>8062</v>
      </c>
      <c r="F3259" s="30">
        <v>6</v>
      </c>
      <c r="G3259" s="31">
        <v>19</v>
      </c>
      <c r="H3259" s="31">
        <f t="shared" si="180"/>
        <v>114</v>
      </c>
      <c r="J3259" t="s">
        <v>2853</v>
      </c>
      <c r="K3259" s="188" t="s">
        <v>2853</v>
      </c>
    </row>
    <row r="3260" spans="2:11" x14ac:dyDescent="0.25">
      <c r="B3260" s="27" t="s">
        <v>8241</v>
      </c>
      <c r="D3260" s="28" t="s">
        <v>8242</v>
      </c>
      <c r="E3260" s="29" t="s">
        <v>8065</v>
      </c>
      <c r="F3260" s="30">
        <v>6</v>
      </c>
      <c r="G3260" s="31">
        <v>19</v>
      </c>
      <c r="H3260" s="31">
        <f t="shared" si="180"/>
        <v>114</v>
      </c>
      <c r="J3260" t="s">
        <v>2853</v>
      </c>
      <c r="K3260" s="188" t="s">
        <v>2853</v>
      </c>
    </row>
    <row r="3261" spans="2:11" x14ac:dyDescent="0.25">
      <c r="B3261" s="27" t="s">
        <v>8243</v>
      </c>
      <c r="D3261" s="28" t="s">
        <v>8244</v>
      </c>
      <c r="E3261" s="29" t="s">
        <v>8068</v>
      </c>
      <c r="F3261" s="30">
        <v>6</v>
      </c>
      <c r="G3261" s="31">
        <v>19</v>
      </c>
      <c r="H3261" s="31">
        <f t="shared" si="180"/>
        <v>114</v>
      </c>
      <c r="J3261" t="s">
        <v>2853</v>
      </c>
      <c r="K3261" s="188" t="s">
        <v>2853</v>
      </c>
    </row>
    <row r="3262" spans="2:11" x14ac:dyDescent="0.25">
      <c r="B3262" s="27" t="s">
        <v>8245</v>
      </c>
      <c r="D3262" s="28" t="s">
        <v>8246</v>
      </c>
      <c r="E3262" s="29" t="s">
        <v>8071</v>
      </c>
      <c r="F3262" s="30">
        <v>6</v>
      </c>
      <c r="G3262" s="31">
        <v>19</v>
      </c>
      <c r="H3262" s="31">
        <f t="shared" si="180"/>
        <v>114</v>
      </c>
      <c r="J3262" t="s">
        <v>2853</v>
      </c>
      <c r="K3262" s="188" t="s">
        <v>2853</v>
      </c>
    </row>
    <row r="3263" spans="2:11" x14ac:dyDescent="0.25">
      <c r="B3263" s="27" t="s">
        <v>8247</v>
      </c>
      <c r="D3263" s="28" t="s">
        <v>8248</v>
      </c>
      <c r="E3263" s="29" t="s">
        <v>8074</v>
      </c>
      <c r="F3263" s="30">
        <v>6</v>
      </c>
      <c r="G3263" s="31">
        <v>19</v>
      </c>
      <c r="H3263" s="31">
        <f t="shared" si="180"/>
        <v>114</v>
      </c>
      <c r="J3263" t="s">
        <v>2853</v>
      </c>
      <c r="K3263" s="188" t="s">
        <v>2853</v>
      </c>
    </row>
    <row r="3264" spans="2:11" x14ac:dyDescent="0.25">
      <c r="B3264" s="27" t="s">
        <v>8249</v>
      </c>
      <c r="D3264" s="28" t="s">
        <v>8250</v>
      </c>
      <c r="E3264" s="29" t="s">
        <v>8077</v>
      </c>
      <c r="F3264" s="30">
        <v>6</v>
      </c>
      <c r="G3264" s="31">
        <v>19</v>
      </c>
      <c r="H3264" s="31">
        <f t="shared" si="180"/>
        <v>114</v>
      </c>
      <c r="J3264" t="s">
        <v>2853</v>
      </c>
      <c r="K3264" s="188" t="s">
        <v>2853</v>
      </c>
    </row>
    <row r="3265" spans="2:11" x14ac:dyDescent="0.25">
      <c r="B3265" s="27" t="s">
        <v>8251</v>
      </c>
      <c r="D3265" s="28" t="s">
        <v>8252</v>
      </c>
      <c r="E3265" s="29" t="s">
        <v>8080</v>
      </c>
      <c r="F3265" s="30">
        <v>6</v>
      </c>
      <c r="G3265" s="31">
        <v>19</v>
      </c>
      <c r="H3265" s="31">
        <f t="shared" si="180"/>
        <v>114</v>
      </c>
      <c r="J3265" t="s">
        <v>2853</v>
      </c>
      <c r="K3265" s="188" t="s">
        <v>2853</v>
      </c>
    </row>
    <row r="3266" spans="2:11" x14ac:dyDescent="0.25">
      <c r="B3266" s="27" t="s">
        <v>8253</v>
      </c>
      <c r="D3266" s="28" t="s">
        <v>8254</v>
      </c>
      <c r="E3266" s="29" t="s">
        <v>8083</v>
      </c>
      <c r="F3266" s="30">
        <v>6</v>
      </c>
      <c r="G3266" s="31">
        <v>19</v>
      </c>
      <c r="H3266" s="31">
        <f t="shared" si="180"/>
        <v>114</v>
      </c>
      <c r="J3266" t="s">
        <v>2853</v>
      </c>
      <c r="K3266" s="188" t="s">
        <v>2853</v>
      </c>
    </row>
    <row r="3267" spans="2:11" x14ac:dyDescent="0.25">
      <c r="B3267" s="27" t="s">
        <v>8255</v>
      </c>
      <c r="D3267" s="28" t="s">
        <v>8256</v>
      </c>
      <c r="E3267" s="29" t="s">
        <v>8086</v>
      </c>
      <c r="F3267" s="30">
        <v>6</v>
      </c>
      <c r="G3267" s="31">
        <v>19</v>
      </c>
      <c r="H3267" s="31">
        <f t="shared" si="180"/>
        <v>114</v>
      </c>
      <c r="J3267" t="s">
        <v>2853</v>
      </c>
      <c r="K3267" s="188" t="s">
        <v>2853</v>
      </c>
    </row>
    <row r="3268" spans="2:11" x14ac:dyDescent="0.25">
      <c r="B3268" s="27" t="s">
        <v>8257</v>
      </c>
      <c r="D3268" s="28" t="s">
        <v>8258</v>
      </c>
      <c r="E3268" s="29" t="s">
        <v>8089</v>
      </c>
      <c r="F3268" s="30">
        <v>6</v>
      </c>
      <c r="G3268" s="31">
        <v>19</v>
      </c>
      <c r="H3268" s="31">
        <f t="shared" si="180"/>
        <v>114</v>
      </c>
      <c r="J3268" t="s">
        <v>2853</v>
      </c>
      <c r="K3268" s="188" t="s">
        <v>2853</v>
      </c>
    </row>
    <row r="3269" spans="2:11" ht="15" x14ac:dyDescent="0.25">
      <c r="J3269" t="s">
        <v>2853</v>
      </c>
      <c r="K3269" s="188" t="s">
        <v>2853</v>
      </c>
    </row>
    <row r="3270" spans="2:11" ht="30" x14ac:dyDescent="0.4">
      <c r="B3270" s="171" t="s">
        <v>8383</v>
      </c>
      <c r="C3270" s="25"/>
      <c r="D3270" s="25"/>
      <c r="E3270" s="25"/>
      <c r="F3270" s="25"/>
      <c r="G3270" s="25"/>
      <c r="J3270" t="s">
        <v>2853</v>
      </c>
      <c r="K3270" s="188" t="s">
        <v>2853</v>
      </c>
    </row>
    <row r="3271" spans="2:11" x14ac:dyDescent="0.35">
      <c r="B3271" s="184" t="s">
        <v>8271</v>
      </c>
      <c r="C3271" s="183"/>
      <c r="D3271" s="184" t="s">
        <v>8348</v>
      </c>
      <c r="E3271" s="183" t="s">
        <v>59</v>
      </c>
      <c r="F3271" s="183">
        <v>18</v>
      </c>
      <c r="G3271" s="255">
        <v>17.52</v>
      </c>
      <c r="H3271" s="255">
        <f t="shared" ref="H3271:H3309" si="181">+F3271*G3271</f>
        <v>315.36</v>
      </c>
      <c r="I3271" s="137"/>
      <c r="J3271" t="s">
        <v>2853</v>
      </c>
      <c r="K3271" s="188" t="s">
        <v>2853</v>
      </c>
    </row>
    <row r="3272" spans="2:11" x14ac:dyDescent="0.35">
      <c r="B3272" s="184" t="s">
        <v>8275</v>
      </c>
      <c r="C3272" s="183"/>
      <c r="D3272" s="184" t="s">
        <v>8349</v>
      </c>
      <c r="E3272" s="183" t="s">
        <v>4633</v>
      </c>
      <c r="F3272" s="183">
        <v>18</v>
      </c>
      <c r="G3272" s="255">
        <v>16.55</v>
      </c>
      <c r="H3272" s="255">
        <f t="shared" si="181"/>
        <v>297.90000000000003</v>
      </c>
      <c r="I3272" s="137"/>
      <c r="J3272" t="s">
        <v>2853</v>
      </c>
      <c r="K3272" s="188" t="s">
        <v>2853</v>
      </c>
    </row>
    <row r="3273" spans="2:11" x14ac:dyDescent="0.35">
      <c r="B3273" s="184" t="s">
        <v>8277</v>
      </c>
      <c r="C3273" s="183"/>
      <c r="D3273" s="184" t="s">
        <v>8350</v>
      </c>
      <c r="E3273" s="183" t="s">
        <v>671</v>
      </c>
      <c r="F3273" s="183">
        <v>18</v>
      </c>
      <c r="G3273" s="255">
        <v>19.89</v>
      </c>
      <c r="H3273" s="255">
        <f t="shared" si="181"/>
        <v>358.02</v>
      </c>
      <c r="I3273" s="137"/>
      <c r="J3273" t="s">
        <v>2853</v>
      </c>
      <c r="K3273" s="188" t="s">
        <v>2853</v>
      </c>
    </row>
    <row r="3274" spans="2:11" x14ac:dyDescent="0.35">
      <c r="B3274" s="184" t="s">
        <v>8279</v>
      </c>
      <c r="C3274" s="183"/>
      <c r="D3274" s="184" t="s">
        <v>8351</v>
      </c>
      <c r="E3274" s="183" t="s">
        <v>563</v>
      </c>
      <c r="F3274" s="183">
        <v>20</v>
      </c>
      <c r="G3274" s="255">
        <v>12.46</v>
      </c>
      <c r="H3274" s="255">
        <f t="shared" si="181"/>
        <v>249.20000000000002</v>
      </c>
      <c r="I3274" s="137"/>
      <c r="J3274" t="s">
        <v>2853</v>
      </c>
      <c r="K3274" s="188" t="s">
        <v>2853</v>
      </c>
    </row>
    <row r="3275" spans="2:11" x14ac:dyDescent="0.35">
      <c r="B3275" s="184" t="s">
        <v>8281</v>
      </c>
      <c r="C3275" s="183"/>
      <c r="D3275" s="184" t="s">
        <v>8352</v>
      </c>
      <c r="E3275" s="183" t="s">
        <v>563</v>
      </c>
      <c r="F3275" s="183">
        <v>18</v>
      </c>
      <c r="G3275" s="255">
        <v>19.89</v>
      </c>
      <c r="H3275" s="255">
        <f t="shared" si="181"/>
        <v>358.02</v>
      </c>
      <c r="I3275" s="137"/>
      <c r="J3275" t="s">
        <v>2853</v>
      </c>
      <c r="K3275" s="188" t="s">
        <v>2853</v>
      </c>
    </row>
    <row r="3276" spans="2:11" x14ac:dyDescent="0.35">
      <c r="B3276" s="184" t="s">
        <v>8284</v>
      </c>
      <c r="C3276" s="183"/>
      <c r="D3276" s="184" t="s">
        <v>8353</v>
      </c>
      <c r="E3276" s="183" t="s">
        <v>21</v>
      </c>
      <c r="F3276" s="183">
        <v>6</v>
      </c>
      <c r="G3276" s="255">
        <v>42.75</v>
      </c>
      <c r="H3276" s="255">
        <f t="shared" si="181"/>
        <v>256.5</v>
      </c>
      <c r="I3276" s="137"/>
      <c r="J3276" t="s">
        <v>2853</v>
      </c>
      <c r="K3276" s="188" t="s">
        <v>2853</v>
      </c>
    </row>
    <row r="3277" spans="2:11" x14ac:dyDescent="0.35">
      <c r="B3277" s="184" t="s">
        <v>8286</v>
      </c>
      <c r="C3277" s="183"/>
      <c r="D3277" s="184" t="s">
        <v>8354</v>
      </c>
      <c r="E3277" s="183" t="s">
        <v>21</v>
      </c>
      <c r="F3277" s="183">
        <v>18</v>
      </c>
      <c r="G3277" s="255">
        <v>14.51</v>
      </c>
      <c r="H3277" s="255">
        <f t="shared" si="181"/>
        <v>261.18</v>
      </c>
      <c r="I3277" s="137"/>
      <c r="J3277" t="s">
        <v>2853</v>
      </c>
      <c r="K3277" s="188" t="s">
        <v>2853</v>
      </c>
    </row>
    <row r="3278" spans="2:11" x14ac:dyDescent="0.35">
      <c r="B3278" s="184" t="s">
        <v>8288</v>
      </c>
      <c r="C3278" s="183"/>
      <c r="D3278" s="184" t="s">
        <v>8355</v>
      </c>
      <c r="E3278" s="183" t="s">
        <v>21</v>
      </c>
      <c r="F3278" s="183">
        <v>12</v>
      </c>
      <c r="G3278" s="255">
        <v>12.74</v>
      </c>
      <c r="H3278" s="255">
        <f t="shared" si="181"/>
        <v>152.88</v>
      </c>
      <c r="I3278" s="137"/>
      <c r="J3278" t="s">
        <v>2853</v>
      </c>
      <c r="K3278" s="188" t="s">
        <v>2853</v>
      </c>
    </row>
    <row r="3279" spans="2:11" x14ac:dyDescent="0.35">
      <c r="B3279" s="184" t="s">
        <v>8291</v>
      </c>
      <c r="C3279" s="183"/>
      <c r="D3279" s="184" t="s">
        <v>8356</v>
      </c>
      <c r="E3279" s="183" t="s">
        <v>671</v>
      </c>
      <c r="F3279" s="183">
        <v>18</v>
      </c>
      <c r="G3279" s="255">
        <v>17.84</v>
      </c>
      <c r="H3279" s="255">
        <f t="shared" si="181"/>
        <v>321.12</v>
      </c>
      <c r="I3279" s="137"/>
      <c r="J3279" t="s">
        <v>2853</v>
      </c>
      <c r="K3279" s="188" t="s">
        <v>2853</v>
      </c>
    </row>
    <row r="3280" spans="2:11" x14ac:dyDescent="0.35">
      <c r="B3280" s="184" t="s">
        <v>8293</v>
      </c>
      <c r="C3280" s="183"/>
      <c r="D3280" s="184" t="s">
        <v>8357</v>
      </c>
      <c r="E3280" s="183" t="s">
        <v>563</v>
      </c>
      <c r="F3280" s="183">
        <v>18</v>
      </c>
      <c r="G3280" s="255">
        <v>17.84</v>
      </c>
      <c r="H3280" s="255">
        <f t="shared" si="181"/>
        <v>321.12</v>
      </c>
      <c r="I3280" s="137"/>
      <c r="J3280" t="s">
        <v>2853</v>
      </c>
      <c r="K3280" s="188" t="s">
        <v>2853</v>
      </c>
    </row>
    <row r="3281" spans="2:11" x14ac:dyDescent="0.35">
      <c r="B3281" s="184" t="s">
        <v>8295</v>
      </c>
      <c r="C3281" s="183"/>
      <c r="D3281" s="184" t="s">
        <v>8358</v>
      </c>
      <c r="E3281" s="183" t="s">
        <v>59</v>
      </c>
      <c r="F3281" s="183">
        <v>12</v>
      </c>
      <c r="G3281" s="255">
        <v>22</v>
      </c>
      <c r="H3281" s="255">
        <f t="shared" si="181"/>
        <v>264</v>
      </c>
      <c r="I3281" s="137"/>
      <c r="J3281" t="s">
        <v>2853</v>
      </c>
      <c r="K3281" s="188" t="s">
        <v>2853</v>
      </c>
    </row>
    <row r="3282" spans="2:11" x14ac:dyDescent="0.35">
      <c r="B3282" s="184" t="s">
        <v>8297</v>
      </c>
      <c r="C3282" s="183"/>
      <c r="D3282" s="184" t="s">
        <v>8359</v>
      </c>
      <c r="E3282" s="183" t="s">
        <v>563</v>
      </c>
      <c r="F3282" s="183">
        <v>12</v>
      </c>
      <c r="G3282" s="255">
        <v>24.22</v>
      </c>
      <c r="H3282" s="255">
        <f t="shared" si="181"/>
        <v>290.64</v>
      </c>
      <c r="I3282" s="137"/>
      <c r="J3282" t="s">
        <v>2853</v>
      </c>
      <c r="K3282" s="188" t="s">
        <v>2853</v>
      </c>
    </row>
    <row r="3283" spans="2:11" x14ac:dyDescent="0.35">
      <c r="B3283" s="184" t="s">
        <v>8300</v>
      </c>
      <c r="C3283" s="183"/>
      <c r="D3283" s="184" t="s">
        <v>8360</v>
      </c>
      <c r="E3283" s="183" t="s">
        <v>60</v>
      </c>
      <c r="F3283" s="183">
        <v>25</v>
      </c>
      <c r="G3283" s="255">
        <v>2.02</v>
      </c>
      <c r="H3283" s="255">
        <f t="shared" si="181"/>
        <v>50.5</v>
      </c>
      <c r="I3283" s="137"/>
      <c r="J3283" t="s">
        <v>2853</v>
      </c>
      <c r="K3283" s="188" t="s">
        <v>2853</v>
      </c>
    </row>
    <row r="3284" spans="2:11" x14ac:dyDescent="0.35">
      <c r="B3284" s="184" t="s">
        <v>8302</v>
      </c>
      <c r="C3284" s="183"/>
      <c r="D3284" s="184" t="s">
        <v>8361</v>
      </c>
      <c r="E3284" s="183" t="s">
        <v>4633</v>
      </c>
      <c r="F3284" s="183">
        <v>18</v>
      </c>
      <c r="G3284" s="255">
        <v>14.88</v>
      </c>
      <c r="H3284" s="255">
        <f t="shared" si="181"/>
        <v>267.84000000000003</v>
      </c>
      <c r="I3284" s="137"/>
      <c r="J3284" t="s">
        <v>2853</v>
      </c>
      <c r="K3284" s="188" t="s">
        <v>2853</v>
      </c>
    </row>
    <row r="3285" spans="2:11" x14ac:dyDescent="0.35">
      <c r="B3285" s="184" t="s">
        <v>8304</v>
      </c>
      <c r="C3285" s="183"/>
      <c r="D3285" s="184" t="s">
        <v>8362</v>
      </c>
      <c r="E3285" s="183" t="s">
        <v>7347</v>
      </c>
      <c r="F3285" s="183">
        <v>400</v>
      </c>
      <c r="G3285" s="255">
        <v>4.41</v>
      </c>
      <c r="H3285" s="255">
        <f t="shared" si="181"/>
        <v>1764</v>
      </c>
      <c r="I3285" s="137"/>
      <c r="J3285" t="s">
        <v>2853</v>
      </c>
      <c r="K3285" s="188" t="s">
        <v>2853</v>
      </c>
    </row>
    <row r="3286" spans="2:11" x14ac:dyDescent="0.35">
      <c r="B3286" s="184" t="s">
        <v>8306</v>
      </c>
      <c r="C3286" s="183"/>
      <c r="D3286" s="184" t="s">
        <v>8363</v>
      </c>
      <c r="E3286" s="183" t="s">
        <v>21</v>
      </c>
      <c r="F3286" s="183">
        <v>12</v>
      </c>
      <c r="G3286" s="255">
        <v>19.62</v>
      </c>
      <c r="H3286" s="255">
        <f t="shared" si="181"/>
        <v>235.44</v>
      </c>
      <c r="I3286" s="137"/>
      <c r="J3286" t="s">
        <v>2853</v>
      </c>
      <c r="K3286" s="188" t="s">
        <v>2853</v>
      </c>
    </row>
    <row r="3287" spans="2:11" x14ac:dyDescent="0.35">
      <c r="B3287" s="184" t="s">
        <v>8308</v>
      </c>
      <c r="C3287" s="183"/>
      <c r="D3287" s="184" t="s">
        <v>8364</v>
      </c>
      <c r="E3287" s="183" t="s">
        <v>7347</v>
      </c>
      <c r="F3287" s="183">
        <v>25</v>
      </c>
      <c r="G3287" s="255">
        <v>4.4400000000000004</v>
      </c>
      <c r="H3287" s="255">
        <f t="shared" si="181"/>
        <v>111.00000000000001</v>
      </c>
      <c r="I3287" s="137"/>
      <c r="J3287" t="s">
        <v>2853</v>
      </c>
      <c r="K3287" s="188" t="s">
        <v>2853</v>
      </c>
    </row>
    <row r="3288" spans="2:11" x14ac:dyDescent="0.35">
      <c r="B3288" s="184" t="s">
        <v>8310</v>
      </c>
      <c r="C3288" s="183"/>
      <c r="D3288" s="184" t="s">
        <v>8365</v>
      </c>
      <c r="E3288" s="183" t="s">
        <v>59</v>
      </c>
      <c r="F3288" s="183">
        <v>18</v>
      </c>
      <c r="G3288" s="255">
        <v>15.85</v>
      </c>
      <c r="H3288" s="255">
        <f t="shared" si="181"/>
        <v>285.3</v>
      </c>
      <c r="I3288" s="137"/>
      <c r="J3288" t="s">
        <v>2853</v>
      </c>
      <c r="K3288" s="188" t="s">
        <v>2853</v>
      </c>
    </row>
    <row r="3289" spans="2:11" x14ac:dyDescent="0.35">
      <c r="B3289" s="184" t="s">
        <v>8312</v>
      </c>
      <c r="C3289" s="183"/>
      <c r="D3289" s="184" t="s">
        <v>8366</v>
      </c>
      <c r="E3289" s="183" t="s">
        <v>19</v>
      </c>
      <c r="F3289" s="183">
        <v>18</v>
      </c>
      <c r="G3289" s="255">
        <v>16.23</v>
      </c>
      <c r="H3289" s="255">
        <f t="shared" si="181"/>
        <v>292.14</v>
      </c>
      <c r="I3289" s="137"/>
      <c r="J3289" t="s">
        <v>2853</v>
      </c>
      <c r="K3289" s="188" t="s">
        <v>2853</v>
      </c>
    </row>
    <row r="3290" spans="2:11" x14ac:dyDescent="0.35">
      <c r="B3290" s="184" t="s">
        <v>8314</v>
      </c>
      <c r="C3290" s="183"/>
      <c r="D3290" s="184" t="s">
        <v>8367</v>
      </c>
      <c r="E3290" s="183" t="s">
        <v>427</v>
      </c>
      <c r="F3290" s="183">
        <v>25</v>
      </c>
      <c r="G3290" s="255">
        <v>2.16</v>
      </c>
      <c r="H3290" s="255">
        <f t="shared" si="181"/>
        <v>54</v>
      </c>
      <c r="I3290" s="137"/>
      <c r="J3290" t="s">
        <v>2853</v>
      </c>
      <c r="K3290" s="188" t="s">
        <v>2853</v>
      </c>
    </row>
    <row r="3291" spans="2:11" x14ac:dyDescent="0.35">
      <c r="B3291" s="184" t="s">
        <v>8316</v>
      </c>
      <c r="C3291" s="183"/>
      <c r="D3291" s="184" t="s">
        <v>8368</v>
      </c>
      <c r="E3291" s="183" t="s">
        <v>21</v>
      </c>
      <c r="F3291" s="183">
        <v>8</v>
      </c>
      <c r="G3291" s="255">
        <v>21.1</v>
      </c>
      <c r="H3291" s="255">
        <f t="shared" si="181"/>
        <v>168.8</v>
      </c>
      <c r="I3291" s="137"/>
      <c r="J3291" t="s">
        <v>2853</v>
      </c>
      <c r="K3291" s="188" t="s">
        <v>2853</v>
      </c>
    </row>
    <row r="3292" spans="2:11" x14ac:dyDescent="0.35">
      <c r="B3292" s="184" t="s">
        <v>8318</v>
      </c>
      <c r="C3292" s="183"/>
      <c r="D3292" s="184" t="s">
        <v>8369</v>
      </c>
      <c r="E3292" s="183" t="s">
        <v>21</v>
      </c>
      <c r="F3292" s="183">
        <v>18</v>
      </c>
      <c r="G3292" s="255">
        <v>16.170000000000002</v>
      </c>
      <c r="H3292" s="255">
        <f t="shared" si="181"/>
        <v>291.06000000000006</v>
      </c>
      <c r="I3292" s="137"/>
      <c r="J3292" t="s">
        <v>2853</v>
      </c>
      <c r="K3292" s="188" t="s">
        <v>2853</v>
      </c>
    </row>
    <row r="3293" spans="2:11" x14ac:dyDescent="0.35">
      <c r="B3293" s="184" t="s">
        <v>8320</v>
      </c>
      <c r="C3293" s="183"/>
      <c r="D3293" s="184" t="s">
        <v>8370</v>
      </c>
      <c r="E3293" s="183" t="s">
        <v>19</v>
      </c>
      <c r="F3293" s="183">
        <v>18</v>
      </c>
      <c r="G3293" s="255">
        <v>18.05</v>
      </c>
      <c r="H3293" s="255">
        <f t="shared" si="181"/>
        <v>324.90000000000003</v>
      </c>
      <c r="I3293" s="137"/>
      <c r="J3293" t="s">
        <v>2853</v>
      </c>
      <c r="K3293" s="188" t="s">
        <v>2853</v>
      </c>
    </row>
    <row r="3294" spans="2:11" x14ac:dyDescent="0.35">
      <c r="B3294" s="184" t="s">
        <v>8322</v>
      </c>
      <c r="C3294" s="183"/>
      <c r="D3294" s="184" t="s">
        <v>8371</v>
      </c>
      <c r="E3294" s="183" t="s">
        <v>4633</v>
      </c>
      <c r="F3294" s="183">
        <v>12</v>
      </c>
      <c r="G3294" s="255">
        <v>19.62</v>
      </c>
      <c r="H3294" s="255">
        <f t="shared" si="181"/>
        <v>235.44</v>
      </c>
      <c r="I3294" s="137"/>
      <c r="J3294" t="s">
        <v>2853</v>
      </c>
      <c r="K3294" s="188" t="s">
        <v>2853</v>
      </c>
    </row>
    <row r="3295" spans="2:11" x14ac:dyDescent="0.35">
      <c r="B3295" s="184" t="s">
        <v>8324</v>
      </c>
      <c r="C3295" s="183"/>
      <c r="D3295" s="184" t="s">
        <v>8372</v>
      </c>
      <c r="E3295" s="183" t="s">
        <v>671</v>
      </c>
      <c r="F3295" s="183">
        <v>12</v>
      </c>
      <c r="G3295" s="255">
        <v>24.22</v>
      </c>
      <c r="H3295" s="255">
        <f t="shared" si="181"/>
        <v>290.64</v>
      </c>
      <c r="I3295" s="137"/>
      <c r="J3295" t="s">
        <v>2853</v>
      </c>
      <c r="K3295" s="188" t="s">
        <v>2853</v>
      </c>
    </row>
    <row r="3296" spans="2:11" x14ac:dyDescent="0.35">
      <c r="B3296" s="184" t="s">
        <v>8326</v>
      </c>
      <c r="C3296" s="183"/>
      <c r="D3296" s="184" t="s">
        <v>8351</v>
      </c>
      <c r="E3296" s="183" t="s">
        <v>4633</v>
      </c>
      <c r="F3296" s="183">
        <v>20</v>
      </c>
      <c r="G3296" s="255">
        <v>11.18</v>
      </c>
      <c r="H3296" s="255">
        <f t="shared" si="181"/>
        <v>223.6</v>
      </c>
      <c r="I3296" s="137"/>
      <c r="J3296" t="s">
        <v>2853</v>
      </c>
      <c r="K3296" s="188" t="s">
        <v>2853</v>
      </c>
    </row>
    <row r="3297" spans="2:11" x14ac:dyDescent="0.35">
      <c r="B3297" s="184" t="s">
        <v>8328</v>
      </c>
      <c r="C3297" s="183"/>
      <c r="D3297" s="184" t="s">
        <v>8373</v>
      </c>
      <c r="E3297" s="183" t="s">
        <v>429</v>
      </c>
      <c r="F3297" s="183">
        <v>25</v>
      </c>
      <c r="G3297" s="255">
        <v>2.13</v>
      </c>
      <c r="H3297" s="255">
        <f t="shared" si="181"/>
        <v>53.25</v>
      </c>
      <c r="I3297" s="137"/>
      <c r="J3297" t="s">
        <v>2853</v>
      </c>
      <c r="K3297" s="188" t="s">
        <v>2853</v>
      </c>
    </row>
    <row r="3298" spans="2:11" x14ac:dyDescent="0.35">
      <c r="B3298" s="184" t="s">
        <v>8330</v>
      </c>
      <c r="C3298" s="183"/>
      <c r="D3298" s="184" t="s">
        <v>8374</v>
      </c>
      <c r="E3298" s="183" t="s">
        <v>19</v>
      </c>
      <c r="F3298" s="183">
        <v>12</v>
      </c>
      <c r="G3298" s="255">
        <v>22.13</v>
      </c>
      <c r="H3298" s="255">
        <f t="shared" si="181"/>
        <v>265.56</v>
      </c>
      <c r="I3298" s="137"/>
      <c r="J3298" t="s">
        <v>2853</v>
      </c>
      <c r="K3298" s="188" t="s">
        <v>2853</v>
      </c>
    </row>
    <row r="3299" spans="2:11" x14ac:dyDescent="0.35">
      <c r="B3299" s="184" t="s">
        <v>8332</v>
      </c>
      <c r="C3299" s="183"/>
      <c r="D3299" s="184" t="s">
        <v>8375</v>
      </c>
      <c r="E3299" s="183" t="s">
        <v>21</v>
      </c>
      <c r="F3299" s="183">
        <v>24</v>
      </c>
      <c r="G3299" s="255">
        <v>8.11</v>
      </c>
      <c r="H3299" s="255">
        <f t="shared" si="181"/>
        <v>194.64</v>
      </c>
      <c r="I3299" s="137"/>
      <c r="J3299" t="s">
        <v>2853</v>
      </c>
      <c r="K3299" s="188" t="s">
        <v>2853</v>
      </c>
    </row>
    <row r="3300" spans="2:11" x14ac:dyDescent="0.35">
      <c r="B3300" s="184" t="s">
        <v>8334</v>
      </c>
      <c r="C3300" s="183"/>
      <c r="D3300" s="184" t="s">
        <v>8376</v>
      </c>
      <c r="E3300" s="183" t="s">
        <v>424</v>
      </c>
      <c r="F3300" s="183">
        <v>25</v>
      </c>
      <c r="G3300" s="255">
        <v>2.02</v>
      </c>
      <c r="H3300" s="255">
        <f t="shared" si="181"/>
        <v>50.5</v>
      </c>
      <c r="I3300" s="137"/>
      <c r="J3300" t="s">
        <v>2853</v>
      </c>
      <c r="K3300" s="188" t="s">
        <v>2853</v>
      </c>
    </row>
    <row r="3301" spans="2:11" x14ac:dyDescent="0.35">
      <c r="B3301" s="184" t="s">
        <v>8336</v>
      </c>
      <c r="C3301" s="183"/>
      <c r="D3301" s="184" t="s">
        <v>8351</v>
      </c>
      <c r="E3301" s="183" t="s">
        <v>19</v>
      </c>
      <c r="F3301" s="183">
        <v>20</v>
      </c>
      <c r="G3301" s="255">
        <v>17.21</v>
      </c>
      <c r="H3301" s="255">
        <f t="shared" si="181"/>
        <v>344.20000000000005</v>
      </c>
      <c r="I3301" s="137"/>
      <c r="J3301" t="s">
        <v>2853</v>
      </c>
      <c r="K3301" s="188" t="s">
        <v>2853</v>
      </c>
    </row>
    <row r="3302" spans="2:11" x14ac:dyDescent="0.35">
      <c r="B3302" s="184" t="s">
        <v>8338</v>
      </c>
      <c r="C3302" s="183"/>
      <c r="D3302" s="184" t="s">
        <v>8377</v>
      </c>
      <c r="E3302" s="183" t="s">
        <v>428</v>
      </c>
      <c r="F3302" s="183">
        <v>25</v>
      </c>
      <c r="G3302" s="255">
        <v>2.16</v>
      </c>
      <c r="H3302" s="255">
        <f t="shared" si="181"/>
        <v>54</v>
      </c>
      <c r="I3302" s="137"/>
      <c r="J3302" t="s">
        <v>2853</v>
      </c>
      <c r="K3302" s="188" t="s">
        <v>2853</v>
      </c>
    </row>
    <row r="3303" spans="2:11" x14ac:dyDescent="0.35">
      <c r="B3303" s="184" t="s">
        <v>8341</v>
      </c>
      <c r="C3303" s="183"/>
      <c r="D3303" s="184" t="s">
        <v>8378</v>
      </c>
      <c r="E3303" s="183" t="s">
        <v>425</v>
      </c>
      <c r="F3303" s="183">
        <v>25</v>
      </c>
      <c r="G3303" s="255">
        <v>2.13</v>
      </c>
      <c r="H3303" s="255">
        <f t="shared" si="181"/>
        <v>53.25</v>
      </c>
      <c r="I3303" s="137"/>
      <c r="J3303" t="s">
        <v>2853</v>
      </c>
      <c r="K3303" s="188" t="s">
        <v>2853</v>
      </c>
    </row>
    <row r="3304" spans="2:11" x14ac:dyDescent="0.35">
      <c r="B3304" s="184" t="s">
        <v>8342</v>
      </c>
      <c r="C3304" s="183"/>
      <c r="D3304" s="184" t="s">
        <v>8351</v>
      </c>
      <c r="E3304" s="183" t="s">
        <v>8379</v>
      </c>
      <c r="F3304" s="183">
        <v>20</v>
      </c>
      <c r="G3304" s="255">
        <v>11.18</v>
      </c>
      <c r="H3304" s="255">
        <f t="shared" si="181"/>
        <v>223.6</v>
      </c>
      <c r="I3304" s="137"/>
      <c r="J3304" t="s">
        <v>2853</v>
      </c>
      <c r="K3304" s="188" t="s">
        <v>2853</v>
      </c>
    </row>
    <row r="3305" spans="2:11" x14ac:dyDescent="0.35">
      <c r="B3305" s="184" t="s">
        <v>8343</v>
      </c>
      <c r="C3305" s="183"/>
      <c r="D3305" s="184" t="s">
        <v>8351</v>
      </c>
      <c r="E3305" s="183" t="s">
        <v>21</v>
      </c>
      <c r="F3305" s="183">
        <v>20</v>
      </c>
      <c r="G3305" s="255">
        <v>9.4700000000000006</v>
      </c>
      <c r="H3305" s="255">
        <f t="shared" si="181"/>
        <v>189.4</v>
      </c>
      <c r="I3305" s="137"/>
      <c r="J3305" t="s">
        <v>2853</v>
      </c>
      <c r="K3305" s="188" t="s">
        <v>2853</v>
      </c>
    </row>
    <row r="3306" spans="2:11" x14ac:dyDescent="0.35">
      <c r="B3306" s="184" t="s">
        <v>8344</v>
      </c>
      <c r="C3306" s="183"/>
      <c r="D3306" s="184" t="s">
        <v>8351</v>
      </c>
      <c r="E3306" s="183" t="s">
        <v>671</v>
      </c>
      <c r="F3306" s="183">
        <v>20</v>
      </c>
      <c r="G3306" s="255">
        <v>12.46</v>
      </c>
      <c r="H3306" s="255">
        <f t="shared" si="181"/>
        <v>249.20000000000002</v>
      </c>
      <c r="I3306" s="137"/>
      <c r="J3306" t="s">
        <v>2853</v>
      </c>
      <c r="K3306" s="188" t="s">
        <v>2853</v>
      </c>
    </row>
    <row r="3307" spans="2:11" x14ac:dyDescent="0.35">
      <c r="B3307" s="184" t="s">
        <v>8345</v>
      </c>
      <c r="C3307" s="183"/>
      <c r="D3307" s="184" t="s">
        <v>8380</v>
      </c>
      <c r="E3307" s="183" t="s">
        <v>59</v>
      </c>
      <c r="F3307" s="183">
        <v>25</v>
      </c>
      <c r="G3307" s="255">
        <v>2.13</v>
      </c>
      <c r="H3307" s="255">
        <f t="shared" si="181"/>
        <v>53.25</v>
      </c>
      <c r="I3307" s="137"/>
      <c r="J3307" t="s">
        <v>2853</v>
      </c>
      <c r="K3307" s="188" t="s">
        <v>2853</v>
      </c>
    </row>
    <row r="3308" spans="2:11" x14ac:dyDescent="0.35">
      <c r="B3308" s="184" t="s">
        <v>8346</v>
      </c>
      <c r="C3308" s="183"/>
      <c r="D3308" s="184" t="s">
        <v>8381</v>
      </c>
      <c r="E3308" s="183" t="s">
        <v>21</v>
      </c>
      <c r="F3308" s="183">
        <v>12</v>
      </c>
      <c r="G3308" s="255">
        <v>16.059999999999999</v>
      </c>
      <c r="H3308" s="255">
        <f t="shared" si="181"/>
        <v>192.71999999999997</v>
      </c>
      <c r="I3308" s="137"/>
      <c r="J3308" t="s">
        <v>2853</v>
      </c>
      <c r="K3308" s="188" t="s">
        <v>2853</v>
      </c>
    </row>
    <row r="3309" spans="2:11" x14ac:dyDescent="0.35">
      <c r="B3309" s="184" t="s">
        <v>8347</v>
      </c>
      <c r="C3309" s="183"/>
      <c r="D3309" s="184" t="s">
        <v>8382</v>
      </c>
      <c r="E3309" s="183" t="s">
        <v>21</v>
      </c>
      <c r="F3309" s="183">
        <v>12</v>
      </c>
      <c r="G3309" s="255">
        <v>10.19</v>
      </c>
      <c r="H3309" s="255">
        <f t="shared" si="181"/>
        <v>122.28</v>
      </c>
      <c r="I3309" s="137"/>
      <c r="J3309" t="s">
        <v>2853</v>
      </c>
      <c r="K3309" s="188" t="s">
        <v>2853</v>
      </c>
    </row>
  </sheetData>
  <sheetProtection algorithmName="SHA-512" hashValue="wgSwqiB/6BhNzXdhvEa3WPs6Cnyv5YGwKA0S56kFK8Ccdn0NCTMhkvJrLpp88b/QKRd06uMIhMwh0OB2GcWFLw==" saltValue="XQfih9U4tNYgp1vyuVU4PQ==" spinCount="100000" sheet="1" objects="1" scenarios="1" autoFilter="0"/>
  <autoFilter ref="A5:M3309" xr:uid="{52A268F3-36A3-43A5-89DC-54922E3E4D74}"/>
  <mergeCells count="1">
    <mergeCell ref="I4:I5"/>
  </mergeCells>
  <pageMargins left="0.118110236220472" right="0.196850393700787" top="0.74803149606299202" bottom="0.74803149606299202" header="0.31496062992126" footer="0.31496062992126"/>
  <pageSetup scale="50" orientation="portrait" horizontalDpi="4294967295" verticalDpi="4294967295" r:id="rId1"/>
  <headerFooter>
    <oddHeader>&amp;L&amp;B Confidential&amp;B&amp;C&amp;D&amp;RPage &amp;P</oddHeader>
    <oddFooter>&amp;L&amp;F&amp;C&amp;P&amp;N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DEA71-810F-4023-B168-148BD431B72C}">
  <sheetPr codeName="Sheet8"/>
  <dimension ref="A1:H507"/>
  <sheetViews>
    <sheetView workbookViewId="0">
      <selection activeCell="B3" sqref="B3"/>
    </sheetView>
  </sheetViews>
  <sheetFormatPr defaultRowHeight="15" x14ac:dyDescent="0.25"/>
  <cols>
    <col min="1" max="1" width="20.42578125" bestFit="1" customWidth="1"/>
    <col min="2" max="2" width="12.85546875" customWidth="1"/>
    <col min="3" max="3" width="15" customWidth="1"/>
    <col min="4" max="4" width="13.42578125" style="58" customWidth="1"/>
    <col min="5" max="5" width="12.28515625" style="58" customWidth="1"/>
    <col min="6" max="6" width="14" style="58" customWidth="1"/>
    <col min="7" max="7" width="38" bestFit="1" customWidth="1"/>
  </cols>
  <sheetData>
    <row r="1" spans="1:8" ht="15.75" x14ac:dyDescent="0.25">
      <c r="A1" s="85"/>
      <c r="B1" s="87" t="s">
        <v>2844</v>
      </c>
      <c r="C1" s="84"/>
      <c r="D1" s="118"/>
      <c r="E1" s="88" t="s">
        <v>2848</v>
      </c>
      <c r="F1" s="118"/>
      <c r="G1" s="92" t="s">
        <v>2850</v>
      </c>
      <c r="H1" s="86"/>
    </row>
    <row r="2" spans="1:8" x14ac:dyDescent="0.25">
      <c r="A2" s="89" t="s">
        <v>2816</v>
      </c>
      <c r="B2" s="89" t="s">
        <v>2771</v>
      </c>
      <c r="C2" s="89" t="s">
        <v>2772</v>
      </c>
      <c r="D2" s="119" t="s">
        <v>2845</v>
      </c>
      <c r="E2" s="119" t="s">
        <v>2846</v>
      </c>
      <c r="F2" s="119" t="s">
        <v>2847</v>
      </c>
      <c r="G2" s="89" t="s">
        <v>2843</v>
      </c>
      <c r="H2" s="89" t="s">
        <v>2849</v>
      </c>
    </row>
    <row r="3" spans="1:8" ht="21.75" customHeight="1" x14ac:dyDescent="0.25">
      <c r="A3" t="s">
        <v>62</v>
      </c>
      <c r="B3" s="82"/>
      <c r="C3" s="107" t="str">
        <f>IF(ISTEXT(A3),"stock","")</f>
        <v>stock</v>
      </c>
      <c r="D3" s="58">
        <v>180</v>
      </c>
      <c r="E3" s="58">
        <v>360</v>
      </c>
      <c r="G3" t="str">
        <f>IF(ISTEXT(A3),VLOOKUP($A3,'Price  List'!B:G,3,FALSE),"")</f>
        <v>Engage Pole (Capped) 8 Ft</v>
      </c>
      <c r="H3" t="str">
        <f>IF(ISTEXT(A3),VLOOKUP($A3,'Price  List'!B:G,4,FALSE),"")</f>
        <v>MAL</v>
      </c>
    </row>
    <row r="4" spans="1:8" ht="21.75" customHeight="1" x14ac:dyDescent="0.25">
      <c r="A4" t="s">
        <v>65</v>
      </c>
      <c r="B4" s="82"/>
      <c r="C4" s="107" t="str">
        <f t="shared" ref="C4:C67" si="0">IF(ISTEXT(A4),"stock","")</f>
        <v>stock</v>
      </c>
      <c r="D4" s="58">
        <v>164</v>
      </c>
      <c r="E4" s="58">
        <v>324</v>
      </c>
      <c r="G4" t="e">
        <f>IF(ISTEXT(A4),VLOOKUP($A4,'Price  List'!B:G,3,FALSE),"")</f>
        <v>#N/A</v>
      </c>
      <c r="H4" t="e">
        <f>IF(ISTEXT(A4),VLOOKUP($A4,'Price  List'!B:G,4,FALSE),"")</f>
        <v>#N/A</v>
      </c>
    </row>
    <row r="5" spans="1:8" ht="21.75" customHeight="1" x14ac:dyDescent="0.25">
      <c r="A5" t="s">
        <v>562</v>
      </c>
      <c r="B5" s="82"/>
      <c r="C5" s="107" t="str">
        <f t="shared" si="0"/>
        <v>stock</v>
      </c>
      <c r="D5" s="58">
        <v>180</v>
      </c>
      <c r="E5" s="58">
        <v>360</v>
      </c>
      <c r="G5" t="str">
        <f>IF(ISTEXT(A5),VLOOKUP($A5,'Price  List'!B:G,3,FALSE),"")</f>
        <v>Engage Pole (Capped) 8 Ft</v>
      </c>
      <c r="H5" t="str">
        <f>IF(ISTEXT(A5),VLOOKUP($A5,'Price  List'!B:G,4,FALSE),"")</f>
        <v>MG</v>
      </c>
    </row>
    <row r="6" spans="1:8" ht="21.75" customHeight="1" x14ac:dyDescent="0.25">
      <c r="A6" t="s">
        <v>670</v>
      </c>
      <c r="B6" s="82"/>
      <c r="C6" s="107" t="str">
        <f t="shared" si="0"/>
        <v>stock</v>
      </c>
      <c r="D6" s="58">
        <v>180</v>
      </c>
      <c r="E6" s="58">
        <v>360</v>
      </c>
      <c r="G6" t="str">
        <f>IF(ISTEXT(A6),VLOOKUP($A6,'Price  List'!B:G,3,FALSE),"")</f>
        <v>Engage Pole (Capped) 8 Ft</v>
      </c>
      <c r="H6" t="str">
        <f>IF(ISTEXT(A6),VLOOKUP($A6,'Price  List'!B:G,4,FALSE),"")</f>
        <v>SG</v>
      </c>
    </row>
    <row r="7" spans="1:8" ht="21.75" customHeight="1" x14ac:dyDescent="0.25">
      <c r="A7" t="s">
        <v>68</v>
      </c>
      <c r="B7" s="82"/>
      <c r="C7" s="107" t="str">
        <f t="shared" si="0"/>
        <v>stock</v>
      </c>
      <c r="D7" s="58">
        <v>120</v>
      </c>
      <c r="E7" s="58">
        <v>240</v>
      </c>
      <c r="G7" t="str">
        <f>IF(ISTEXT(A7),VLOOKUP($A7,'Price  List'!B:G,3,FALSE),"")</f>
        <v xml:space="preserve">Elite Round Pole (Capped) 8 Ft. </v>
      </c>
      <c r="H7" t="str">
        <f>IF(ISTEXT(A7),VLOOKUP($A7,'Price  List'!B:G,4,FALSE),"")</f>
        <v>MAL</v>
      </c>
    </row>
    <row r="8" spans="1:8" ht="21.75" customHeight="1" x14ac:dyDescent="0.25">
      <c r="A8" t="s">
        <v>569</v>
      </c>
      <c r="B8" s="82"/>
      <c r="C8" s="107" t="str">
        <f t="shared" si="0"/>
        <v>stock</v>
      </c>
      <c r="D8" s="58">
        <v>120</v>
      </c>
      <c r="E8" s="58">
        <v>240</v>
      </c>
      <c r="G8" t="str">
        <f>IF(ISTEXT(A8),VLOOKUP($A8,'Price  List'!B:G,3,FALSE),"")</f>
        <v xml:space="preserve">Elite Round Pole (Capped) 8 Ft. </v>
      </c>
      <c r="H8" t="str">
        <f>IF(ISTEXT(A8),VLOOKUP($A8,'Price  List'!B:G,4,FALSE),"")</f>
        <v>MG</v>
      </c>
    </row>
    <row r="9" spans="1:8" ht="21.75" customHeight="1" x14ac:dyDescent="0.25">
      <c r="A9" t="s">
        <v>70</v>
      </c>
      <c r="B9" s="82"/>
      <c r="C9" s="107" t="str">
        <f t="shared" si="0"/>
        <v>stock</v>
      </c>
      <c r="D9" s="58">
        <v>120</v>
      </c>
      <c r="E9" s="58">
        <v>240</v>
      </c>
      <c r="G9" t="e">
        <f>IF(ISTEXT(A9),VLOOKUP($A9,'Price  List'!B:G,3,FALSE),"")</f>
        <v>#N/A</v>
      </c>
      <c r="H9" t="e">
        <f>IF(ISTEXT(A9),VLOOKUP($A9,'Price  List'!B:G,4,FALSE),"")</f>
        <v>#N/A</v>
      </c>
    </row>
    <row r="10" spans="1:8" ht="21.75" customHeight="1" x14ac:dyDescent="0.25">
      <c r="A10" t="s">
        <v>675</v>
      </c>
      <c r="B10" s="82"/>
      <c r="C10" s="107" t="str">
        <f t="shared" si="0"/>
        <v>stock</v>
      </c>
      <c r="D10" s="58">
        <v>120</v>
      </c>
      <c r="E10" s="58">
        <v>240</v>
      </c>
      <c r="G10" t="str">
        <f>IF(ISTEXT(A10),VLOOKUP($A10,'Price  List'!B:G,3,FALSE),"")</f>
        <v xml:space="preserve">Elite Round Pole (Capped) 8 Ft. </v>
      </c>
      <c r="H10" t="str">
        <f>IF(ISTEXT(A10),VLOOKUP($A10,'Price  List'!B:G,4,FALSE),"")</f>
        <v>SG</v>
      </c>
    </row>
    <row r="11" spans="1:8" ht="21.75" customHeight="1" x14ac:dyDescent="0.25">
      <c r="A11" t="s">
        <v>575</v>
      </c>
      <c r="B11" s="82"/>
      <c r="C11" s="107" t="str">
        <f t="shared" si="0"/>
        <v>stock</v>
      </c>
      <c r="D11" s="58">
        <v>60</v>
      </c>
      <c r="E11" s="58">
        <v>120</v>
      </c>
      <c r="G11" t="str">
        <f>IF(ISTEXT(A11),VLOOKUP($A11,'Price  List'!B:G,3,FALSE),"")</f>
        <v>Elite Full Extension Tie 14 inch</v>
      </c>
      <c r="H11" t="str">
        <f>IF(ISTEXT(A11),VLOOKUP($A11,'Price  List'!B:G,4,FALSE),"")</f>
        <v>MG</v>
      </c>
    </row>
    <row r="12" spans="1:8" ht="21.75" customHeight="1" x14ac:dyDescent="0.25">
      <c r="A12" t="s">
        <v>2777</v>
      </c>
      <c r="B12" s="82"/>
      <c r="C12" s="107" t="str">
        <f t="shared" si="0"/>
        <v>stock</v>
      </c>
      <c r="D12" s="58">
        <v>60</v>
      </c>
      <c r="E12" s="58">
        <v>120</v>
      </c>
      <c r="G12" t="str">
        <f>IF(ISTEXT(A12),VLOOKUP($A12,'Price  List'!B:G,3,FALSE),"")</f>
        <v>Elite Full Extension Tie 14 inch</v>
      </c>
      <c r="H12" t="str">
        <f>IF(ISTEXT(A12),VLOOKUP($A12,'Price  List'!B:G,4,FALSE),"")</f>
        <v>MALCR</v>
      </c>
    </row>
    <row r="13" spans="1:8" ht="21.75" customHeight="1" x14ac:dyDescent="0.25">
      <c r="A13" s="90" t="s">
        <v>37</v>
      </c>
      <c r="B13" s="82"/>
      <c r="C13" s="107" t="str">
        <f t="shared" si="0"/>
        <v>stock</v>
      </c>
      <c r="D13" s="58">
        <v>30</v>
      </c>
      <c r="E13" s="58">
        <v>60</v>
      </c>
      <c r="G13" t="str">
        <f>IF(ISTEXT(A13),VLOOKUP($A13,'Price  List'!B:G,3,FALSE),"")</f>
        <v>Signature Suspended Support w/bolt</v>
      </c>
      <c r="H13" t="str">
        <f>IF(ISTEXT(A13),VLOOKUP($A13,'Price  List'!B:G,4,FALSE),"")</f>
        <v>CR</v>
      </c>
    </row>
    <row r="14" spans="1:8" ht="21.75" customHeight="1" x14ac:dyDescent="0.25">
      <c r="A14" s="91" t="s">
        <v>231</v>
      </c>
      <c r="B14" s="82"/>
      <c r="C14" s="107" t="str">
        <f t="shared" si="0"/>
        <v>stock</v>
      </c>
      <c r="D14" s="58" t="s">
        <v>2890</v>
      </c>
      <c r="E14" s="58" t="s">
        <v>2890</v>
      </c>
      <c r="G14" t="str">
        <f>IF(ISTEXT(A14),VLOOKUP($A14,'Price  List'!B:G,3,FALSE),"")</f>
        <v>TrackWall 97"</v>
      </c>
      <c r="H14" t="str">
        <f>IF(ISTEXT(A14),VLOOKUP($A14,'Price  List'!B:G,4,FALSE),"")</f>
        <v>MAL</v>
      </c>
    </row>
    <row r="15" spans="1:8" ht="21.75" customHeight="1" x14ac:dyDescent="0.25">
      <c r="A15" t="s">
        <v>237</v>
      </c>
      <c r="B15" s="82"/>
      <c r="C15" s="107" t="str">
        <f t="shared" si="0"/>
        <v>stock</v>
      </c>
      <c r="D15" s="58" t="s">
        <v>2890</v>
      </c>
      <c r="E15" s="58" t="s">
        <v>2890</v>
      </c>
      <c r="G15" t="str">
        <f>IF(ISTEXT(A15),VLOOKUP($A15,'Price  List'!B:G,3,FALSE),"")</f>
        <v>TrackWall Shelf Stiffener 96"</v>
      </c>
      <c r="H15" t="str">
        <f>IF(ISTEXT(A15),VLOOKUP($A15,'Price  List'!B:G,4,FALSE),"")</f>
        <v>MAL</v>
      </c>
    </row>
    <row r="16" spans="1:8" ht="21.75" customHeight="1" x14ac:dyDescent="0.25">
      <c r="B16" s="82"/>
      <c r="C16" s="107" t="str">
        <f t="shared" si="0"/>
        <v/>
      </c>
      <c r="G16" t="str">
        <f>IF(ISTEXT(A16),VLOOKUP($A16,'Price  List'!B:G,3,FALSE),"")</f>
        <v/>
      </c>
      <c r="H16" t="str">
        <f>IF(ISTEXT(A16),VLOOKUP($A16,'Price  List'!B:G,4,FALSE),"")</f>
        <v/>
      </c>
    </row>
    <row r="17" spans="2:8" ht="21.75" customHeight="1" x14ac:dyDescent="0.25">
      <c r="B17" s="82"/>
      <c r="C17" s="107" t="str">
        <f t="shared" si="0"/>
        <v/>
      </c>
      <c r="G17" t="str">
        <f>IF(ISTEXT(A17),VLOOKUP($A17,'Price  List'!B:G,3,FALSE),"")</f>
        <v/>
      </c>
      <c r="H17" t="str">
        <f>IF(ISTEXT(A17),VLOOKUP($A17,'Price  List'!B:G,4,FALSE),"")</f>
        <v/>
      </c>
    </row>
    <row r="18" spans="2:8" ht="21.75" customHeight="1" x14ac:dyDescent="0.25">
      <c r="B18" s="82"/>
      <c r="C18" s="107" t="str">
        <f t="shared" si="0"/>
        <v/>
      </c>
      <c r="G18" t="str">
        <f>IF(ISTEXT(A18),VLOOKUP($A18,'Price  List'!B:G,3,FALSE),"")</f>
        <v/>
      </c>
      <c r="H18" t="str">
        <f>IF(ISTEXT(A18),VLOOKUP($A18,'Price  List'!B:G,4,FALSE),"")</f>
        <v/>
      </c>
    </row>
    <row r="19" spans="2:8" ht="21.75" customHeight="1" x14ac:dyDescent="0.25">
      <c r="B19" s="82"/>
      <c r="C19" s="107" t="str">
        <f t="shared" si="0"/>
        <v/>
      </c>
      <c r="G19" t="str">
        <f>IF(ISTEXT(A19),VLOOKUP($A19,'Price  List'!B:G,3,FALSE),"")</f>
        <v/>
      </c>
      <c r="H19" t="str">
        <f>IF(ISTEXT(A19),VLOOKUP($A19,'Price  List'!B:G,4,FALSE),"")</f>
        <v/>
      </c>
    </row>
    <row r="20" spans="2:8" ht="21.75" customHeight="1" x14ac:dyDescent="0.25">
      <c r="B20" s="82"/>
      <c r="C20" s="107" t="str">
        <f t="shared" si="0"/>
        <v/>
      </c>
      <c r="G20" t="str">
        <f>IF(ISTEXT(A20),VLOOKUP($A20,'Price  List'!B:G,3,FALSE),"")</f>
        <v/>
      </c>
      <c r="H20" t="str">
        <f>IF(ISTEXT(A20),VLOOKUP($A20,'Price  List'!B:G,4,FALSE),"")</f>
        <v/>
      </c>
    </row>
    <row r="21" spans="2:8" ht="21.75" customHeight="1" x14ac:dyDescent="0.25">
      <c r="B21" s="82"/>
      <c r="C21" s="107" t="str">
        <f t="shared" si="0"/>
        <v/>
      </c>
      <c r="G21" t="str">
        <f>IF(ISTEXT(A21),VLOOKUP($A21,'Price  List'!B:G,3,FALSE),"")</f>
        <v/>
      </c>
      <c r="H21" t="str">
        <f>IF(ISTEXT(A21),VLOOKUP($A21,'Price  List'!B:G,4,FALSE),"")</f>
        <v/>
      </c>
    </row>
    <row r="22" spans="2:8" ht="21.75" customHeight="1" x14ac:dyDescent="0.25">
      <c r="B22" s="82"/>
      <c r="C22" s="107" t="str">
        <f t="shared" si="0"/>
        <v/>
      </c>
      <c r="G22" t="str">
        <f>IF(ISTEXT(A22),VLOOKUP($A22,'Price  List'!B:G,3,FALSE),"")</f>
        <v/>
      </c>
      <c r="H22" t="str">
        <f>IF(ISTEXT(A22),VLOOKUP($A22,'Price  List'!B:G,4,FALSE),"")</f>
        <v/>
      </c>
    </row>
    <row r="23" spans="2:8" ht="21.75" customHeight="1" x14ac:dyDescent="0.25">
      <c r="B23" s="82"/>
      <c r="C23" s="107" t="str">
        <f t="shared" si="0"/>
        <v/>
      </c>
      <c r="G23" t="str">
        <f>IF(ISTEXT(A23),VLOOKUP($A23,'Price  List'!B:G,3,FALSE),"")</f>
        <v/>
      </c>
      <c r="H23" t="str">
        <f>IF(ISTEXT(A23),VLOOKUP($A23,'Price  List'!B:G,4,FALSE),"")</f>
        <v/>
      </c>
    </row>
    <row r="24" spans="2:8" ht="21.75" customHeight="1" x14ac:dyDescent="0.25">
      <c r="B24" s="82"/>
      <c r="C24" s="107" t="str">
        <f t="shared" si="0"/>
        <v/>
      </c>
      <c r="G24" t="str">
        <f>IF(ISTEXT(A24),VLOOKUP($A24,'Price  List'!B:G,3,FALSE),"")</f>
        <v/>
      </c>
      <c r="H24" t="str">
        <f>IF(ISTEXT(A24),VLOOKUP($A24,'Price  List'!B:G,4,FALSE),"")</f>
        <v/>
      </c>
    </row>
    <row r="25" spans="2:8" ht="21.75" customHeight="1" x14ac:dyDescent="0.25">
      <c r="B25" s="82"/>
      <c r="C25" s="107" t="str">
        <f t="shared" si="0"/>
        <v/>
      </c>
      <c r="G25" t="str">
        <f>IF(ISTEXT(A25),VLOOKUP($A25,'Price  List'!B:G,3,FALSE),"")</f>
        <v/>
      </c>
      <c r="H25" t="str">
        <f>IF(ISTEXT(A25),VLOOKUP($A25,'Price  List'!B:G,4,FALSE),"")</f>
        <v/>
      </c>
    </row>
    <row r="26" spans="2:8" ht="21.75" customHeight="1" x14ac:dyDescent="0.25">
      <c r="B26" s="82"/>
      <c r="C26" s="107" t="str">
        <f t="shared" si="0"/>
        <v/>
      </c>
      <c r="G26" t="str">
        <f>IF(ISTEXT(A26),VLOOKUP($A26,'Price  List'!B:G,3,FALSE),"")</f>
        <v/>
      </c>
      <c r="H26" t="str">
        <f>IF(ISTEXT(A26),VLOOKUP($A26,'Price  List'!B:G,4,FALSE),"")</f>
        <v/>
      </c>
    </row>
    <row r="27" spans="2:8" ht="21.75" customHeight="1" x14ac:dyDescent="0.25">
      <c r="B27" s="82"/>
      <c r="C27" s="107" t="str">
        <f t="shared" si="0"/>
        <v/>
      </c>
      <c r="G27" t="str">
        <f>IF(ISTEXT(A27),VLOOKUP($A27,'Price  List'!B:G,3,FALSE),"")</f>
        <v/>
      </c>
      <c r="H27" t="str">
        <f>IF(ISTEXT(A27),VLOOKUP($A27,'Price  List'!B:G,4,FALSE),"")</f>
        <v/>
      </c>
    </row>
    <row r="28" spans="2:8" ht="21.75" customHeight="1" x14ac:dyDescent="0.25">
      <c r="B28" s="82"/>
      <c r="C28" s="107" t="str">
        <f t="shared" si="0"/>
        <v/>
      </c>
      <c r="G28" t="str">
        <f>IF(ISTEXT(A28),VLOOKUP($A28,'Price  List'!B:G,3,FALSE),"")</f>
        <v/>
      </c>
      <c r="H28" t="str">
        <f>IF(ISTEXT(A28),VLOOKUP($A28,'Price  List'!B:G,4,FALSE),"")</f>
        <v/>
      </c>
    </row>
    <row r="29" spans="2:8" ht="21.75" customHeight="1" x14ac:dyDescent="0.25">
      <c r="B29" s="82"/>
      <c r="C29" s="107" t="str">
        <f t="shared" si="0"/>
        <v/>
      </c>
      <c r="G29" t="str">
        <f>IF(ISTEXT(A29),VLOOKUP($A29,'Price  List'!B:G,3,FALSE),"")</f>
        <v/>
      </c>
      <c r="H29" t="str">
        <f>IF(ISTEXT(A29),VLOOKUP($A29,'Price  List'!B:G,4,FALSE),"")</f>
        <v/>
      </c>
    </row>
    <row r="30" spans="2:8" ht="21.75" customHeight="1" x14ac:dyDescent="0.25">
      <c r="B30" s="82"/>
      <c r="C30" s="107" t="str">
        <f t="shared" si="0"/>
        <v/>
      </c>
      <c r="G30" t="str">
        <f>IF(ISTEXT(A30),VLOOKUP($A30,'Price  List'!B:G,3,FALSE),"")</f>
        <v/>
      </c>
      <c r="H30" t="str">
        <f>IF(ISTEXT(A30),VLOOKUP($A30,'Price  List'!B:G,4,FALSE),"")</f>
        <v/>
      </c>
    </row>
    <row r="31" spans="2:8" ht="21.75" customHeight="1" x14ac:dyDescent="0.25">
      <c r="B31" s="82"/>
      <c r="C31" s="107" t="str">
        <f t="shared" si="0"/>
        <v/>
      </c>
      <c r="G31" t="str">
        <f>IF(ISTEXT(A31),VLOOKUP($A31,'Price  List'!B:G,3,FALSE),"")</f>
        <v/>
      </c>
      <c r="H31" t="str">
        <f>IF(ISTEXT(A31),VLOOKUP($A31,'Price  List'!B:G,4,FALSE),"")</f>
        <v/>
      </c>
    </row>
    <row r="32" spans="2:8" ht="21.75" customHeight="1" x14ac:dyDescent="0.25">
      <c r="B32" s="82"/>
      <c r="C32" s="107" t="str">
        <f t="shared" si="0"/>
        <v/>
      </c>
      <c r="G32" t="str">
        <f>IF(ISTEXT(A32),VLOOKUP($A32,'Price  List'!B:G,3,FALSE),"")</f>
        <v/>
      </c>
      <c r="H32" t="str">
        <f>IF(ISTEXT(A32),VLOOKUP($A32,'Price  List'!B:G,4,FALSE),"")</f>
        <v/>
      </c>
    </row>
    <row r="33" spans="2:8" ht="21.75" customHeight="1" x14ac:dyDescent="0.25">
      <c r="B33" s="82"/>
      <c r="C33" s="107" t="str">
        <f t="shared" si="0"/>
        <v/>
      </c>
      <c r="G33" t="str">
        <f>IF(ISTEXT(A33),VLOOKUP($A33,'Price  List'!B:G,3,FALSE),"")</f>
        <v/>
      </c>
      <c r="H33" t="str">
        <f>IF(ISTEXT(A33),VLOOKUP($A33,'Price  List'!B:G,4,FALSE),"")</f>
        <v/>
      </c>
    </row>
    <row r="34" spans="2:8" ht="21.75" customHeight="1" x14ac:dyDescent="0.25">
      <c r="B34" s="82"/>
      <c r="C34" s="107" t="str">
        <f t="shared" si="0"/>
        <v/>
      </c>
      <c r="G34" t="str">
        <f>IF(ISTEXT(A34),VLOOKUP($A34,'Price  List'!B:G,3,FALSE),"")</f>
        <v/>
      </c>
      <c r="H34" t="str">
        <f>IF(ISTEXT(A34),VLOOKUP($A34,'Price  List'!B:G,4,FALSE),"")</f>
        <v/>
      </c>
    </row>
    <row r="35" spans="2:8" ht="21.75" customHeight="1" x14ac:dyDescent="0.25">
      <c r="B35" s="82"/>
      <c r="C35" s="107" t="str">
        <f t="shared" si="0"/>
        <v/>
      </c>
      <c r="G35" t="str">
        <f>IF(ISTEXT(A35),VLOOKUP($A35,'Price  List'!B:G,3,FALSE),"")</f>
        <v/>
      </c>
      <c r="H35" t="str">
        <f>IF(ISTEXT(A35),VLOOKUP($A35,'Price  List'!B:G,4,FALSE),"")</f>
        <v/>
      </c>
    </row>
    <row r="36" spans="2:8" ht="21.75" customHeight="1" x14ac:dyDescent="0.25">
      <c r="B36" s="82"/>
      <c r="C36" s="107" t="str">
        <f t="shared" si="0"/>
        <v/>
      </c>
      <c r="G36" t="str">
        <f>IF(ISTEXT(A36),VLOOKUP($A36,'Price  List'!B:G,3,FALSE),"")</f>
        <v/>
      </c>
      <c r="H36" t="str">
        <f>IF(ISTEXT(A36),VLOOKUP($A36,'Price  List'!B:G,4,FALSE),"")</f>
        <v/>
      </c>
    </row>
    <row r="37" spans="2:8" ht="21.75" customHeight="1" x14ac:dyDescent="0.25">
      <c r="B37" s="82"/>
      <c r="C37" s="107" t="str">
        <f t="shared" si="0"/>
        <v/>
      </c>
      <c r="G37" t="str">
        <f>IF(ISTEXT(A37),VLOOKUP($A37,'Price  List'!B:G,3,FALSE),"")</f>
        <v/>
      </c>
      <c r="H37" t="str">
        <f>IF(ISTEXT(A37),VLOOKUP($A37,'Price  List'!B:G,4,FALSE),"")</f>
        <v/>
      </c>
    </row>
    <row r="38" spans="2:8" ht="21.75" customHeight="1" x14ac:dyDescent="0.25">
      <c r="B38" s="82"/>
      <c r="C38" s="107" t="str">
        <f t="shared" si="0"/>
        <v/>
      </c>
      <c r="G38" t="str">
        <f>IF(ISTEXT(A38),VLOOKUP($A38,'Price  List'!B:G,3,FALSE),"")</f>
        <v/>
      </c>
      <c r="H38" t="str">
        <f>IF(ISTEXT(A38),VLOOKUP($A38,'Price  List'!B:G,4,FALSE),"")</f>
        <v/>
      </c>
    </row>
    <row r="39" spans="2:8" ht="21.75" customHeight="1" x14ac:dyDescent="0.25">
      <c r="B39" s="82"/>
      <c r="C39" s="107" t="str">
        <f t="shared" si="0"/>
        <v/>
      </c>
      <c r="G39" t="str">
        <f>IF(ISTEXT(A39),VLOOKUP($A39,'Price  List'!B:G,3,FALSE),"")</f>
        <v/>
      </c>
      <c r="H39" t="str">
        <f>IF(ISTEXT(A39),VLOOKUP($A39,'Price  List'!B:G,4,FALSE),"")</f>
        <v/>
      </c>
    </row>
    <row r="40" spans="2:8" ht="21.75" customHeight="1" x14ac:dyDescent="0.25">
      <c r="B40" s="82"/>
      <c r="C40" s="107" t="str">
        <f t="shared" si="0"/>
        <v/>
      </c>
      <c r="G40" t="str">
        <f>IF(ISTEXT(A40),VLOOKUP($A40,'Price  List'!B:G,3,FALSE),"")</f>
        <v/>
      </c>
      <c r="H40" t="str">
        <f>IF(ISTEXT(A40),VLOOKUP($A40,'Price  List'!B:G,4,FALSE),"")</f>
        <v/>
      </c>
    </row>
    <row r="41" spans="2:8" ht="21.75" customHeight="1" x14ac:dyDescent="0.25">
      <c r="B41" s="82"/>
      <c r="C41" s="107" t="str">
        <f t="shared" si="0"/>
        <v/>
      </c>
      <c r="G41" t="str">
        <f>IF(ISTEXT(A41),VLOOKUP($A41,'Price  List'!B:G,3,FALSE),"")</f>
        <v/>
      </c>
      <c r="H41" t="str">
        <f>IF(ISTEXT(A41),VLOOKUP($A41,'Price  List'!B:G,4,FALSE),"")</f>
        <v/>
      </c>
    </row>
    <row r="42" spans="2:8" ht="21.75" customHeight="1" x14ac:dyDescent="0.25">
      <c r="B42" s="82"/>
      <c r="C42" s="107" t="str">
        <f t="shared" si="0"/>
        <v/>
      </c>
      <c r="G42" t="str">
        <f>IF(ISTEXT(A42),VLOOKUP($A42,'Price  List'!B:G,3,FALSE),"")</f>
        <v/>
      </c>
      <c r="H42" t="str">
        <f>IF(ISTEXT(A42),VLOOKUP($A42,'Price  List'!B:G,4,FALSE),"")</f>
        <v/>
      </c>
    </row>
    <row r="43" spans="2:8" ht="21.75" customHeight="1" x14ac:dyDescent="0.25">
      <c r="B43" s="82"/>
      <c r="C43" s="107" t="str">
        <f t="shared" si="0"/>
        <v/>
      </c>
      <c r="G43" t="str">
        <f>IF(ISTEXT(A43),VLOOKUP($A43,'Price  List'!B:G,3,FALSE),"")</f>
        <v/>
      </c>
      <c r="H43" t="str">
        <f>IF(ISTEXT(A43),VLOOKUP($A43,'Price  List'!B:G,4,FALSE),"")</f>
        <v/>
      </c>
    </row>
    <row r="44" spans="2:8" ht="21.75" customHeight="1" x14ac:dyDescent="0.25">
      <c r="B44" s="82"/>
      <c r="C44" s="107" t="str">
        <f t="shared" si="0"/>
        <v/>
      </c>
      <c r="G44" t="str">
        <f>IF(ISTEXT(A44),VLOOKUP($A44,'Price  List'!B:G,3,FALSE),"")</f>
        <v/>
      </c>
      <c r="H44" t="str">
        <f>IF(ISTEXT(A44),VLOOKUP($A44,'Price  List'!B:G,4,FALSE),"")</f>
        <v/>
      </c>
    </row>
    <row r="45" spans="2:8" ht="21.75" customHeight="1" x14ac:dyDescent="0.25">
      <c r="B45" s="82"/>
      <c r="C45" s="107" t="str">
        <f t="shared" si="0"/>
        <v/>
      </c>
      <c r="G45" t="str">
        <f>IF(ISTEXT(A45),VLOOKUP($A45,'Price  List'!B:G,3,FALSE),"")</f>
        <v/>
      </c>
      <c r="H45" t="str">
        <f>IF(ISTEXT(A45),VLOOKUP($A45,'Price  List'!B:G,4,FALSE),"")</f>
        <v/>
      </c>
    </row>
    <row r="46" spans="2:8" ht="21.75" customHeight="1" x14ac:dyDescent="0.25">
      <c r="B46" s="82"/>
      <c r="C46" s="107" t="str">
        <f t="shared" si="0"/>
        <v/>
      </c>
      <c r="G46" t="str">
        <f>IF(ISTEXT(A46),VLOOKUP($A46,'Price  List'!B:G,3,FALSE),"")</f>
        <v/>
      </c>
      <c r="H46" t="str">
        <f>IF(ISTEXT(A46),VLOOKUP($A46,'Price  List'!B:G,4,FALSE),"")</f>
        <v/>
      </c>
    </row>
    <row r="47" spans="2:8" ht="21.75" customHeight="1" x14ac:dyDescent="0.25">
      <c r="B47" s="82"/>
      <c r="C47" s="107" t="str">
        <f t="shared" si="0"/>
        <v/>
      </c>
      <c r="G47" t="str">
        <f>IF(ISTEXT(A47),VLOOKUP($A47,'Price  List'!B:G,3,FALSE),"")</f>
        <v/>
      </c>
      <c r="H47" t="str">
        <f>IF(ISTEXT(A47),VLOOKUP($A47,'Price  List'!B:G,4,FALSE),"")</f>
        <v/>
      </c>
    </row>
    <row r="48" spans="2:8" ht="21.75" customHeight="1" x14ac:dyDescent="0.25">
      <c r="B48" s="82"/>
      <c r="C48" s="107" t="str">
        <f t="shared" si="0"/>
        <v/>
      </c>
      <c r="G48" t="str">
        <f>IF(ISTEXT(A48),VLOOKUP($A48,'Price  List'!B:G,3,FALSE),"")</f>
        <v/>
      </c>
      <c r="H48" t="str">
        <f>IF(ISTEXT(A48),VLOOKUP($A48,'Price  List'!B:G,4,FALSE),"")</f>
        <v/>
      </c>
    </row>
    <row r="49" spans="2:8" ht="21.75" customHeight="1" x14ac:dyDescent="0.25">
      <c r="B49" s="82"/>
      <c r="C49" s="107" t="str">
        <f t="shared" si="0"/>
        <v/>
      </c>
      <c r="G49" t="str">
        <f>IF(ISTEXT(A49),VLOOKUP($A49,'Price  List'!B:G,3,FALSE),"")</f>
        <v/>
      </c>
      <c r="H49" t="str">
        <f>IF(ISTEXT(A49),VLOOKUP($A49,'Price  List'!B:G,4,FALSE),"")</f>
        <v/>
      </c>
    </row>
    <row r="50" spans="2:8" ht="21.75" customHeight="1" x14ac:dyDescent="0.25">
      <c r="B50" s="82"/>
      <c r="C50" s="107" t="str">
        <f t="shared" si="0"/>
        <v/>
      </c>
      <c r="G50" t="str">
        <f>IF(ISTEXT(A50),VLOOKUP($A50,'Price  List'!B:G,3,FALSE),"")</f>
        <v/>
      </c>
      <c r="H50" t="str">
        <f>IF(ISTEXT(A50),VLOOKUP($A50,'Price  List'!B:G,4,FALSE),"")</f>
        <v/>
      </c>
    </row>
    <row r="51" spans="2:8" ht="21.75" customHeight="1" x14ac:dyDescent="0.25">
      <c r="B51" s="82"/>
      <c r="C51" s="107" t="str">
        <f t="shared" si="0"/>
        <v/>
      </c>
      <c r="G51" t="str">
        <f>IF(ISTEXT(A51),VLOOKUP($A51,'Price  List'!B:G,3,FALSE),"")</f>
        <v/>
      </c>
      <c r="H51" t="str">
        <f>IF(ISTEXT(A51),VLOOKUP($A51,'Price  List'!B:G,4,FALSE),"")</f>
        <v/>
      </c>
    </row>
    <row r="52" spans="2:8" ht="21.75" customHeight="1" x14ac:dyDescent="0.25">
      <c r="B52" s="82"/>
      <c r="C52" s="107" t="str">
        <f t="shared" si="0"/>
        <v/>
      </c>
      <c r="G52" t="str">
        <f>IF(ISTEXT(A52),VLOOKUP($A52,'Price  List'!B:G,3,FALSE),"")</f>
        <v/>
      </c>
      <c r="H52" t="str">
        <f>IF(ISTEXT(A52),VLOOKUP($A52,'Price  List'!B:G,4,FALSE),"")</f>
        <v/>
      </c>
    </row>
    <row r="53" spans="2:8" ht="21.75" customHeight="1" x14ac:dyDescent="0.25">
      <c r="B53" s="82"/>
      <c r="C53" s="107" t="str">
        <f t="shared" si="0"/>
        <v/>
      </c>
      <c r="G53" t="str">
        <f>IF(ISTEXT(A53),VLOOKUP($A53,'Price  List'!B:G,3,FALSE),"")</f>
        <v/>
      </c>
      <c r="H53" t="str">
        <f>IF(ISTEXT(A53),VLOOKUP($A53,'Price  List'!B:G,4,FALSE),"")</f>
        <v/>
      </c>
    </row>
    <row r="54" spans="2:8" ht="21.75" customHeight="1" x14ac:dyDescent="0.25">
      <c r="B54" s="82"/>
      <c r="C54" s="107" t="str">
        <f t="shared" si="0"/>
        <v/>
      </c>
      <c r="G54" t="str">
        <f>IF(ISTEXT(A54),VLOOKUP($A54,'Price  List'!B:G,3,FALSE),"")</f>
        <v/>
      </c>
      <c r="H54" t="str">
        <f>IF(ISTEXT(A54),VLOOKUP($A54,'Price  List'!B:G,4,FALSE),"")</f>
        <v/>
      </c>
    </row>
    <row r="55" spans="2:8" ht="21.75" customHeight="1" x14ac:dyDescent="0.25">
      <c r="B55" s="82"/>
      <c r="C55" s="107" t="str">
        <f t="shared" si="0"/>
        <v/>
      </c>
      <c r="G55" t="str">
        <f>IF(ISTEXT(A55),VLOOKUP($A55,'Price  List'!B:G,3,FALSE),"")</f>
        <v/>
      </c>
      <c r="H55" t="str">
        <f>IF(ISTEXT(A55),VLOOKUP($A55,'Price  List'!B:G,4,FALSE),"")</f>
        <v/>
      </c>
    </row>
    <row r="56" spans="2:8" ht="21.75" customHeight="1" x14ac:dyDescent="0.25">
      <c r="B56" s="82"/>
      <c r="C56" s="107" t="str">
        <f t="shared" si="0"/>
        <v/>
      </c>
      <c r="G56" t="str">
        <f>IF(ISTEXT(A56),VLOOKUP($A56,'Price  List'!B:G,3,FALSE),"")</f>
        <v/>
      </c>
      <c r="H56" t="str">
        <f>IF(ISTEXT(A56),VLOOKUP($A56,'Price  List'!B:G,4,FALSE),"")</f>
        <v/>
      </c>
    </row>
    <row r="57" spans="2:8" ht="21.75" customHeight="1" x14ac:dyDescent="0.25">
      <c r="B57" s="82"/>
      <c r="C57" s="107" t="str">
        <f t="shared" si="0"/>
        <v/>
      </c>
      <c r="G57" t="str">
        <f>IF(ISTEXT(A57),VLOOKUP($A57,'Price  List'!B:G,3,FALSE),"")</f>
        <v/>
      </c>
      <c r="H57" t="str">
        <f>IF(ISTEXT(A57),VLOOKUP($A57,'Price  List'!B:G,4,FALSE),"")</f>
        <v/>
      </c>
    </row>
    <row r="58" spans="2:8" ht="21.75" customHeight="1" x14ac:dyDescent="0.25">
      <c r="B58" s="82"/>
      <c r="C58" s="107" t="str">
        <f t="shared" si="0"/>
        <v/>
      </c>
      <c r="G58" t="str">
        <f>IF(ISTEXT(A58),VLOOKUP($A58,'Price  List'!B:G,3,FALSE),"")</f>
        <v/>
      </c>
      <c r="H58" t="str">
        <f>IF(ISTEXT(A58),VLOOKUP($A58,'Price  List'!B:G,4,FALSE),"")</f>
        <v/>
      </c>
    </row>
    <row r="59" spans="2:8" ht="21.75" customHeight="1" x14ac:dyDescent="0.25">
      <c r="B59" s="82"/>
      <c r="C59" s="107" t="str">
        <f t="shared" si="0"/>
        <v/>
      </c>
      <c r="G59" t="str">
        <f>IF(ISTEXT(A59),VLOOKUP($A59,'Price  List'!B:G,3,FALSE),"")</f>
        <v/>
      </c>
      <c r="H59" t="str">
        <f>IF(ISTEXT(A59),VLOOKUP($A59,'Price  List'!B:G,4,FALSE),"")</f>
        <v/>
      </c>
    </row>
    <row r="60" spans="2:8" ht="21.75" customHeight="1" x14ac:dyDescent="0.25">
      <c r="B60" s="82"/>
      <c r="C60" s="107" t="str">
        <f t="shared" si="0"/>
        <v/>
      </c>
      <c r="G60" t="str">
        <f>IF(ISTEXT(A60),VLOOKUP($A60,'Price  List'!B:G,3,FALSE),"")</f>
        <v/>
      </c>
      <c r="H60" t="str">
        <f>IF(ISTEXT(A60),VLOOKUP($A60,'Price  List'!B:G,4,FALSE),"")</f>
        <v/>
      </c>
    </row>
    <row r="61" spans="2:8" ht="21.75" customHeight="1" x14ac:dyDescent="0.25">
      <c r="B61" s="82"/>
      <c r="C61" s="107" t="str">
        <f t="shared" si="0"/>
        <v/>
      </c>
      <c r="G61" t="str">
        <f>IF(ISTEXT(A61),VLOOKUP($A61,'Price  List'!B:G,3,FALSE),"")</f>
        <v/>
      </c>
      <c r="H61" t="str">
        <f>IF(ISTEXT(A61),VLOOKUP($A61,'Price  List'!B:G,4,FALSE),"")</f>
        <v/>
      </c>
    </row>
    <row r="62" spans="2:8" ht="21.75" customHeight="1" x14ac:dyDescent="0.25">
      <c r="B62" s="82"/>
      <c r="C62" s="107" t="str">
        <f t="shared" si="0"/>
        <v/>
      </c>
      <c r="G62" t="str">
        <f>IF(ISTEXT(A62),VLOOKUP($A62,'Price  List'!B:G,3,FALSE),"")</f>
        <v/>
      </c>
      <c r="H62" t="str">
        <f>IF(ISTEXT(A62),VLOOKUP($A62,'Price  List'!B:G,4,FALSE),"")</f>
        <v/>
      </c>
    </row>
    <row r="63" spans="2:8" ht="21.75" customHeight="1" x14ac:dyDescent="0.25">
      <c r="B63" s="82"/>
      <c r="C63" s="107" t="str">
        <f t="shared" si="0"/>
        <v/>
      </c>
      <c r="G63" t="str">
        <f>IF(ISTEXT(A63),VLOOKUP($A63,'Price  List'!B:G,3,FALSE),"")</f>
        <v/>
      </c>
      <c r="H63" t="str">
        <f>IF(ISTEXT(A63),VLOOKUP($A63,'Price  List'!B:G,4,FALSE),"")</f>
        <v/>
      </c>
    </row>
    <row r="64" spans="2:8" ht="21.75" customHeight="1" x14ac:dyDescent="0.25">
      <c r="B64" s="82"/>
      <c r="C64" s="107" t="str">
        <f t="shared" si="0"/>
        <v/>
      </c>
      <c r="G64" t="str">
        <f>IF(ISTEXT(A64),VLOOKUP($A64,'Price  List'!B:G,3,FALSE),"")</f>
        <v/>
      </c>
      <c r="H64" t="str">
        <f>IF(ISTEXT(A64),VLOOKUP($A64,'Price  List'!B:G,4,FALSE),"")</f>
        <v/>
      </c>
    </row>
    <row r="65" spans="2:8" ht="21.75" customHeight="1" x14ac:dyDescent="0.25">
      <c r="B65" s="82"/>
      <c r="C65" s="107" t="str">
        <f t="shared" si="0"/>
        <v/>
      </c>
      <c r="G65" t="str">
        <f>IF(ISTEXT(A65),VLOOKUP($A65,'Price  List'!B:G,3,FALSE),"")</f>
        <v/>
      </c>
      <c r="H65" t="str">
        <f>IF(ISTEXT(A65),VLOOKUP($A65,'Price  List'!B:G,4,FALSE),"")</f>
        <v/>
      </c>
    </row>
    <row r="66" spans="2:8" ht="21.75" customHeight="1" x14ac:dyDescent="0.25">
      <c r="B66" s="82"/>
      <c r="C66" s="107" t="str">
        <f t="shared" si="0"/>
        <v/>
      </c>
      <c r="G66" t="str">
        <f>IF(ISTEXT(A66),VLOOKUP($A66,'Price  List'!B:G,3,FALSE),"")</f>
        <v/>
      </c>
      <c r="H66" t="str">
        <f>IF(ISTEXT(A66),VLOOKUP($A66,'Price  List'!B:G,4,FALSE),"")</f>
        <v/>
      </c>
    </row>
    <row r="67" spans="2:8" ht="21.75" customHeight="1" x14ac:dyDescent="0.25">
      <c r="B67" s="82"/>
      <c r="C67" s="107" t="str">
        <f t="shared" si="0"/>
        <v/>
      </c>
      <c r="G67" t="str">
        <f>IF(ISTEXT(A67),VLOOKUP($A67,'Price  List'!B:G,3,FALSE),"")</f>
        <v/>
      </c>
      <c r="H67" t="str">
        <f>IF(ISTEXT(A67),VLOOKUP($A67,'Price  List'!B:G,4,FALSE),"")</f>
        <v/>
      </c>
    </row>
    <row r="68" spans="2:8" ht="21.75" customHeight="1" x14ac:dyDescent="0.25">
      <c r="B68" s="82"/>
      <c r="C68" s="107" t="str">
        <f t="shared" ref="C68:C131" si="1">IF(ISTEXT(A68),"stock","")</f>
        <v/>
      </c>
      <c r="G68" t="str">
        <f>IF(ISTEXT(A68),VLOOKUP($A68,'Price  List'!B:G,3,FALSE),"")</f>
        <v/>
      </c>
      <c r="H68" t="str">
        <f>IF(ISTEXT(A68),VLOOKUP($A68,'Price  List'!B:G,4,FALSE),"")</f>
        <v/>
      </c>
    </row>
    <row r="69" spans="2:8" ht="21.75" customHeight="1" x14ac:dyDescent="0.25">
      <c r="B69" s="82"/>
      <c r="C69" s="107" t="str">
        <f t="shared" si="1"/>
        <v/>
      </c>
      <c r="G69" t="str">
        <f>IF(ISTEXT(A69),VLOOKUP($A69,'Price  List'!B:G,3,FALSE),"")</f>
        <v/>
      </c>
      <c r="H69" t="str">
        <f>IF(ISTEXT(A69),VLOOKUP($A69,'Price  List'!B:G,4,FALSE),"")</f>
        <v/>
      </c>
    </row>
    <row r="70" spans="2:8" ht="21.75" customHeight="1" x14ac:dyDescent="0.25">
      <c r="B70" s="82"/>
      <c r="C70" s="107" t="str">
        <f t="shared" si="1"/>
        <v/>
      </c>
      <c r="G70" t="str">
        <f>IF(ISTEXT(A70),VLOOKUP($A70,'Price  List'!B:G,3,FALSE),"")</f>
        <v/>
      </c>
      <c r="H70" t="str">
        <f>IF(ISTEXT(A70),VLOOKUP($A70,'Price  List'!B:G,4,FALSE),"")</f>
        <v/>
      </c>
    </row>
    <row r="71" spans="2:8" ht="21.75" customHeight="1" x14ac:dyDescent="0.25">
      <c r="B71" s="82"/>
      <c r="C71" s="107" t="str">
        <f t="shared" si="1"/>
        <v/>
      </c>
      <c r="G71" t="str">
        <f>IF(ISTEXT(A71),VLOOKUP($A71,'Price  List'!B:G,3,FALSE),"")</f>
        <v/>
      </c>
      <c r="H71" t="str">
        <f>IF(ISTEXT(A71),VLOOKUP($A71,'Price  List'!B:G,4,FALSE),"")</f>
        <v/>
      </c>
    </row>
    <row r="72" spans="2:8" ht="21.75" customHeight="1" x14ac:dyDescent="0.25">
      <c r="B72" s="82"/>
      <c r="C72" s="107" t="str">
        <f t="shared" si="1"/>
        <v/>
      </c>
      <c r="G72" t="str">
        <f>IF(ISTEXT(A72),VLOOKUP($A72,'Price  List'!B:G,3,FALSE),"")</f>
        <v/>
      </c>
      <c r="H72" t="str">
        <f>IF(ISTEXT(A72),VLOOKUP($A72,'Price  List'!B:G,4,FALSE),"")</f>
        <v/>
      </c>
    </row>
    <row r="73" spans="2:8" ht="21.75" customHeight="1" x14ac:dyDescent="0.25">
      <c r="B73" s="82"/>
      <c r="C73" s="107" t="str">
        <f t="shared" si="1"/>
        <v/>
      </c>
      <c r="G73" t="str">
        <f>IF(ISTEXT(A73),VLOOKUP($A73,'Price  List'!B:G,3,FALSE),"")</f>
        <v/>
      </c>
      <c r="H73" t="str">
        <f>IF(ISTEXT(A73),VLOOKUP($A73,'Price  List'!B:G,4,FALSE),"")</f>
        <v/>
      </c>
    </row>
    <row r="74" spans="2:8" ht="21.75" customHeight="1" x14ac:dyDescent="0.25">
      <c r="B74" s="82"/>
      <c r="C74" s="107" t="str">
        <f t="shared" si="1"/>
        <v/>
      </c>
      <c r="G74" t="str">
        <f>IF(ISTEXT(A74),VLOOKUP($A74,'Price  List'!B:G,3,FALSE),"")</f>
        <v/>
      </c>
      <c r="H74" t="str">
        <f>IF(ISTEXT(A74),VLOOKUP($A74,'Price  List'!B:G,4,FALSE),"")</f>
        <v/>
      </c>
    </row>
    <row r="75" spans="2:8" ht="21.75" customHeight="1" x14ac:dyDescent="0.25">
      <c r="B75" s="82"/>
      <c r="C75" s="107" t="str">
        <f t="shared" si="1"/>
        <v/>
      </c>
      <c r="G75" t="str">
        <f>IF(ISTEXT(A75),VLOOKUP($A75,'Price  List'!B:G,3,FALSE),"")</f>
        <v/>
      </c>
      <c r="H75" t="str">
        <f>IF(ISTEXT(A75),VLOOKUP($A75,'Price  List'!B:G,4,FALSE),"")</f>
        <v/>
      </c>
    </row>
    <row r="76" spans="2:8" ht="21.75" customHeight="1" x14ac:dyDescent="0.25">
      <c r="B76" s="82"/>
      <c r="C76" s="107" t="str">
        <f t="shared" si="1"/>
        <v/>
      </c>
      <c r="G76" t="str">
        <f>IF(ISTEXT(A76),VLOOKUP($A76,'Price  List'!B:G,3,FALSE),"")</f>
        <v/>
      </c>
      <c r="H76" t="str">
        <f>IF(ISTEXT(A76),VLOOKUP($A76,'Price  List'!B:G,4,FALSE),"")</f>
        <v/>
      </c>
    </row>
    <row r="77" spans="2:8" ht="21.75" customHeight="1" x14ac:dyDescent="0.25">
      <c r="B77" s="82"/>
      <c r="C77" s="107" t="str">
        <f t="shared" si="1"/>
        <v/>
      </c>
      <c r="G77" t="str">
        <f>IF(ISTEXT(A77),VLOOKUP($A77,'Price  List'!B:G,3,FALSE),"")</f>
        <v/>
      </c>
      <c r="H77" t="str">
        <f>IF(ISTEXT(A77),VLOOKUP($A77,'Price  List'!B:G,4,FALSE),"")</f>
        <v/>
      </c>
    </row>
    <row r="78" spans="2:8" ht="21.75" customHeight="1" x14ac:dyDescent="0.25">
      <c r="B78" s="82"/>
      <c r="C78" s="107" t="str">
        <f t="shared" si="1"/>
        <v/>
      </c>
      <c r="G78" t="str">
        <f>IF(ISTEXT(A78),VLOOKUP($A78,'Price  List'!B:G,3,FALSE),"")</f>
        <v/>
      </c>
      <c r="H78" t="str">
        <f>IF(ISTEXT(A78),VLOOKUP($A78,'Price  List'!B:G,4,FALSE),"")</f>
        <v/>
      </c>
    </row>
    <row r="79" spans="2:8" ht="21.75" customHeight="1" x14ac:dyDescent="0.25">
      <c r="B79" s="82"/>
      <c r="C79" s="107" t="str">
        <f t="shared" si="1"/>
        <v/>
      </c>
      <c r="G79" t="str">
        <f>IF(ISTEXT(A79),VLOOKUP($A79,'Price  List'!B:G,3,FALSE),"")</f>
        <v/>
      </c>
      <c r="H79" t="str">
        <f>IF(ISTEXT(A79),VLOOKUP($A79,'Price  List'!B:G,4,FALSE),"")</f>
        <v/>
      </c>
    </row>
    <row r="80" spans="2:8" ht="21.75" customHeight="1" x14ac:dyDescent="0.25">
      <c r="B80" s="82"/>
      <c r="C80" s="107" t="str">
        <f t="shared" si="1"/>
        <v/>
      </c>
      <c r="G80" t="str">
        <f>IF(ISTEXT(A80),VLOOKUP($A80,'Price  List'!B:G,3,FALSE),"")</f>
        <v/>
      </c>
      <c r="H80" t="str">
        <f>IF(ISTEXT(A80),VLOOKUP($A80,'Price  List'!B:G,4,FALSE),"")</f>
        <v/>
      </c>
    </row>
    <row r="81" spans="2:8" ht="21.75" customHeight="1" x14ac:dyDescent="0.25">
      <c r="B81" s="82"/>
      <c r="C81" s="107" t="str">
        <f t="shared" si="1"/>
        <v/>
      </c>
      <c r="G81" t="str">
        <f>IF(ISTEXT(A81),VLOOKUP($A81,'Price  List'!B:G,3,FALSE),"")</f>
        <v/>
      </c>
      <c r="H81" t="str">
        <f>IF(ISTEXT(A81),VLOOKUP($A81,'Price  List'!B:G,4,FALSE),"")</f>
        <v/>
      </c>
    </row>
    <row r="82" spans="2:8" ht="21.75" customHeight="1" x14ac:dyDescent="0.25">
      <c r="B82" s="82"/>
      <c r="C82" s="107" t="str">
        <f t="shared" si="1"/>
        <v/>
      </c>
      <c r="G82" t="str">
        <f>IF(ISTEXT(A82),VLOOKUP($A82,'Price  List'!B:G,3,FALSE),"")</f>
        <v/>
      </c>
      <c r="H82" t="str">
        <f>IF(ISTEXT(A82),VLOOKUP($A82,'Price  List'!B:G,4,FALSE),"")</f>
        <v/>
      </c>
    </row>
    <row r="83" spans="2:8" ht="21.75" customHeight="1" x14ac:dyDescent="0.25">
      <c r="B83" s="82"/>
      <c r="C83" s="107" t="str">
        <f t="shared" si="1"/>
        <v/>
      </c>
      <c r="G83" t="str">
        <f>IF(ISTEXT(A83),VLOOKUP($A83,'Price  List'!B:G,3,FALSE),"")</f>
        <v/>
      </c>
      <c r="H83" t="str">
        <f>IF(ISTEXT(A83),VLOOKUP($A83,'Price  List'!B:G,4,FALSE),"")</f>
        <v/>
      </c>
    </row>
    <row r="84" spans="2:8" ht="21.75" customHeight="1" x14ac:dyDescent="0.25">
      <c r="B84" s="82"/>
      <c r="C84" s="107" t="str">
        <f t="shared" si="1"/>
        <v/>
      </c>
      <c r="G84" t="str">
        <f>IF(ISTEXT(A84),VLOOKUP($A84,'Price  List'!B:G,3,FALSE),"")</f>
        <v/>
      </c>
      <c r="H84" t="str">
        <f>IF(ISTEXT(A84),VLOOKUP($A84,'Price  List'!B:G,4,FALSE),"")</f>
        <v/>
      </c>
    </row>
    <row r="85" spans="2:8" ht="21.75" customHeight="1" x14ac:dyDescent="0.25">
      <c r="B85" s="82"/>
      <c r="C85" s="107" t="str">
        <f t="shared" si="1"/>
        <v/>
      </c>
      <c r="G85" t="str">
        <f>IF(ISTEXT(A85),VLOOKUP($A85,'Price  List'!B:G,3,FALSE),"")</f>
        <v/>
      </c>
      <c r="H85" t="str">
        <f>IF(ISTEXT(A85),VLOOKUP($A85,'Price  List'!B:G,4,FALSE),"")</f>
        <v/>
      </c>
    </row>
    <row r="86" spans="2:8" ht="21.75" customHeight="1" x14ac:dyDescent="0.25">
      <c r="B86" s="82"/>
      <c r="C86" s="107" t="str">
        <f t="shared" si="1"/>
        <v/>
      </c>
      <c r="G86" t="str">
        <f>IF(ISTEXT(A86),VLOOKUP($A86,'Price  List'!B:G,3,FALSE),"")</f>
        <v/>
      </c>
      <c r="H86" t="str">
        <f>IF(ISTEXT(A86),VLOOKUP($A86,'Price  List'!B:G,4,FALSE),"")</f>
        <v/>
      </c>
    </row>
    <row r="87" spans="2:8" ht="21.75" customHeight="1" x14ac:dyDescent="0.25">
      <c r="B87" s="82"/>
      <c r="C87" s="107" t="str">
        <f t="shared" si="1"/>
        <v/>
      </c>
      <c r="G87" t="str">
        <f>IF(ISTEXT(A87),VLOOKUP($A87,'Price  List'!B:G,3,FALSE),"")</f>
        <v/>
      </c>
      <c r="H87" t="str">
        <f>IF(ISTEXT(A87),VLOOKUP($A87,'Price  List'!B:G,4,FALSE),"")</f>
        <v/>
      </c>
    </row>
    <row r="88" spans="2:8" ht="21.75" customHeight="1" x14ac:dyDescent="0.25">
      <c r="B88" s="82"/>
      <c r="C88" s="107" t="str">
        <f t="shared" si="1"/>
        <v/>
      </c>
      <c r="G88" t="str">
        <f>IF(ISTEXT(A88),VLOOKUP($A88,'Price  List'!B:G,3,FALSE),"")</f>
        <v/>
      </c>
      <c r="H88" t="str">
        <f>IF(ISTEXT(A88),VLOOKUP($A88,'Price  List'!B:G,4,FALSE),"")</f>
        <v/>
      </c>
    </row>
    <row r="89" spans="2:8" ht="21.75" customHeight="1" x14ac:dyDescent="0.25">
      <c r="B89" s="82"/>
      <c r="C89" s="107" t="str">
        <f t="shared" si="1"/>
        <v/>
      </c>
      <c r="G89" t="str">
        <f>IF(ISTEXT(A89),VLOOKUP($A89,'Price  List'!B:G,3,FALSE),"")</f>
        <v/>
      </c>
      <c r="H89" t="str">
        <f>IF(ISTEXT(A89),VLOOKUP($A89,'Price  List'!B:G,4,FALSE),"")</f>
        <v/>
      </c>
    </row>
    <row r="90" spans="2:8" ht="21.75" customHeight="1" x14ac:dyDescent="0.25">
      <c r="B90" s="82"/>
      <c r="C90" s="107" t="str">
        <f t="shared" si="1"/>
        <v/>
      </c>
      <c r="G90" t="str">
        <f>IF(ISTEXT(A90),VLOOKUP($A90,'Price  List'!B:G,3,FALSE),"")</f>
        <v/>
      </c>
      <c r="H90" t="str">
        <f>IF(ISTEXT(A90),VLOOKUP($A90,'Price  List'!B:G,4,FALSE),"")</f>
        <v/>
      </c>
    </row>
    <row r="91" spans="2:8" ht="21.75" customHeight="1" x14ac:dyDescent="0.25">
      <c r="B91" s="82"/>
      <c r="C91" s="107" t="str">
        <f t="shared" si="1"/>
        <v/>
      </c>
      <c r="G91" t="str">
        <f>IF(ISTEXT(A91),VLOOKUP($A91,'Price  List'!B:G,3,FALSE),"")</f>
        <v/>
      </c>
      <c r="H91" t="str">
        <f>IF(ISTEXT(A91),VLOOKUP($A91,'Price  List'!B:G,4,FALSE),"")</f>
        <v/>
      </c>
    </row>
    <row r="92" spans="2:8" ht="21.75" customHeight="1" x14ac:dyDescent="0.25">
      <c r="B92" s="82"/>
      <c r="C92" s="107" t="str">
        <f t="shared" si="1"/>
        <v/>
      </c>
      <c r="G92" t="str">
        <f>IF(ISTEXT(A92),VLOOKUP($A92,'Price  List'!B:G,3,FALSE),"")</f>
        <v/>
      </c>
      <c r="H92" t="str">
        <f>IF(ISTEXT(A92),VLOOKUP($A92,'Price  List'!B:G,4,FALSE),"")</f>
        <v/>
      </c>
    </row>
    <row r="93" spans="2:8" ht="21.75" customHeight="1" x14ac:dyDescent="0.25">
      <c r="B93" s="82"/>
      <c r="C93" s="107" t="str">
        <f t="shared" si="1"/>
        <v/>
      </c>
      <c r="G93" t="str">
        <f>IF(ISTEXT(A93),VLOOKUP($A93,'Price  List'!B:G,3,FALSE),"")</f>
        <v/>
      </c>
      <c r="H93" t="str">
        <f>IF(ISTEXT(A93),VLOOKUP($A93,'Price  List'!B:G,4,FALSE),"")</f>
        <v/>
      </c>
    </row>
    <row r="94" spans="2:8" ht="21.75" customHeight="1" x14ac:dyDescent="0.25">
      <c r="B94" s="82"/>
      <c r="C94" s="107" t="str">
        <f t="shared" si="1"/>
        <v/>
      </c>
      <c r="G94" t="str">
        <f>IF(ISTEXT(A94),VLOOKUP($A94,'Price  List'!B:G,3,FALSE),"")</f>
        <v/>
      </c>
      <c r="H94" t="str">
        <f>IF(ISTEXT(A94),VLOOKUP($A94,'Price  List'!B:G,4,FALSE),"")</f>
        <v/>
      </c>
    </row>
    <row r="95" spans="2:8" ht="21.75" customHeight="1" x14ac:dyDescent="0.25">
      <c r="B95" s="82"/>
      <c r="C95" s="107" t="str">
        <f t="shared" si="1"/>
        <v/>
      </c>
      <c r="G95" t="str">
        <f>IF(ISTEXT(A95),VLOOKUP($A95,'Price  List'!B:G,3,FALSE),"")</f>
        <v/>
      </c>
      <c r="H95" t="str">
        <f>IF(ISTEXT(A95),VLOOKUP($A95,'Price  List'!B:G,4,FALSE),"")</f>
        <v/>
      </c>
    </row>
    <row r="96" spans="2:8" ht="21.75" customHeight="1" x14ac:dyDescent="0.25">
      <c r="B96" s="82"/>
      <c r="C96" s="107" t="str">
        <f t="shared" si="1"/>
        <v/>
      </c>
      <c r="G96" t="str">
        <f>IF(ISTEXT(A96),VLOOKUP($A96,'Price  List'!B:G,3,FALSE),"")</f>
        <v/>
      </c>
      <c r="H96" t="str">
        <f>IF(ISTEXT(A96),VLOOKUP($A96,'Price  List'!B:G,4,FALSE),"")</f>
        <v/>
      </c>
    </row>
    <row r="97" spans="2:8" ht="21.75" customHeight="1" x14ac:dyDescent="0.25">
      <c r="B97" s="82"/>
      <c r="C97" s="107" t="str">
        <f t="shared" si="1"/>
        <v/>
      </c>
      <c r="G97" t="str">
        <f>IF(ISTEXT(A97),VLOOKUP($A97,'Price  List'!B:G,3,FALSE),"")</f>
        <v/>
      </c>
      <c r="H97" t="str">
        <f>IF(ISTEXT(A97),VLOOKUP($A97,'Price  List'!B:G,4,FALSE),"")</f>
        <v/>
      </c>
    </row>
    <row r="98" spans="2:8" ht="21.75" customHeight="1" x14ac:dyDescent="0.25">
      <c r="B98" s="82"/>
      <c r="C98" s="107" t="str">
        <f t="shared" si="1"/>
        <v/>
      </c>
      <c r="G98" t="str">
        <f>IF(ISTEXT(A98),VLOOKUP($A98,'Price  List'!B:G,3,FALSE),"")</f>
        <v/>
      </c>
      <c r="H98" t="str">
        <f>IF(ISTEXT(A98),VLOOKUP($A98,'Price  List'!B:G,4,FALSE),"")</f>
        <v/>
      </c>
    </row>
    <row r="99" spans="2:8" ht="21.75" customHeight="1" x14ac:dyDescent="0.25">
      <c r="B99" s="82"/>
      <c r="C99" s="107" t="str">
        <f t="shared" si="1"/>
        <v/>
      </c>
      <c r="G99" t="str">
        <f>IF(ISTEXT(A99),VLOOKUP($A99,'Price  List'!B:G,3,FALSE),"")</f>
        <v/>
      </c>
      <c r="H99" t="str">
        <f>IF(ISTEXT(A99),VLOOKUP($A99,'Price  List'!B:G,4,FALSE),"")</f>
        <v/>
      </c>
    </row>
    <row r="100" spans="2:8" ht="21.75" customHeight="1" x14ac:dyDescent="0.25">
      <c r="B100" s="82"/>
      <c r="C100" s="107" t="str">
        <f t="shared" si="1"/>
        <v/>
      </c>
      <c r="G100" t="str">
        <f>IF(ISTEXT(A100),VLOOKUP($A100,'Price  List'!B:G,3,FALSE),"")</f>
        <v/>
      </c>
      <c r="H100" t="str">
        <f>IF(ISTEXT(A100),VLOOKUP($A100,'Price  List'!B:G,4,FALSE),"")</f>
        <v/>
      </c>
    </row>
    <row r="101" spans="2:8" ht="21.75" customHeight="1" x14ac:dyDescent="0.25">
      <c r="B101" s="82"/>
      <c r="C101" s="107" t="str">
        <f t="shared" si="1"/>
        <v/>
      </c>
      <c r="G101" t="str">
        <f>IF(ISTEXT(A101),VLOOKUP($A101,'Price  List'!B:G,3,FALSE),"")</f>
        <v/>
      </c>
      <c r="H101" t="str">
        <f>IF(ISTEXT(A101),VLOOKUP($A101,'Price  List'!B:G,4,FALSE),"")</f>
        <v/>
      </c>
    </row>
    <row r="102" spans="2:8" ht="21.75" customHeight="1" x14ac:dyDescent="0.25">
      <c r="B102" s="82"/>
      <c r="C102" s="107" t="str">
        <f t="shared" si="1"/>
        <v/>
      </c>
      <c r="G102" t="str">
        <f>IF(ISTEXT(A102),VLOOKUP($A102,'Price  List'!B:G,3,FALSE),"")</f>
        <v/>
      </c>
      <c r="H102" t="str">
        <f>IF(ISTEXT(A102),VLOOKUP($A102,'Price  List'!B:G,4,FALSE),"")</f>
        <v/>
      </c>
    </row>
    <row r="103" spans="2:8" ht="21.75" customHeight="1" x14ac:dyDescent="0.25">
      <c r="B103" s="82"/>
      <c r="C103" s="107" t="str">
        <f t="shared" si="1"/>
        <v/>
      </c>
      <c r="G103" t="str">
        <f>IF(ISTEXT(A103),VLOOKUP($A103,'Price  List'!B:G,3,FALSE),"")</f>
        <v/>
      </c>
      <c r="H103" t="str">
        <f>IF(ISTEXT(A103),VLOOKUP($A103,'Price  List'!B:G,4,FALSE),"")</f>
        <v/>
      </c>
    </row>
    <row r="104" spans="2:8" ht="21.75" customHeight="1" x14ac:dyDescent="0.25">
      <c r="B104" s="82"/>
      <c r="C104" s="107" t="str">
        <f t="shared" si="1"/>
        <v/>
      </c>
      <c r="G104" t="str">
        <f>IF(ISTEXT(A104),VLOOKUP($A104,'Price  List'!B:G,3,FALSE),"")</f>
        <v/>
      </c>
      <c r="H104" t="str">
        <f>IF(ISTEXT(A104),VLOOKUP($A104,'Price  List'!B:G,4,FALSE),"")</f>
        <v/>
      </c>
    </row>
    <row r="105" spans="2:8" ht="21.75" customHeight="1" x14ac:dyDescent="0.25">
      <c r="B105" s="82"/>
      <c r="C105" s="107" t="str">
        <f t="shared" si="1"/>
        <v/>
      </c>
      <c r="G105" t="str">
        <f>IF(ISTEXT(A105),VLOOKUP($A105,'Price  List'!B:G,3,FALSE),"")</f>
        <v/>
      </c>
      <c r="H105" t="str">
        <f>IF(ISTEXT(A105),VLOOKUP($A105,'Price  List'!B:G,4,FALSE),"")</f>
        <v/>
      </c>
    </row>
    <row r="106" spans="2:8" ht="21.75" customHeight="1" x14ac:dyDescent="0.25">
      <c r="B106" s="82"/>
      <c r="C106" s="107" t="str">
        <f t="shared" si="1"/>
        <v/>
      </c>
      <c r="G106" t="str">
        <f>IF(ISTEXT(A106),VLOOKUP($A106,'Price  List'!B:G,3,FALSE),"")</f>
        <v/>
      </c>
      <c r="H106" t="str">
        <f>IF(ISTEXT(A106),VLOOKUP($A106,'Price  List'!B:G,4,FALSE),"")</f>
        <v/>
      </c>
    </row>
    <row r="107" spans="2:8" ht="21.75" customHeight="1" x14ac:dyDescent="0.25">
      <c r="B107" s="82"/>
      <c r="C107" s="107" t="str">
        <f t="shared" si="1"/>
        <v/>
      </c>
      <c r="G107" t="str">
        <f>IF(ISTEXT(A107),VLOOKUP($A107,'Price  List'!B:G,3,FALSE),"")</f>
        <v/>
      </c>
      <c r="H107" t="str">
        <f>IF(ISTEXT(A107),VLOOKUP($A107,'Price  List'!B:G,4,FALSE),"")</f>
        <v/>
      </c>
    </row>
    <row r="108" spans="2:8" ht="21.75" customHeight="1" x14ac:dyDescent="0.25">
      <c r="B108" s="82"/>
      <c r="C108" s="107" t="str">
        <f t="shared" si="1"/>
        <v/>
      </c>
      <c r="G108" t="str">
        <f>IF(ISTEXT(A108),VLOOKUP($A108,'Price  List'!B:G,3,FALSE),"")</f>
        <v/>
      </c>
      <c r="H108" t="str">
        <f>IF(ISTEXT(A108),VLOOKUP($A108,'Price  List'!B:G,4,FALSE),"")</f>
        <v/>
      </c>
    </row>
    <row r="109" spans="2:8" ht="21.75" customHeight="1" x14ac:dyDescent="0.25">
      <c r="B109" s="82"/>
      <c r="C109" s="107" t="str">
        <f t="shared" si="1"/>
        <v/>
      </c>
      <c r="G109" t="str">
        <f>IF(ISTEXT(A109),VLOOKUP($A109,'Price  List'!B:G,3,FALSE),"")</f>
        <v/>
      </c>
      <c r="H109" t="str">
        <f>IF(ISTEXT(A109),VLOOKUP($A109,'Price  List'!B:G,4,FALSE),"")</f>
        <v/>
      </c>
    </row>
    <row r="110" spans="2:8" ht="21.75" customHeight="1" x14ac:dyDescent="0.25">
      <c r="B110" s="82"/>
      <c r="C110" s="107" t="str">
        <f t="shared" si="1"/>
        <v/>
      </c>
      <c r="G110" t="str">
        <f>IF(ISTEXT(A110),VLOOKUP($A110,'Price  List'!B:G,3,FALSE),"")</f>
        <v/>
      </c>
      <c r="H110" t="str">
        <f>IF(ISTEXT(A110),VLOOKUP($A110,'Price  List'!B:G,4,FALSE),"")</f>
        <v/>
      </c>
    </row>
    <row r="111" spans="2:8" ht="21.75" customHeight="1" x14ac:dyDescent="0.25">
      <c r="B111" s="82"/>
      <c r="C111" s="107" t="str">
        <f t="shared" si="1"/>
        <v/>
      </c>
      <c r="G111" t="str">
        <f>IF(ISTEXT(A111),VLOOKUP($A111,'Price  List'!B:G,3,FALSE),"")</f>
        <v/>
      </c>
      <c r="H111" t="str">
        <f>IF(ISTEXT(A111),VLOOKUP($A111,'Price  List'!B:G,4,FALSE),"")</f>
        <v/>
      </c>
    </row>
    <row r="112" spans="2:8" ht="21.75" customHeight="1" x14ac:dyDescent="0.25">
      <c r="B112" s="82"/>
      <c r="C112" s="107" t="str">
        <f t="shared" si="1"/>
        <v/>
      </c>
      <c r="G112" t="str">
        <f>IF(ISTEXT(A112),VLOOKUP($A112,'Price  List'!B:G,3,FALSE),"")</f>
        <v/>
      </c>
      <c r="H112" t="str">
        <f>IF(ISTEXT(A112),VLOOKUP($A112,'Price  List'!B:G,4,FALSE),"")</f>
        <v/>
      </c>
    </row>
    <row r="113" spans="2:8" ht="21.75" customHeight="1" x14ac:dyDescent="0.25">
      <c r="B113" s="82"/>
      <c r="C113" s="107" t="str">
        <f t="shared" si="1"/>
        <v/>
      </c>
      <c r="G113" t="str">
        <f>IF(ISTEXT(A113),VLOOKUP($A113,'Price  List'!B:G,3,FALSE),"")</f>
        <v/>
      </c>
      <c r="H113" t="str">
        <f>IF(ISTEXT(A113),VLOOKUP($A113,'Price  List'!B:G,4,FALSE),"")</f>
        <v/>
      </c>
    </row>
    <row r="114" spans="2:8" ht="21.75" customHeight="1" x14ac:dyDescent="0.25">
      <c r="B114" s="82"/>
      <c r="C114" s="107" t="str">
        <f t="shared" si="1"/>
        <v/>
      </c>
      <c r="G114" t="str">
        <f>IF(ISTEXT(A114),VLOOKUP($A114,'Price  List'!B:G,3,FALSE),"")</f>
        <v/>
      </c>
      <c r="H114" t="str">
        <f>IF(ISTEXT(A114),VLOOKUP($A114,'Price  List'!B:G,4,FALSE),"")</f>
        <v/>
      </c>
    </row>
    <row r="115" spans="2:8" ht="21.75" customHeight="1" x14ac:dyDescent="0.25">
      <c r="B115" s="82"/>
      <c r="C115" s="107" t="str">
        <f t="shared" si="1"/>
        <v/>
      </c>
      <c r="G115" t="str">
        <f>IF(ISTEXT(A115),VLOOKUP($A115,'Price  List'!B:G,3,FALSE),"")</f>
        <v/>
      </c>
      <c r="H115" t="str">
        <f>IF(ISTEXT(A115),VLOOKUP($A115,'Price  List'!B:G,4,FALSE),"")</f>
        <v/>
      </c>
    </row>
    <row r="116" spans="2:8" ht="21.75" customHeight="1" x14ac:dyDescent="0.25">
      <c r="B116" s="82"/>
      <c r="C116" s="107" t="str">
        <f t="shared" si="1"/>
        <v/>
      </c>
      <c r="G116" t="str">
        <f>IF(ISTEXT(A116),VLOOKUP($A116,'Price  List'!B:G,3,FALSE),"")</f>
        <v/>
      </c>
      <c r="H116" t="str">
        <f>IF(ISTEXT(A116),VLOOKUP($A116,'Price  List'!B:G,4,FALSE),"")</f>
        <v/>
      </c>
    </row>
    <row r="117" spans="2:8" ht="21.75" customHeight="1" x14ac:dyDescent="0.25">
      <c r="B117" s="82"/>
      <c r="C117" s="107" t="str">
        <f t="shared" si="1"/>
        <v/>
      </c>
      <c r="G117" t="str">
        <f>IF(ISTEXT(A117),VLOOKUP($A117,'Price  List'!B:G,3,FALSE),"")</f>
        <v/>
      </c>
      <c r="H117" t="str">
        <f>IF(ISTEXT(A117),VLOOKUP($A117,'Price  List'!B:G,4,FALSE),"")</f>
        <v/>
      </c>
    </row>
    <row r="118" spans="2:8" ht="21.75" customHeight="1" x14ac:dyDescent="0.25">
      <c r="B118" s="82"/>
      <c r="C118" s="107" t="str">
        <f t="shared" si="1"/>
        <v/>
      </c>
      <c r="G118" t="str">
        <f>IF(ISTEXT(A118),VLOOKUP($A118,'Price  List'!B:G,3,FALSE),"")</f>
        <v/>
      </c>
      <c r="H118" t="str">
        <f>IF(ISTEXT(A118),VLOOKUP($A118,'Price  List'!B:G,4,FALSE),"")</f>
        <v/>
      </c>
    </row>
    <row r="119" spans="2:8" ht="21.75" customHeight="1" x14ac:dyDescent="0.25">
      <c r="B119" s="82"/>
      <c r="C119" s="107" t="str">
        <f t="shared" si="1"/>
        <v/>
      </c>
      <c r="G119" t="str">
        <f>IF(ISTEXT(A119),VLOOKUP($A119,'Price  List'!B:G,3,FALSE),"")</f>
        <v/>
      </c>
      <c r="H119" t="str">
        <f>IF(ISTEXT(A119),VLOOKUP($A119,'Price  List'!B:G,4,FALSE),"")</f>
        <v/>
      </c>
    </row>
    <row r="120" spans="2:8" ht="21.75" customHeight="1" x14ac:dyDescent="0.25">
      <c r="B120" s="82"/>
      <c r="C120" s="107" t="str">
        <f t="shared" si="1"/>
        <v/>
      </c>
      <c r="G120" t="str">
        <f>IF(ISTEXT(A120),VLOOKUP($A120,'Price  List'!B:G,3,FALSE),"")</f>
        <v/>
      </c>
      <c r="H120" t="str">
        <f>IF(ISTEXT(A120),VLOOKUP($A120,'Price  List'!B:G,4,FALSE),"")</f>
        <v/>
      </c>
    </row>
    <row r="121" spans="2:8" ht="21.75" customHeight="1" x14ac:dyDescent="0.25">
      <c r="B121" s="82"/>
      <c r="C121" s="107" t="str">
        <f t="shared" si="1"/>
        <v/>
      </c>
      <c r="G121" t="str">
        <f>IF(ISTEXT(A121),VLOOKUP($A121,'Price  List'!B:G,3,FALSE),"")</f>
        <v/>
      </c>
      <c r="H121" t="str">
        <f>IF(ISTEXT(A121),VLOOKUP($A121,'Price  List'!B:G,4,FALSE),"")</f>
        <v/>
      </c>
    </row>
    <row r="122" spans="2:8" ht="21.75" customHeight="1" x14ac:dyDescent="0.25">
      <c r="B122" s="82"/>
      <c r="C122" s="107" t="str">
        <f t="shared" si="1"/>
        <v/>
      </c>
      <c r="G122" t="str">
        <f>IF(ISTEXT(A122),VLOOKUP($A122,'Price  List'!B:G,3,FALSE),"")</f>
        <v/>
      </c>
      <c r="H122" t="str">
        <f>IF(ISTEXT(A122),VLOOKUP($A122,'Price  List'!B:G,4,FALSE),"")</f>
        <v/>
      </c>
    </row>
    <row r="123" spans="2:8" ht="21.75" customHeight="1" x14ac:dyDescent="0.25">
      <c r="B123" s="82"/>
      <c r="C123" s="107" t="str">
        <f t="shared" si="1"/>
        <v/>
      </c>
      <c r="G123" t="str">
        <f>IF(ISTEXT(A123),VLOOKUP($A123,'Price  List'!B:G,3,FALSE),"")</f>
        <v/>
      </c>
      <c r="H123" t="str">
        <f>IF(ISTEXT(A123),VLOOKUP($A123,'Price  List'!B:G,4,FALSE),"")</f>
        <v/>
      </c>
    </row>
    <row r="124" spans="2:8" ht="21.75" customHeight="1" x14ac:dyDescent="0.25">
      <c r="B124" s="82"/>
      <c r="C124" s="107" t="str">
        <f t="shared" si="1"/>
        <v/>
      </c>
      <c r="G124" t="str">
        <f>IF(ISTEXT(A124),VLOOKUP($A124,'Price  List'!B:G,3,FALSE),"")</f>
        <v/>
      </c>
      <c r="H124" t="str">
        <f>IF(ISTEXT(A124),VLOOKUP($A124,'Price  List'!B:G,4,FALSE),"")</f>
        <v/>
      </c>
    </row>
    <row r="125" spans="2:8" ht="21.75" customHeight="1" x14ac:dyDescent="0.25">
      <c r="B125" s="82"/>
      <c r="C125" s="107" t="str">
        <f t="shared" si="1"/>
        <v/>
      </c>
      <c r="G125" t="str">
        <f>IF(ISTEXT(A125),VLOOKUP($A125,'Price  List'!B:G,3,FALSE),"")</f>
        <v/>
      </c>
      <c r="H125" t="str">
        <f>IF(ISTEXT(A125),VLOOKUP($A125,'Price  List'!B:G,4,FALSE),"")</f>
        <v/>
      </c>
    </row>
    <row r="126" spans="2:8" ht="21.75" customHeight="1" x14ac:dyDescent="0.25">
      <c r="B126" s="82"/>
      <c r="C126" s="107" t="str">
        <f t="shared" si="1"/>
        <v/>
      </c>
      <c r="G126" t="str">
        <f>IF(ISTEXT(A126),VLOOKUP($A126,'Price  List'!B:G,3,FALSE),"")</f>
        <v/>
      </c>
      <c r="H126" t="str">
        <f>IF(ISTEXT(A126),VLOOKUP($A126,'Price  List'!B:G,4,FALSE),"")</f>
        <v/>
      </c>
    </row>
    <row r="127" spans="2:8" ht="21.75" customHeight="1" x14ac:dyDescent="0.25">
      <c r="B127" s="82"/>
      <c r="C127" s="107" t="str">
        <f t="shared" si="1"/>
        <v/>
      </c>
      <c r="G127" t="str">
        <f>IF(ISTEXT(A127),VLOOKUP($A127,'Price  List'!B:G,3,FALSE),"")</f>
        <v/>
      </c>
      <c r="H127" t="str">
        <f>IF(ISTEXT(A127),VLOOKUP($A127,'Price  List'!B:G,4,FALSE),"")</f>
        <v/>
      </c>
    </row>
    <row r="128" spans="2:8" ht="21.75" customHeight="1" x14ac:dyDescent="0.25">
      <c r="B128" s="82"/>
      <c r="C128" s="107" t="str">
        <f t="shared" si="1"/>
        <v/>
      </c>
      <c r="G128" t="str">
        <f>IF(ISTEXT(A128),VLOOKUP($A128,'Price  List'!B:G,3,FALSE),"")</f>
        <v/>
      </c>
      <c r="H128" t="str">
        <f>IF(ISTEXT(A128),VLOOKUP($A128,'Price  List'!B:G,4,FALSE),"")</f>
        <v/>
      </c>
    </row>
    <row r="129" spans="2:8" ht="21.75" customHeight="1" x14ac:dyDescent="0.25">
      <c r="B129" s="82"/>
      <c r="C129" s="107" t="str">
        <f t="shared" si="1"/>
        <v/>
      </c>
      <c r="G129" t="str">
        <f>IF(ISTEXT(A129),VLOOKUP($A129,'Price  List'!B:G,3,FALSE),"")</f>
        <v/>
      </c>
      <c r="H129" t="str">
        <f>IF(ISTEXT(A129),VLOOKUP($A129,'Price  List'!B:G,4,FALSE),"")</f>
        <v/>
      </c>
    </row>
    <row r="130" spans="2:8" ht="21.75" customHeight="1" x14ac:dyDescent="0.25">
      <c r="B130" s="82"/>
      <c r="C130" s="107" t="str">
        <f t="shared" si="1"/>
        <v/>
      </c>
      <c r="G130" t="str">
        <f>IF(ISTEXT(A130),VLOOKUP($A130,'Price  List'!B:G,3,FALSE),"")</f>
        <v/>
      </c>
      <c r="H130" t="str">
        <f>IF(ISTEXT(A130),VLOOKUP($A130,'Price  List'!B:G,4,FALSE),"")</f>
        <v/>
      </c>
    </row>
    <row r="131" spans="2:8" ht="21.75" customHeight="1" x14ac:dyDescent="0.25">
      <c r="B131" s="82"/>
      <c r="C131" s="107" t="str">
        <f t="shared" si="1"/>
        <v/>
      </c>
      <c r="G131" t="str">
        <f>IF(ISTEXT(A131),VLOOKUP($A131,'Price  List'!B:G,3,FALSE),"")</f>
        <v/>
      </c>
      <c r="H131" t="str">
        <f>IF(ISTEXT(A131),VLOOKUP($A131,'Price  List'!B:G,4,FALSE),"")</f>
        <v/>
      </c>
    </row>
    <row r="132" spans="2:8" ht="21.75" customHeight="1" x14ac:dyDescent="0.25">
      <c r="B132" s="82"/>
      <c r="C132" s="107" t="str">
        <f t="shared" ref="C132:C195" si="2">IF(ISTEXT(A132),"stock","")</f>
        <v/>
      </c>
      <c r="G132" t="str">
        <f>IF(ISTEXT(A132),VLOOKUP($A132,'Price  List'!B:G,3,FALSE),"")</f>
        <v/>
      </c>
      <c r="H132" t="str">
        <f>IF(ISTEXT(A132),VLOOKUP($A132,'Price  List'!B:G,4,FALSE),"")</f>
        <v/>
      </c>
    </row>
    <row r="133" spans="2:8" ht="21.75" customHeight="1" x14ac:dyDescent="0.25">
      <c r="B133" s="82"/>
      <c r="C133" s="107" t="str">
        <f t="shared" si="2"/>
        <v/>
      </c>
      <c r="G133" t="str">
        <f>IF(ISTEXT(A133),VLOOKUP($A133,'Price  List'!B:G,3,FALSE),"")</f>
        <v/>
      </c>
      <c r="H133" t="str">
        <f>IF(ISTEXT(A133),VLOOKUP($A133,'Price  List'!B:G,4,FALSE),"")</f>
        <v/>
      </c>
    </row>
    <row r="134" spans="2:8" ht="21.75" customHeight="1" x14ac:dyDescent="0.25">
      <c r="B134" s="82"/>
      <c r="C134" s="107" t="str">
        <f t="shared" si="2"/>
        <v/>
      </c>
      <c r="G134" t="str">
        <f>IF(ISTEXT(A134),VLOOKUP($A134,'Price  List'!B:G,3,FALSE),"")</f>
        <v/>
      </c>
      <c r="H134" t="str">
        <f>IF(ISTEXT(A134),VLOOKUP($A134,'Price  List'!B:G,4,FALSE),"")</f>
        <v/>
      </c>
    </row>
    <row r="135" spans="2:8" ht="21.75" customHeight="1" x14ac:dyDescent="0.25">
      <c r="B135" s="82"/>
      <c r="C135" s="107" t="str">
        <f t="shared" si="2"/>
        <v/>
      </c>
      <c r="G135" t="str">
        <f>IF(ISTEXT(A135),VLOOKUP($A135,'Price  List'!B:G,3,FALSE),"")</f>
        <v/>
      </c>
      <c r="H135" t="str">
        <f>IF(ISTEXT(A135),VLOOKUP($A135,'Price  List'!B:G,4,FALSE),"")</f>
        <v/>
      </c>
    </row>
    <row r="136" spans="2:8" ht="21.75" customHeight="1" x14ac:dyDescent="0.25">
      <c r="B136" s="82"/>
      <c r="C136" s="107" t="str">
        <f t="shared" si="2"/>
        <v/>
      </c>
      <c r="G136" t="str">
        <f>IF(ISTEXT(A136),VLOOKUP($A136,'Price  List'!B:G,3,FALSE),"")</f>
        <v/>
      </c>
      <c r="H136" t="str">
        <f>IF(ISTEXT(A136),VLOOKUP($A136,'Price  List'!B:G,4,FALSE),"")</f>
        <v/>
      </c>
    </row>
    <row r="137" spans="2:8" ht="21.75" customHeight="1" x14ac:dyDescent="0.25">
      <c r="B137" s="82"/>
      <c r="C137" s="107" t="str">
        <f t="shared" si="2"/>
        <v/>
      </c>
      <c r="G137" t="str">
        <f>IF(ISTEXT(A137),VLOOKUP($A137,'Price  List'!B:G,3,FALSE),"")</f>
        <v/>
      </c>
      <c r="H137" t="str">
        <f>IF(ISTEXT(A137),VLOOKUP($A137,'Price  List'!B:G,4,FALSE),"")</f>
        <v/>
      </c>
    </row>
    <row r="138" spans="2:8" ht="21.75" customHeight="1" x14ac:dyDescent="0.25">
      <c r="B138" s="82"/>
      <c r="C138" s="107" t="str">
        <f t="shared" si="2"/>
        <v/>
      </c>
      <c r="G138" t="str">
        <f>IF(ISTEXT(A138),VLOOKUP($A138,'Price  List'!B:G,3,FALSE),"")</f>
        <v/>
      </c>
      <c r="H138" t="str">
        <f>IF(ISTEXT(A138),VLOOKUP($A138,'Price  List'!B:G,4,FALSE),"")</f>
        <v/>
      </c>
    </row>
    <row r="139" spans="2:8" ht="21.75" customHeight="1" x14ac:dyDescent="0.25">
      <c r="B139" s="82"/>
      <c r="C139" s="107" t="str">
        <f t="shared" si="2"/>
        <v/>
      </c>
      <c r="G139" t="str">
        <f>IF(ISTEXT(A139),VLOOKUP($A139,'Price  List'!B:G,3,FALSE),"")</f>
        <v/>
      </c>
      <c r="H139" t="str">
        <f>IF(ISTEXT(A139),VLOOKUP($A139,'Price  List'!B:G,4,FALSE),"")</f>
        <v/>
      </c>
    </row>
    <row r="140" spans="2:8" ht="21.75" customHeight="1" x14ac:dyDescent="0.25">
      <c r="B140" s="82"/>
      <c r="C140" s="107" t="str">
        <f t="shared" si="2"/>
        <v/>
      </c>
      <c r="G140" t="str">
        <f>IF(ISTEXT(A140),VLOOKUP($A140,'Price  List'!B:G,3,FALSE),"")</f>
        <v/>
      </c>
      <c r="H140" t="str">
        <f>IF(ISTEXT(A140),VLOOKUP($A140,'Price  List'!B:G,4,FALSE),"")</f>
        <v/>
      </c>
    </row>
    <row r="141" spans="2:8" ht="21.75" customHeight="1" x14ac:dyDescent="0.25">
      <c r="B141" s="82"/>
      <c r="C141" s="107" t="str">
        <f t="shared" si="2"/>
        <v/>
      </c>
      <c r="G141" t="str">
        <f>IF(ISTEXT(A141),VLOOKUP($A141,'Price  List'!B:G,3,FALSE),"")</f>
        <v/>
      </c>
      <c r="H141" t="str">
        <f>IF(ISTEXT(A141),VLOOKUP($A141,'Price  List'!B:G,4,FALSE),"")</f>
        <v/>
      </c>
    </row>
    <row r="142" spans="2:8" ht="21.75" customHeight="1" x14ac:dyDescent="0.25">
      <c r="B142" s="82"/>
      <c r="C142" s="107" t="str">
        <f t="shared" si="2"/>
        <v/>
      </c>
      <c r="G142" t="str">
        <f>IF(ISTEXT(A142),VLOOKUP($A142,'Price  List'!B:G,3,FALSE),"")</f>
        <v/>
      </c>
      <c r="H142" t="str">
        <f>IF(ISTEXT(A142),VLOOKUP($A142,'Price  List'!B:G,4,FALSE),"")</f>
        <v/>
      </c>
    </row>
    <row r="143" spans="2:8" ht="21.75" customHeight="1" x14ac:dyDescent="0.25">
      <c r="B143" s="82"/>
      <c r="C143" s="107" t="str">
        <f t="shared" si="2"/>
        <v/>
      </c>
      <c r="G143" t="str">
        <f>IF(ISTEXT(A143),VLOOKUP($A143,'Price  List'!B:G,3,FALSE),"")</f>
        <v/>
      </c>
      <c r="H143" t="str">
        <f>IF(ISTEXT(A143),VLOOKUP($A143,'Price  List'!B:G,4,FALSE),"")</f>
        <v/>
      </c>
    </row>
    <row r="144" spans="2:8" ht="21.75" customHeight="1" x14ac:dyDescent="0.25">
      <c r="B144" s="82"/>
      <c r="C144" s="107" t="str">
        <f t="shared" si="2"/>
        <v/>
      </c>
      <c r="G144" t="str">
        <f>IF(ISTEXT(A144),VLOOKUP($A144,'Price  List'!B:G,3,FALSE),"")</f>
        <v/>
      </c>
      <c r="H144" t="str">
        <f>IF(ISTEXT(A144),VLOOKUP($A144,'Price  List'!B:G,4,FALSE),"")</f>
        <v/>
      </c>
    </row>
    <row r="145" spans="2:8" ht="21.75" customHeight="1" x14ac:dyDescent="0.25">
      <c r="B145" s="82"/>
      <c r="C145" s="107" t="str">
        <f t="shared" si="2"/>
        <v/>
      </c>
      <c r="G145" t="str">
        <f>IF(ISTEXT(A145),VLOOKUP($A145,'Price  List'!B:G,3,FALSE),"")</f>
        <v/>
      </c>
      <c r="H145" t="str">
        <f>IF(ISTEXT(A145),VLOOKUP($A145,'Price  List'!B:G,4,FALSE),"")</f>
        <v/>
      </c>
    </row>
    <row r="146" spans="2:8" ht="21.75" customHeight="1" x14ac:dyDescent="0.25">
      <c r="B146" s="82"/>
      <c r="C146" s="107" t="str">
        <f t="shared" si="2"/>
        <v/>
      </c>
      <c r="G146" t="str">
        <f>IF(ISTEXT(A146),VLOOKUP($A146,'Price  List'!B:G,3,FALSE),"")</f>
        <v/>
      </c>
      <c r="H146" t="str">
        <f>IF(ISTEXT(A146),VLOOKUP($A146,'Price  List'!B:G,4,FALSE),"")</f>
        <v/>
      </c>
    </row>
    <row r="147" spans="2:8" ht="21.75" customHeight="1" x14ac:dyDescent="0.25">
      <c r="B147" s="82"/>
      <c r="C147" s="107" t="str">
        <f t="shared" si="2"/>
        <v/>
      </c>
      <c r="G147" t="str">
        <f>IF(ISTEXT(A147),VLOOKUP($A147,'Price  List'!B:G,3,FALSE),"")</f>
        <v/>
      </c>
      <c r="H147" t="str">
        <f>IF(ISTEXT(A147),VLOOKUP($A147,'Price  List'!B:G,4,FALSE),"")</f>
        <v/>
      </c>
    </row>
    <row r="148" spans="2:8" ht="21.75" customHeight="1" x14ac:dyDescent="0.25">
      <c r="B148" s="82"/>
      <c r="C148" s="107" t="str">
        <f t="shared" si="2"/>
        <v/>
      </c>
      <c r="G148" t="str">
        <f>IF(ISTEXT(A148),VLOOKUP($A148,'Price  List'!B:G,3,FALSE),"")</f>
        <v/>
      </c>
      <c r="H148" t="str">
        <f>IF(ISTEXT(A148),VLOOKUP($A148,'Price  List'!B:G,4,FALSE),"")</f>
        <v/>
      </c>
    </row>
    <row r="149" spans="2:8" ht="21.75" customHeight="1" x14ac:dyDescent="0.25">
      <c r="B149" s="82"/>
      <c r="C149" s="107" t="str">
        <f t="shared" si="2"/>
        <v/>
      </c>
      <c r="G149" t="str">
        <f>IF(ISTEXT(A149),VLOOKUP($A149,'Price  List'!B:G,3,FALSE),"")</f>
        <v/>
      </c>
      <c r="H149" t="str">
        <f>IF(ISTEXT(A149),VLOOKUP($A149,'Price  List'!B:G,4,FALSE),"")</f>
        <v/>
      </c>
    </row>
    <row r="150" spans="2:8" ht="21.75" customHeight="1" x14ac:dyDescent="0.25">
      <c r="B150" s="82"/>
      <c r="C150" s="107" t="str">
        <f t="shared" si="2"/>
        <v/>
      </c>
      <c r="G150" t="str">
        <f>IF(ISTEXT(A150),VLOOKUP($A150,'Price  List'!B:G,3,FALSE),"")</f>
        <v/>
      </c>
      <c r="H150" t="str">
        <f>IF(ISTEXT(A150),VLOOKUP($A150,'Price  List'!B:G,4,FALSE),"")</f>
        <v/>
      </c>
    </row>
    <row r="151" spans="2:8" ht="21.75" customHeight="1" x14ac:dyDescent="0.25">
      <c r="B151" s="82"/>
      <c r="C151" s="107" t="str">
        <f t="shared" si="2"/>
        <v/>
      </c>
      <c r="G151" t="str">
        <f>IF(ISTEXT(A151),VLOOKUP($A151,'Price  List'!B:G,3,FALSE),"")</f>
        <v/>
      </c>
      <c r="H151" t="str">
        <f>IF(ISTEXT(A151),VLOOKUP($A151,'Price  List'!B:G,4,FALSE),"")</f>
        <v/>
      </c>
    </row>
    <row r="152" spans="2:8" ht="21.75" customHeight="1" x14ac:dyDescent="0.25">
      <c r="B152" s="82"/>
      <c r="C152" s="107" t="str">
        <f t="shared" si="2"/>
        <v/>
      </c>
      <c r="G152" t="str">
        <f>IF(ISTEXT(A152),VLOOKUP($A152,'Price  List'!B:G,3,FALSE),"")</f>
        <v/>
      </c>
      <c r="H152" t="str">
        <f>IF(ISTEXT(A152),VLOOKUP($A152,'Price  List'!B:G,4,FALSE),"")</f>
        <v/>
      </c>
    </row>
    <row r="153" spans="2:8" ht="21.75" customHeight="1" x14ac:dyDescent="0.25">
      <c r="B153" s="82"/>
      <c r="C153" s="107" t="str">
        <f t="shared" si="2"/>
        <v/>
      </c>
      <c r="G153" t="str">
        <f>IF(ISTEXT(A153),VLOOKUP($A153,'Price  List'!B:G,3,FALSE),"")</f>
        <v/>
      </c>
      <c r="H153" t="str">
        <f>IF(ISTEXT(A153),VLOOKUP($A153,'Price  List'!B:G,4,FALSE),"")</f>
        <v/>
      </c>
    </row>
    <row r="154" spans="2:8" ht="21.75" customHeight="1" x14ac:dyDescent="0.25">
      <c r="B154" s="82"/>
      <c r="C154" s="107" t="str">
        <f t="shared" si="2"/>
        <v/>
      </c>
      <c r="G154" t="str">
        <f>IF(ISTEXT(A154),VLOOKUP($A154,'Price  List'!B:G,3,FALSE),"")</f>
        <v/>
      </c>
      <c r="H154" t="str">
        <f>IF(ISTEXT(A154),VLOOKUP($A154,'Price  List'!B:G,4,FALSE),"")</f>
        <v/>
      </c>
    </row>
    <row r="155" spans="2:8" ht="21.75" customHeight="1" x14ac:dyDescent="0.25">
      <c r="B155" s="82"/>
      <c r="C155" s="107" t="str">
        <f t="shared" si="2"/>
        <v/>
      </c>
      <c r="G155" t="str">
        <f>IF(ISTEXT(A155),VLOOKUP($A155,'Price  List'!B:G,3,FALSE),"")</f>
        <v/>
      </c>
      <c r="H155" t="str">
        <f>IF(ISTEXT(A155),VLOOKUP($A155,'Price  List'!B:G,4,FALSE),"")</f>
        <v/>
      </c>
    </row>
    <row r="156" spans="2:8" ht="21.75" customHeight="1" x14ac:dyDescent="0.25">
      <c r="B156" s="82"/>
      <c r="C156" s="107" t="str">
        <f t="shared" si="2"/>
        <v/>
      </c>
      <c r="G156" t="str">
        <f>IF(ISTEXT(A156),VLOOKUP($A156,'Price  List'!B:G,3,FALSE),"")</f>
        <v/>
      </c>
      <c r="H156" t="str">
        <f>IF(ISTEXT(A156),VLOOKUP($A156,'Price  List'!B:G,4,FALSE),"")</f>
        <v/>
      </c>
    </row>
    <row r="157" spans="2:8" ht="21.75" customHeight="1" x14ac:dyDescent="0.25">
      <c r="B157" s="82"/>
      <c r="C157" s="107" t="str">
        <f t="shared" si="2"/>
        <v/>
      </c>
      <c r="G157" t="str">
        <f>IF(ISTEXT(A157),VLOOKUP($A157,'Price  List'!B:G,3,FALSE),"")</f>
        <v/>
      </c>
      <c r="H157" t="str">
        <f>IF(ISTEXT(A157),VLOOKUP($A157,'Price  List'!B:G,4,FALSE),"")</f>
        <v/>
      </c>
    </row>
    <row r="158" spans="2:8" ht="21.75" customHeight="1" x14ac:dyDescent="0.25">
      <c r="B158" s="82"/>
      <c r="C158" s="107" t="str">
        <f t="shared" si="2"/>
        <v/>
      </c>
      <c r="G158" t="str">
        <f>IF(ISTEXT(A158),VLOOKUP($A158,'Price  List'!B:G,3,FALSE),"")</f>
        <v/>
      </c>
      <c r="H158" t="str">
        <f>IF(ISTEXT(A158),VLOOKUP($A158,'Price  List'!B:G,4,FALSE),"")</f>
        <v/>
      </c>
    </row>
    <row r="159" spans="2:8" ht="21.75" customHeight="1" x14ac:dyDescent="0.25">
      <c r="B159" s="82"/>
      <c r="C159" s="107" t="str">
        <f t="shared" si="2"/>
        <v/>
      </c>
      <c r="G159" t="str">
        <f>IF(ISTEXT(A159),VLOOKUP($A159,'Price  List'!B:G,3,FALSE),"")</f>
        <v/>
      </c>
      <c r="H159" t="str">
        <f>IF(ISTEXT(A159),VLOOKUP($A159,'Price  List'!B:G,4,FALSE),"")</f>
        <v/>
      </c>
    </row>
    <row r="160" spans="2:8" ht="21.75" customHeight="1" x14ac:dyDescent="0.25">
      <c r="B160" s="82"/>
      <c r="C160" s="107" t="str">
        <f t="shared" si="2"/>
        <v/>
      </c>
      <c r="G160" t="str">
        <f>IF(ISTEXT(A160),VLOOKUP($A160,'Price  List'!B:G,3,FALSE),"")</f>
        <v/>
      </c>
      <c r="H160" t="str">
        <f>IF(ISTEXT(A160),VLOOKUP($A160,'Price  List'!B:G,4,FALSE),"")</f>
        <v/>
      </c>
    </row>
    <row r="161" spans="2:8" ht="21.75" customHeight="1" x14ac:dyDescent="0.25">
      <c r="B161" s="82"/>
      <c r="C161" s="107" t="str">
        <f t="shared" si="2"/>
        <v/>
      </c>
      <c r="G161" t="str">
        <f>IF(ISTEXT(A161),VLOOKUP($A161,'Price  List'!B:G,3,FALSE),"")</f>
        <v/>
      </c>
      <c r="H161" t="str">
        <f>IF(ISTEXT(A161),VLOOKUP($A161,'Price  List'!B:G,4,FALSE),"")</f>
        <v/>
      </c>
    </row>
    <row r="162" spans="2:8" ht="21.75" customHeight="1" x14ac:dyDescent="0.25">
      <c r="B162" s="82"/>
      <c r="C162" s="107" t="str">
        <f t="shared" si="2"/>
        <v/>
      </c>
      <c r="G162" t="str">
        <f>IF(ISTEXT(A162),VLOOKUP($A162,'Price  List'!B:G,3,FALSE),"")</f>
        <v/>
      </c>
      <c r="H162" t="str">
        <f>IF(ISTEXT(A162),VLOOKUP($A162,'Price  List'!B:G,4,FALSE),"")</f>
        <v/>
      </c>
    </row>
    <row r="163" spans="2:8" ht="21.75" customHeight="1" x14ac:dyDescent="0.25">
      <c r="B163" s="82"/>
      <c r="C163" s="107" t="str">
        <f t="shared" si="2"/>
        <v/>
      </c>
      <c r="G163" t="str">
        <f>IF(ISTEXT(A163),VLOOKUP($A163,'Price  List'!B:G,3,FALSE),"")</f>
        <v/>
      </c>
      <c r="H163" t="str">
        <f>IF(ISTEXT(A163),VLOOKUP($A163,'Price  List'!B:G,4,FALSE),"")</f>
        <v/>
      </c>
    </row>
    <row r="164" spans="2:8" ht="21.75" customHeight="1" x14ac:dyDescent="0.25">
      <c r="B164" s="82"/>
      <c r="C164" s="107" t="str">
        <f t="shared" si="2"/>
        <v/>
      </c>
      <c r="G164" t="str">
        <f>IF(ISTEXT(A164),VLOOKUP($A164,'Price  List'!B:G,3,FALSE),"")</f>
        <v/>
      </c>
      <c r="H164" t="str">
        <f>IF(ISTEXT(A164),VLOOKUP($A164,'Price  List'!B:G,4,FALSE),"")</f>
        <v/>
      </c>
    </row>
    <row r="165" spans="2:8" ht="21.75" customHeight="1" x14ac:dyDescent="0.25">
      <c r="B165" s="82"/>
      <c r="C165" s="107" t="str">
        <f t="shared" si="2"/>
        <v/>
      </c>
      <c r="G165" t="str">
        <f>IF(ISTEXT(A165),VLOOKUP($A165,'Price  List'!B:G,3,FALSE),"")</f>
        <v/>
      </c>
      <c r="H165" t="str">
        <f>IF(ISTEXT(A165),VLOOKUP($A165,'Price  List'!B:G,4,FALSE),"")</f>
        <v/>
      </c>
    </row>
    <row r="166" spans="2:8" ht="21.75" customHeight="1" x14ac:dyDescent="0.25">
      <c r="B166" s="82"/>
      <c r="C166" s="107" t="str">
        <f t="shared" si="2"/>
        <v/>
      </c>
      <c r="G166" t="str">
        <f>IF(ISTEXT(A166),VLOOKUP($A166,'Price  List'!B:G,3,FALSE),"")</f>
        <v/>
      </c>
      <c r="H166" t="str">
        <f>IF(ISTEXT(A166),VLOOKUP($A166,'Price  List'!B:G,4,FALSE),"")</f>
        <v/>
      </c>
    </row>
    <row r="167" spans="2:8" ht="21.75" customHeight="1" x14ac:dyDescent="0.25">
      <c r="B167" s="82"/>
      <c r="C167" s="107" t="str">
        <f t="shared" si="2"/>
        <v/>
      </c>
      <c r="G167" t="str">
        <f>IF(ISTEXT(A167),VLOOKUP($A167,'Price  List'!B:G,3,FALSE),"")</f>
        <v/>
      </c>
      <c r="H167" t="str">
        <f>IF(ISTEXT(A167),VLOOKUP($A167,'Price  List'!B:G,4,FALSE),"")</f>
        <v/>
      </c>
    </row>
    <row r="168" spans="2:8" ht="21.75" customHeight="1" x14ac:dyDescent="0.25">
      <c r="B168" s="82"/>
      <c r="C168" s="107" t="str">
        <f t="shared" si="2"/>
        <v/>
      </c>
      <c r="G168" t="str">
        <f>IF(ISTEXT(A168),VLOOKUP($A168,'Price  List'!B:G,3,FALSE),"")</f>
        <v/>
      </c>
      <c r="H168" t="str">
        <f>IF(ISTEXT(A168),VLOOKUP($A168,'Price  List'!B:G,4,FALSE),"")</f>
        <v/>
      </c>
    </row>
    <row r="169" spans="2:8" ht="21.75" customHeight="1" x14ac:dyDescent="0.25">
      <c r="B169" s="82"/>
      <c r="C169" s="107" t="str">
        <f t="shared" si="2"/>
        <v/>
      </c>
      <c r="G169" t="str">
        <f>IF(ISTEXT(A169),VLOOKUP($A169,'Price  List'!B:G,3,FALSE),"")</f>
        <v/>
      </c>
      <c r="H169" t="str">
        <f>IF(ISTEXT(A169),VLOOKUP($A169,'Price  List'!B:G,4,FALSE),"")</f>
        <v/>
      </c>
    </row>
    <row r="170" spans="2:8" ht="21.75" customHeight="1" x14ac:dyDescent="0.25">
      <c r="B170" s="82"/>
      <c r="C170" s="107" t="str">
        <f t="shared" si="2"/>
        <v/>
      </c>
      <c r="G170" t="str">
        <f>IF(ISTEXT(A170),VLOOKUP($A170,'Price  List'!B:G,3,FALSE),"")</f>
        <v/>
      </c>
      <c r="H170" t="str">
        <f>IF(ISTEXT(A170),VLOOKUP($A170,'Price  List'!B:G,4,FALSE),"")</f>
        <v/>
      </c>
    </row>
    <row r="171" spans="2:8" ht="21.75" customHeight="1" x14ac:dyDescent="0.25">
      <c r="B171" s="82"/>
      <c r="C171" s="107" t="str">
        <f t="shared" si="2"/>
        <v/>
      </c>
      <c r="G171" t="str">
        <f>IF(ISTEXT(A171),VLOOKUP($A171,'Price  List'!B:G,3,FALSE),"")</f>
        <v/>
      </c>
      <c r="H171" t="str">
        <f>IF(ISTEXT(A171),VLOOKUP($A171,'Price  List'!B:G,4,FALSE),"")</f>
        <v/>
      </c>
    </row>
    <row r="172" spans="2:8" ht="21.75" customHeight="1" x14ac:dyDescent="0.25">
      <c r="B172" s="82"/>
      <c r="C172" s="107" t="str">
        <f t="shared" si="2"/>
        <v/>
      </c>
      <c r="G172" t="str">
        <f>IF(ISTEXT(A172),VLOOKUP($A172,'Price  List'!B:G,3,FALSE),"")</f>
        <v/>
      </c>
      <c r="H172" t="str">
        <f>IF(ISTEXT(A172),VLOOKUP($A172,'Price  List'!B:G,4,FALSE),"")</f>
        <v/>
      </c>
    </row>
    <row r="173" spans="2:8" ht="21.75" customHeight="1" x14ac:dyDescent="0.25">
      <c r="B173" s="82"/>
      <c r="C173" s="107" t="str">
        <f t="shared" si="2"/>
        <v/>
      </c>
      <c r="G173" t="str">
        <f>IF(ISTEXT(A173),VLOOKUP($A173,'Price  List'!B:G,3,FALSE),"")</f>
        <v/>
      </c>
      <c r="H173" t="str">
        <f>IF(ISTEXT(A173),VLOOKUP($A173,'Price  List'!B:G,4,FALSE),"")</f>
        <v/>
      </c>
    </row>
    <row r="174" spans="2:8" ht="21.75" customHeight="1" x14ac:dyDescent="0.25">
      <c r="B174" s="82"/>
      <c r="C174" s="107" t="str">
        <f t="shared" si="2"/>
        <v/>
      </c>
      <c r="G174" t="str">
        <f>IF(ISTEXT(A174),VLOOKUP($A174,'Price  List'!B:G,3,FALSE),"")</f>
        <v/>
      </c>
      <c r="H174" t="str">
        <f>IF(ISTEXT(A174),VLOOKUP($A174,'Price  List'!B:G,4,FALSE),"")</f>
        <v/>
      </c>
    </row>
    <row r="175" spans="2:8" ht="21.75" customHeight="1" x14ac:dyDescent="0.25">
      <c r="B175" s="82"/>
      <c r="C175" s="107" t="str">
        <f t="shared" si="2"/>
        <v/>
      </c>
      <c r="G175" t="str">
        <f>IF(ISTEXT(A175),VLOOKUP($A175,'Price  List'!B:G,3,FALSE),"")</f>
        <v/>
      </c>
      <c r="H175" t="str">
        <f>IF(ISTEXT(A175),VLOOKUP($A175,'Price  List'!B:G,4,FALSE),"")</f>
        <v/>
      </c>
    </row>
    <row r="176" spans="2:8" ht="21.75" customHeight="1" x14ac:dyDescent="0.25">
      <c r="B176" s="82"/>
      <c r="C176" s="107" t="str">
        <f t="shared" si="2"/>
        <v/>
      </c>
      <c r="G176" t="str">
        <f>IF(ISTEXT(A176),VLOOKUP($A176,'Price  List'!B:G,3,FALSE),"")</f>
        <v/>
      </c>
      <c r="H176" t="str">
        <f>IF(ISTEXT(A176),VLOOKUP($A176,'Price  List'!B:G,4,FALSE),"")</f>
        <v/>
      </c>
    </row>
    <row r="177" spans="2:8" ht="21.75" customHeight="1" x14ac:dyDescent="0.25">
      <c r="B177" s="82"/>
      <c r="C177" s="107" t="str">
        <f t="shared" si="2"/>
        <v/>
      </c>
      <c r="G177" t="str">
        <f>IF(ISTEXT(A177),VLOOKUP($A177,'Price  List'!B:G,3,FALSE),"")</f>
        <v/>
      </c>
      <c r="H177" t="str">
        <f>IF(ISTEXT(A177),VLOOKUP($A177,'Price  List'!B:G,4,FALSE),"")</f>
        <v/>
      </c>
    </row>
    <row r="178" spans="2:8" ht="21.75" customHeight="1" x14ac:dyDescent="0.25">
      <c r="B178" s="82"/>
      <c r="C178" s="107" t="str">
        <f t="shared" si="2"/>
        <v/>
      </c>
      <c r="G178" t="str">
        <f>IF(ISTEXT(A178),VLOOKUP($A178,'Price  List'!B:G,3,FALSE),"")</f>
        <v/>
      </c>
      <c r="H178" t="str">
        <f>IF(ISTEXT(A178),VLOOKUP($A178,'Price  List'!B:G,4,FALSE),"")</f>
        <v/>
      </c>
    </row>
    <row r="179" spans="2:8" ht="21.75" customHeight="1" x14ac:dyDescent="0.25">
      <c r="B179" s="82"/>
      <c r="C179" s="107" t="str">
        <f t="shared" si="2"/>
        <v/>
      </c>
      <c r="G179" t="str">
        <f>IF(ISTEXT(A179),VLOOKUP($A179,'Price  List'!B:G,3,FALSE),"")</f>
        <v/>
      </c>
      <c r="H179" t="str">
        <f>IF(ISTEXT(A179),VLOOKUP($A179,'Price  List'!B:G,4,FALSE),"")</f>
        <v/>
      </c>
    </row>
    <row r="180" spans="2:8" ht="21.75" customHeight="1" x14ac:dyDescent="0.25">
      <c r="B180" s="82"/>
      <c r="C180" s="107" t="str">
        <f t="shared" si="2"/>
        <v/>
      </c>
      <c r="G180" t="str">
        <f>IF(ISTEXT(A180),VLOOKUP($A180,'Price  List'!B:G,3,FALSE),"")</f>
        <v/>
      </c>
      <c r="H180" t="str">
        <f>IF(ISTEXT(A180),VLOOKUP($A180,'Price  List'!B:G,4,FALSE),"")</f>
        <v/>
      </c>
    </row>
    <row r="181" spans="2:8" ht="21.75" customHeight="1" x14ac:dyDescent="0.25">
      <c r="B181" s="82"/>
      <c r="C181" s="107" t="str">
        <f t="shared" si="2"/>
        <v/>
      </c>
      <c r="G181" t="str">
        <f>IF(ISTEXT(A181),VLOOKUP($A181,'Price  List'!B:G,3,FALSE),"")</f>
        <v/>
      </c>
      <c r="H181" t="str">
        <f>IF(ISTEXT(A181),VLOOKUP($A181,'Price  List'!B:G,4,FALSE),"")</f>
        <v/>
      </c>
    </row>
    <row r="182" spans="2:8" ht="21.75" customHeight="1" x14ac:dyDescent="0.25">
      <c r="B182" s="82"/>
      <c r="C182" s="107" t="str">
        <f t="shared" si="2"/>
        <v/>
      </c>
      <c r="G182" t="str">
        <f>IF(ISTEXT(A182),VLOOKUP($A182,'Price  List'!B:G,3,FALSE),"")</f>
        <v/>
      </c>
      <c r="H182" t="str">
        <f>IF(ISTEXT(A182),VLOOKUP($A182,'Price  List'!B:G,4,FALSE),"")</f>
        <v/>
      </c>
    </row>
    <row r="183" spans="2:8" ht="21.75" customHeight="1" x14ac:dyDescent="0.25">
      <c r="B183" s="82"/>
      <c r="C183" s="107" t="str">
        <f t="shared" si="2"/>
        <v/>
      </c>
      <c r="G183" t="str">
        <f>IF(ISTEXT(A183),VLOOKUP($A183,'Price  List'!B:G,3,FALSE),"")</f>
        <v/>
      </c>
      <c r="H183" t="str">
        <f>IF(ISTEXT(A183),VLOOKUP($A183,'Price  List'!B:G,4,FALSE),"")</f>
        <v/>
      </c>
    </row>
    <row r="184" spans="2:8" ht="21.75" customHeight="1" x14ac:dyDescent="0.25">
      <c r="B184" s="82"/>
      <c r="C184" s="107" t="str">
        <f t="shared" si="2"/>
        <v/>
      </c>
      <c r="G184" t="str">
        <f>IF(ISTEXT(A184),VLOOKUP($A184,'Price  List'!B:G,3,FALSE),"")</f>
        <v/>
      </c>
      <c r="H184" t="str">
        <f>IF(ISTEXT(A184),VLOOKUP($A184,'Price  List'!B:G,4,FALSE),"")</f>
        <v/>
      </c>
    </row>
    <row r="185" spans="2:8" ht="21.75" customHeight="1" x14ac:dyDescent="0.25">
      <c r="B185" s="82"/>
      <c r="C185" s="107" t="str">
        <f t="shared" si="2"/>
        <v/>
      </c>
      <c r="G185" t="str">
        <f>IF(ISTEXT(A185),VLOOKUP($A185,'Price  List'!B:G,3,FALSE),"")</f>
        <v/>
      </c>
      <c r="H185" t="str">
        <f>IF(ISTEXT(A185),VLOOKUP($A185,'Price  List'!B:G,4,FALSE),"")</f>
        <v/>
      </c>
    </row>
    <row r="186" spans="2:8" ht="21.75" customHeight="1" x14ac:dyDescent="0.25">
      <c r="B186" s="82"/>
      <c r="C186" s="107" t="str">
        <f t="shared" si="2"/>
        <v/>
      </c>
      <c r="G186" t="str">
        <f>IF(ISTEXT(A186),VLOOKUP($A186,'Price  List'!B:G,3,FALSE),"")</f>
        <v/>
      </c>
      <c r="H186" t="str">
        <f>IF(ISTEXT(A186),VLOOKUP($A186,'Price  List'!B:G,4,FALSE),"")</f>
        <v/>
      </c>
    </row>
    <row r="187" spans="2:8" ht="21.75" customHeight="1" x14ac:dyDescent="0.25">
      <c r="B187" s="82"/>
      <c r="C187" s="107" t="str">
        <f t="shared" si="2"/>
        <v/>
      </c>
      <c r="G187" t="str">
        <f>IF(ISTEXT(A187),VLOOKUP($A187,'Price  List'!B:G,3,FALSE),"")</f>
        <v/>
      </c>
      <c r="H187" t="str">
        <f>IF(ISTEXT(A187),VLOOKUP($A187,'Price  List'!B:G,4,FALSE),"")</f>
        <v/>
      </c>
    </row>
    <row r="188" spans="2:8" ht="21.75" customHeight="1" x14ac:dyDescent="0.25">
      <c r="B188" s="82"/>
      <c r="C188" s="107" t="str">
        <f t="shared" si="2"/>
        <v/>
      </c>
      <c r="G188" t="str">
        <f>IF(ISTEXT(A188),VLOOKUP($A188,'Price  List'!B:G,3,FALSE),"")</f>
        <v/>
      </c>
      <c r="H188" t="str">
        <f>IF(ISTEXT(A188),VLOOKUP($A188,'Price  List'!B:G,4,FALSE),"")</f>
        <v/>
      </c>
    </row>
    <row r="189" spans="2:8" ht="21.75" customHeight="1" x14ac:dyDescent="0.25">
      <c r="B189" s="82"/>
      <c r="C189" s="107" t="str">
        <f t="shared" si="2"/>
        <v/>
      </c>
      <c r="G189" t="str">
        <f>IF(ISTEXT(A189),VLOOKUP($A189,'Price  List'!B:G,3,FALSE),"")</f>
        <v/>
      </c>
      <c r="H189" t="str">
        <f>IF(ISTEXT(A189),VLOOKUP($A189,'Price  List'!B:G,4,FALSE),"")</f>
        <v/>
      </c>
    </row>
    <row r="190" spans="2:8" ht="21.75" customHeight="1" x14ac:dyDescent="0.25">
      <c r="B190" s="82"/>
      <c r="C190" s="107" t="str">
        <f t="shared" si="2"/>
        <v/>
      </c>
      <c r="G190" t="str">
        <f>IF(ISTEXT(A190),VLOOKUP($A190,'Price  List'!B:G,3,FALSE),"")</f>
        <v/>
      </c>
      <c r="H190" t="str">
        <f>IF(ISTEXT(A190),VLOOKUP($A190,'Price  List'!B:G,4,FALSE),"")</f>
        <v/>
      </c>
    </row>
    <row r="191" spans="2:8" ht="21.75" customHeight="1" x14ac:dyDescent="0.25">
      <c r="B191" s="82"/>
      <c r="C191" s="107" t="str">
        <f t="shared" si="2"/>
        <v/>
      </c>
      <c r="G191" t="str">
        <f>IF(ISTEXT(A191),VLOOKUP($A191,'Price  List'!B:G,3,FALSE),"")</f>
        <v/>
      </c>
      <c r="H191" t="str">
        <f>IF(ISTEXT(A191),VLOOKUP($A191,'Price  List'!B:G,4,FALSE),"")</f>
        <v/>
      </c>
    </row>
    <row r="192" spans="2:8" ht="21.75" customHeight="1" x14ac:dyDescent="0.25">
      <c r="B192" s="82"/>
      <c r="C192" s="107" t="str">
        <f t="shared" si="2"/>
        <v/>
      </c>
      <c r="G192" t="str">
        <f>IF(ISTEXT(A192),VLOOKUP($A192,'Price  List'!B:G,3,FALSE),"")</f>
        <v/>
      </c>
      <c r="H192" t="str">
        <f>IF(ISTEXT(A192),VLOOKUP($A192,'Price  List'!B:G,4,FALSE),"")</f>
        <v/>
      </c>
    </row>
    <row r="193" spans="2:8" ht="21.75" customHeight="1" x14ac:dyDescent="0.25">
      <c r="B193" s="82"/>
      <c r="C193" s="107" t="str">
        <f t="shared" si="2"/>
        <v/>
      </c>
      <c r="G193" t="str">
        <f>IF(ISTEXT(A193),VLOOKUP($A193,'Price  List'!B:G,3,FALSE),"")</f>
        <v/>
      </c>
      <c r="H193" t="str">
        <f>IF(ISTEXT(A193),VLOOKUP($A193,'Price  List'!B:G,4,FALSE),"")</f>
        <v/>
      </c>
    </row>
    <row r="194" spans="2:8" ht="21.75" customHeight="1" x14ac:dyDescent="0.25">
      <c r="B194" s="82"/>
      <c r="C194" s="107" t="str">
        <f t="shared" si="2"/>
        <v/>
      </c>
      <c r="G194" t="str">
        <f>IF(ISTEXT(A194),VLOOKUP($A194,'Price  List'!B:G,3,FALSE),"")</f>
        <v/>
      </c>
      <c r="H194" t="str">
        <f>IF(ISTEXT(A194),VLOOKUP($A194,'Price  List'!B:G,4,FALSE),"")</f>
        <v/>
      </c>
    </row>
    <row r="195" spans="2:8" ht="21.75" customHeight="1" x14ac:dyDescent="0.25">
      <c r="B195" s="82"/>
      <c r="C195" s="107" t="str">
        <f t="shared" si="2"/>
        <v/>
      </c>
      <c r="G195" t="str">
        <f>IF(ISTEXT(A195),VLOOKUP($A195,'Price  List'!B:G,3,FALSE),"")</f>
        <v/>
      </c>
      <c r="H195" t="str">
        <f>IF(ISTEXT(A195),VLOOKUP($A195,'Price  List'!B:G,4,FALSE),"")</f>
        <v/>
      </c>
    </row>
    <row r="196" spans="2:8" ht="21.75" customHeight="1" x14ac:dyDescent="0.25">
      <c r="B196" s="82"/>
      <c r="C196" s="107" t="str">
        <f t="shared" ref="C196:C259" si="3">IF(ISTEXT(A196),"stock","")</f>
        <v/>
      </c>
      <c r="G196" t="str">
        <f>IF(ISTEXT(A196),VLOOKUP($A196,'Price  List'!B:G,3,FALSE),"")</f>
        <v/>
      </c>
      <c r="H196" t="str">
        <f>IF(ISTEXT(A196),VLOOKUP($A196,'Price  List'!B:G,4,FALSE),"")</f>
        <v/>
      </c>
    </row>
    <row r="197" spans="2:8" ht="21.75" customHeight="1" x14ac:dyDescent="0.25">
      <c r="B197" s="82"/>
      <c r="C197" s="107" t="str">
        <f t="shared" si="3"/>
        <v/>
      </c>
      <c r="G197" t="str">
        <f>IF(ISTEXT(A197),VLOOKUP($A197,'Price  List'!B:G,3,FALSE),"")</f>
        <v/>
      </c>
      <c r="H197" t="str">
        <f>IF(ISTEXT(A197),VLOOKUP($A197,'Price  List'!B:G,4,FALSE),"")</f>
        <v/>
      </c>
    </row>
    <row r="198" spans="2:8" ht="21.75" customHeight="1" x14ac:dyDescent="0.25">
      <c r="B198" s="82"/>
      <c r="C198" s="107" t="str">
        <f t="shared" si="3"/>
        <v/>
      </c>
      <c r="G198" t="str">
        <f>IF(ISTEXT(A198),VLOOKUP($A198,'Price  List'!B:G,3,FALSE),"")</f>
        <v/>
      </c>
      <c r="H198" t="str">
        <f>IF(ISTEXT(A198),VLOOKUP($A198,'Price  List'!B:G,4,FALSE),"")</f>
        <v/>
      </c>
    </row>
    <row r="199" spans="2:8" ht="21.75" customHeight="1" x14ac:dyDescent="0.25">
      <c r="B199" s="82"/>
      <c r="C199" s="107" t="str">
        <f t="shared" si="3"/>
        <v/>
      </c>
      <c r="G199" t="str">
        <f>IF(ISTEXT(A199),VLOOKUP($A199,'Price  List'!B:G,3,FALSE),"")</f>
        <v/>
      </c>
      <c r="H199" t="str">
        <f>IF(ISTEXT(A199),VLOOKUP($A199,'Price  List'!B:G,4,FALSE),"")</f>
        <v/>
      </c>
    </row>
    <row r="200" spans="2:8" x14ac:dyDescent="0.25">
      <c r="B200" s="82"/>
      <c r="C200" s="107" t="str">
        <f t="shared" si="3"/>
        <v/>
      </c>
      <c r="G200" t="str">
        <f>IF(ISTEXT(A200),VLOOKUP($A200,'Price  List'!B:G,3,FALSE),"")</f>
        <v/>
      </c>
      <c r="H200" t="str">
        <f>IF(ISTEXT(A200),VLOOKUP($A200,'Price  List'!B:G,4,FALSE),"")</f>
        <v/>
      </c>
    </row>
    <row r="201" spans="2:8" x14ac:dyDescent="0.25">
      <c r="B201" s="82"/>
      <c r="C201" s="107" t="str">
        <f t="shared" si="3"/>
        <v/>
      </c>
      <c r="G201" t="str">
        <f>IF(ISTEXT(A201),VLOOKUP($A201,'Price  List'!B:G,3,FALSE),"")</f>
        <v/>
      </c>
      <c r="H201" t="str">
        <f>IF(ISTEXT(A201),VLOOKUP($A201,'Price  List'!B:G,4,FALSE),"")</f>
        <v/>
      </c>
    </row>
    <row r="202" spans="2:8" x14ac:dyDescent="0.25">
      <c r="B202" s="82"/>
      <c r="C202" s="107" t="str">
        <f t="shared" si="3"/>
        <v/>
      </c>
      <c r="G202" t="str">
        <f>IF(ISTEXT(A202),VLOOKUP($A202,'Price  List'!B:G,3,FALSE),"")</f>
        <v/>
      </c>
      <c r="H202" t="str">
        <f>IF(ISTEXT(A202),VLOOKUP($A202,'Price  List'!B:G,4,FALSE),"")</f>
        <v/>
      </c>
    </row>
    <row r="203" spans="2:8" x14ac:dyDescent="0.25">
      <c r="B203" s="82"/>
      <c r="C203" s="107" t="str">
        <f t="shared" si="3"/>
        <v/>
      </c>
      <c r="G203" t="str">
        <f>IF(ISTEXT(A203),VLOOKUP($A203,'Price  List'!B:G,3,FALSE),"")</f>
        <v/>
      </c>
      <c r="H203" t="str">
        <f>IF(ISTEXT(A203),VLOOKUP($A203,'Price  List'!B:G,4,FALSE),"")</f>
        <v/>
      </c>
    </row>
    <row r="204" spans="2:8" x14ac:dyDescent="0.25">
      <c r="B204" s="82"/>
      <c r="C204" s="107" t="str">
        <f t="shared" si="3"/>
        <v/>
      </c>
      <c r="G204" t="str">
        <f>IF(ISTEXT(A204),VLOOKUP($A204,'Price  List'!B:G,3,FALSE),"")</f>
        <v/>
      </c>
      <c r="H204" t="str">
        <f>IF(ISTEXT(A204),VLOOKUP($A204,'Price  List'!B:G,4,FALSE),"")</f>
        <v/>
      </c>
    </row>
    <row r="205" spans="2:8" x14ac:dyDescent="0.25">
      <c r="B205" s="82"/>
      <c r="C205" s="107" t="str">
        <f t="shared" si="3"/>
        <v/>
      </c>
      <c r="G205" t="str">
        <f>IF(ISTEXT(A205),VLOOKUP($A205,'Price  List'!B:G,3,FALSE),"")</f>
        <v/>
      </c>
      <c r="H205" t="str">
        <f>IF(ISTEXT(A205),VLOOKUP($A205,'Price  List'!B:G,4,FALSE),"")</f>
        <v/>
      </c>
    </row>
    <row r="206" spans="2:8" x14ac:dyDescent="0.25">
      <c r="B206" s="82"/>
      <c r="C206" s="107" t="str">
        <f t="shared" si="3"/>
        <v/>
      </c>
      <c r="G206" t="str">
        <f>IF(ISTEXT(A206),VLOOKUP($A206,'Price  List'!B:G,3,FALSE),"")</f>
        <v/>
      </c>
      <c r="H206" t="str">
        <f>IF(ISTEXT(A206),VLOOKUP($A206,'Price  List'!B:G,4,FALSE),"")</f>
        <v/>
      </c>
    </row>
    <row r="207" spans="2:8" x14ac:dyDescent="0.25">
      <c r="B207" s="82"/>
      <c r="C207" s="107" t="str">
        <f t="shared" si="3"/>
        <v/>
      </c>
      <c r="G207" t="str">
        <f>IF(ISTEXT(A207),VLOOKUP($A207,'Price  List'!B:G,3,FALSE),"")</f>
        <v/>
      </c>
      <c r="H207" t="str">
        <f>IF(ISTEXT(A207),VLOOKUP($A207,'Price  List'!B:G,4,FALSE),"")</f>
        <v/>
      </c>
    </row>
    <row r="208" spans="2:8" x14ac:dyDescent="0.25">
      <c r="B208" s="82"/>
      <c r="C208" s="107" t="str">
        <f t="shared" si="3"/>
        <v/>
      </c>
      <c r="G208" t="str">
        <f>IF(ISTEXT(A208),VLOOKUP($A208,'Price  List'!B:G,3,FALSE),"")</f>
        <v/>
      </c>
      <c r="H208" t="str">
        <f>IF(ISTEXT(A208),VLOOKUP($A208,'Price  List'!B:G,4,FALSE),"")</f>
        <v/>
      </c>
    </row>
    <row r="209" spans="2:8" x14ac:dyDescent="0.25">
      <c r="B209" s="82"/>
      <c r="C209" s="107" t="str">
        <f t="shared" si="3"/>
        <v/>
      </c>
      <c r="G209" t="str">
        <f>IF(ISTEXT(A209),VLOOKUP($A209,'Price  List'!B:G,3,FALSE),"")</f>
        <v/>
      </c>
      <c r="H209" t="str">
        <f>IF(ISTEXT(A209),VLOOKUP($A209,'Price  List'!B:G,4,FALSE),"")</f>
        <v/>
      </c>
    </row>
    <row r="210" spans="2:8" x14ac:dyDescent="0.25">
      <c r="B210" s="82"/>
      <c r="C210" s="107" t="str">
        <f t="shared" si="3"/>
        <v/>
      </c>
      <c r="G210" t="str">
        <f>IF(ISTEXT(A210),VLOOKUP($A210,'Price  List'!B:G,3,FALSE),"")</f>
        <v/>
      </c>
      <c r="H210" t="str">
        <f>IF(ISTEXT(A210),VLOOKUP($A210,'Price  List'!B:G,4,FALSE),"")</f>
        <v/>
      </c>
    </row>
    <row r="211" spans="2:8" x14ac:dyDescent="0.25">
      <c r="B211" s="82"/>
      <c r="C211" s="107" t="str">
        <f t="shared" si="3"/>
        <v/>
      </c>
      <c r="G211" t="str">
        <f>IF(ISTEXT(A211),VLOOKUP($A211,'Price  List'!B:G,3,FALSE),"")</f>
        <v/>
      </c>
      <c r="H211" t="str">
        <f>IF(ISTEXT(A211),VLOOKUP($A211,'Price  List'!B:G,4,FALSE),"")</f>
        <v/>
      </c>
    </row>
    <row r="212" spans="2:8" x14ac:dyDescent="0.25">
      <c r="B212" s="82"/>
      <c r="C212" s="107" t="str">
        <f t="shared" si="3"/>
        <v/>
      </c>
      <c r="G212" t="str">
        <f>IF(ISTEXT(A212),VLOOKUP($A212,'Price  List'!B:G,3,FALSE),"")</f>
        <v/>
      </c>
      <c r="H212" t="str">
        <f>IF(ISTEXT(A212),VLOOKUP($A212,'Price  List'!B:G,4,FALSE),"")</f>
        <v/>
      </c>
    </row>
    <row r="213" spans="2:8" x14ac:dyDescent="0.25">
      <c r="B213" s="82"/>
      <c r="C213" s="107" t="str">
        <f t="shared" si="3"/>
        <v/>
      </c>
      <c r="G213" t="str">
        <f>IF(ISTEXT(A213),VLOOKUP($A213,'Price  List'!B:G,3,FALSE),"")</f>
        <v/>
      </c>
      <c r="H213" t="str">
        <f>IF(ISTEXT(A213),VLOOKUP($A213,'Price  List'!B:G,4,FALSE),"")</f>
        <v/>
      </c>
    </row>
    <row r="214" spans="2:8" x14ac:dyDescent="0.25">
      <c r="B214" s="82"/>
      <c r="C214" s="107" t="str">
        <f t="shared" si="3"/>
        <v/>
      </c>
      <c r="G214" t="str">
        <f>IF(ISTEXT(A214),VLOOKUP($A214,'Price  List'!B:G,3,FALSE),"")</f>
        <v/>
      </c>
      <c r="H214" t="str">
        <f>IF(ISTEXT(A214),VLOOKUP($A214,'Price  List'!B:G,4,FALSE),"")</f>
        <v/>
      </c>
    </row>
    <row r="215" spans="2:8" x14ac:dyDescent="0.25">
      <c r="B215" s="82"/>
      <c r="C215" s="107" t="str">
        <f t="shared" si="3"/>
        <v/>
      </c>
      <c r="G215" t="str">
        <f>IF(ISTEXT(A215),VLOOKUP($A215,'Price  List'!B:G,3,FALSE),"")</f>
        <v/>
      </c>
      <c r="H215" t="str">
        <f>IF(ISTEXT(A215),VLOOKUP($A215,'Price  List'!B:G,4,FALSE),"")</f>
        <v/>
      </c>
    </row>
    <row r="216" spans="2:8" x14ac:dyDescent="0.25">
      <c r="B216" s="82"/>
      <c r="C216" s="107" t="str">
        <f t="shared" si="3"/>
        <v/>
      </c>
      <c r="G216" t="str">
        <f>IF(ISTEXT(A216),VLOOKUP($A216,'Price  List'!B:G,3,FALSE),"")</f>
        <v/>
      </c>
      <c r="H216" t="str">
        <f>IF(ISTEXT(A216),VLOOKUP($A216,'Price  List'!B:G,4,FALSE),"")</f>
        <v/>
      </c>
    </row>
    <row r="217" spans="2:8" x14ac:dyDescent="0.25">
      <c r="B217" s="82"/>
      <c r="C217" s="107" t="str">
        <f t="shared" si="3"/>
        <v/>
      </c>
      <c r="G217" t="str">
        <f>IF(ISTEXT(A217),VLOOKUP($A217,'Price  List'!B:G,3,FALSE),"")</f>
        <v/>
      </c>
      <c r="H217" t="str">
        <f>IF(ISTEXT(A217),VLOOKUP($A217,'Price  List'!B:G,4,FALSE),"")</f>
        <v/>
      </c>
    </row>
    <row r="218" spans="2:8" x14ac:dyDescent="0.25">
      <c r="B218" s="82"/>
      <c r="C218" s="107" t="str">
        <f t="shared" si="3"/>
        <v/>
      </c>
      <c r="G218" t="str">
        <f>IF(ISTEXT(A218),VLOOKUP($A218,'Price  List'!B:G,3,FALSE),"")</f>
        <v/>
      </c>
      <c r="H218" t="str">
        <f>IF(ISTEXT(A218),VLOOKUP($A218,'Price  List'!B:G,4,FALSE),"")</f>
        <v/>
      </c>
    </row>
    <row r="219" spans="2:8" x14ac:dyDescent="0.25">
      <c r="B219" s="82"/>
      <c r="C219" s="107" t="str">
        <f t="shared" si="3"/>
        <v/>
      </c>
      <c r="G219" t="str">
        <f>IF(ISTEXT(A219),VLOOKUP($A219,'Price  List'!B:G,3,FALSE),"")</f>
        <v/>
      </c>
      <c r="H219" t="str">
        <f>IF(ISTEXT(A219),VLOOKUP($A219,'Price  List'!B:G,4,FALSE),"")</f>
        <v/>
      </c>
    </row>
    <row r="220" spans="2:8" x14ac:dyDescent="0.25">
      <c r="B220" s="82"/>
      <c r="C220" s="107" t="str">
        <f t="shared" si="3"/>
        <v/>
      </c>
      <c r="G220" t="str">
        <f>IF(ISTEXT(A220),VLOOKUP($A220,'Price  List'!B:G,3,FALSE),"")</f>
        <v/>
      </c>
      <c r="H220" t="str">
        <f>IF(ISTEXT(A220),VLOOKUP($A220,'Price  List'!B:G,4,FALSE),"")</f>
        <v/>
      </c>
    </row>
    <row r="221" spans="2:8" x14ac:dyDescent="0.25">
      <c r="B221" s="82"/>
      <c r="C221" s="107" t="str">
        <f t="shared" si="3"/>
        <v/>
      </c>
      <c r="G221" t="str">
        <f>IF(ISTEXT(A221),VLOOKUP($A221,'Price  List'!B:G,3,FALSE),"")</f>
        <v/>
      </c>
      <c r="H221" t="str">
        <f>IF(ISTEXT(A221),VLOOKUP($A221,'Price  List'!B:G,4,FALSE),"")</f>
        <v/>
      </c>
    </row>
    <row r="222" spans="2:8" x14ac:dyDescent="0.25">
      <c r="B222" s="82"/>
      <c r="C222" s="107" t="str">
        <f t="shared" si="3"/>
        <v/>
      </c>
      <c r="G222" t="str">
        <f>IF(ISTEXT(A222),VLOOKUP($A222,'Price  List'!B:G,3,FALSE),"")</f>
        <v/>
      </c>
      <c r="H222" t="str">
        <f>IF(ISTEXT(A222),VLOOKUP($A222,'Price  List'!B:G,4,FALSE),"")</f>
        <v/>
      </c>
    </row>
    <row r="223" spans="2:8" x14ac:dyDescent="0.25">
      <c r="B223" s="82"/>
      <c r="C223" s="107" t="str">
        <f t="shared" si="3"/>
        <v/>
      </c>
      <c r="G223" t="str">
        <f>IF(ISTEXT(A223),VLOOKUP($A223,'Price  List'!B:G,3,FALSE),"")</f>
        <v/>
      </c>
      <c r="H223" t="str">
        <f>IF(ISTEXT(A223),VLOOKUP($A223,'Price  List'!B:G,4,FALSE),"")</f>
        <v/>
      </c>
    </row>
    <row r="224" spans="2:8" x14ac:dyDescent="0.25">
      <c r="B224" s="82"/>
      <c r="C224" s="107" t="str">
        <f t="shared" si="3"/>
        <v/>
      </c>
      <c r="G224" t="str">
        <f>IF(ISTEXT(A224),VLOOKUP($A224,'Price  List'!B:G,3,FALSE),"")</f>
        <v/>
      </c>
      <c r="H224" t="str">
        <f>IF(ISTEXT(A224),VLOOKUP($A224,'Price  List'!B:G,4,FALSE),"")</f>
        <v/>
      </c>
    </row>
    <row r="225" spans="2:8" x14ac:dyDescent="0.25">
      <c r="B225" s="82"/>
      <c r="C225" s="107" t="str">
        <f t="shared" si="3"/>
        <v/>
      </c>
      <c r="G225" t="str">
        <f>IF(ISTEXT(A225),VLOOKUP($A225,'Price  List'!B:G,3,FALSE),"")</f>
        <v/>
      </c>
      <c r="H225" t="str">
        <f>IF(ISTEXT(A225),VLOOKUP($A225,'Price  List'!B:G,4,FALSE),"")</f>
        <v/>
      </c>
    </row>
    <row r="226" spans="2:8" x14ac:dyDescent="0.25">
      <c r="B226" s="82"/>
      <c r="C226" s="107" t="str">
        <f t="shared" si="3"/>
        <v/>
      </c>
      <c r="G226" t="str">
        <f>IF(ISTEXT(A226),VLOOKUP($A226,'Price  List'!B:G,3,FALSE),"")</f>
        <v/>
      </c>
      <c r="H226" t="str">
        <f>IF(ISTEXT(A226),VLOOKUP($A226,'Price  List'!B:G,4,FALSE),"")</f>
        <v/>
      </c>
    </row>
    <row r="227" spans="2:8" x14ac:dyDescent="0.25">
      <c r="B227" s="82"/>
      <c r="C227" s="107" t="str">
        <f t="shared" si="3"/>
        <v/>
      </c>
      <c r="G227" t="str">
        <f>IF(ISTEXT(A227),VLOOKUP($A227,'Price  List'!B:G,3,FALSE),"")</f>
        <v/>
      </c>
      <c r="H227" t="str">
        <f>IF(ISTEXT(A227),VLOOKUP($A227,'Price  List'!B:G,4,FALSE),"")</f>
        <v/>
      </c>
    </row>
    <row r="228" spans="2:8" x14ac:dyDescent="0.25">
      <c r="B228" s="82"/>
      <c r="C228" s="107" t="str">
        <f t="shared" si="3"/>
        <v/>
      </c>
      <c r="G228" t="str">
        <f>IF(ISTEXT(A228),VLOOKUP($A228,'Price  List'!B:G,3,FALSE),"")</f>
        <v/>
      </c>
      <c r="H228" t="str">
        <f>IF(ISTEXT(A228),VLOOKUP($A228,'Price  List'!B:G,4,FALSE),"")</f>
        <v/>
      </c>
    </row>
    <row r="229" spans="2:8" x14ac:dyDescent="0.25">
      <c r="B229" s="82"/>
      <c r="C229" s="107" t="str">
        <f t="shared" si="3"/>
        <v/>
      </c>
      <c r="G229" t="str">
        <f>IF(ISTEXT(A229),VLOOKUP($A229,'Price  List'!B:G,3,FALSE),"")</f>
        <v/>
      </c>
      <c r="H229" t="str">
        <f>IF(ISTEXT(A229),VLOOKUP($A229,'Price  List'!B:G,4,FALSE),"")</f>
        <v/>
      </c>
    </row>
    <row r="230" spans="2:8" x14ac:dyDescent="0.25">
      <c r="B230" s="82"/>
      <c r="C230" s="107" t="str">
        <f t="shared" si="3"/>
        <v/>
      </c>
      <c r="G230" t="str">
        <f>IF(ISTEXT(A230),VLOOKUP($A230,'Price  List'!B:G,3,FALSE),"")</f>
        <v/>
      </c>
      <c r="H230" t="str">
        <f>IF(ISTEXT(A230),VLOOKUP($A230,'Price  List'!B:G,4,FALSE),"")</f>
        <v/>
      </c>
    </row>
    <row r="231" spans="2:8" x14ac:dyDescent="0.25">
      <c r="B231" s="82"/>
      <c r="C231" s="107" t="str">
        <f t="shared" si="3"/>
        <v/>
      </c>
      <c r="G231" t="str">
        <f>IF(ISTEXT(A231),VLOOKUP($A231,'Price  List'!B:G,3,FALSE),"")</f>
        <v/>
      </c>
      <c r="H231" t="str">
        <f>IF(ISTEXT(A231),VLOOKUP($A231,'Price  List'!B:G,4,FALSE),"")</f>
        <v/>
      </c>
    </row>
    <row r="232" spans="2:8" x14ac:dyDescent="0.25">
      <c r="B232" s="82"/>
      <c r="C232" s="107" t="str">
        <f t="shared" si="3"/>
        <v/>
      </c>
      <c r="G232" t="str">
        <f>IF(ISTEXT(A232),VLOOKUP($A232,'Price  List'!B:G,3,FALSE),"")</f>
        <v/>
      </c>
      <c r="H232" t="str">
        <f>IF(ISTEXT(A232),VLOOKUP($A232,'Price  List'!B:G,4,FALSE),"")</f>
        <v/>
      </c>
    </row>
    <row r="233" spans="2:8" x14ac:dyDescent="0.25">
      <c r="B233" s="82"/>
      <c r="C233" s="107" t="str">
        <f t="shared" si="3"/>
        <v/>
      </c>
      <c r="G233" t="str">
        <f>IF(ISTEXT(A233),VLOOKUP($A233,'Price  List'!B:G,3,FALSE),"")</f>
        <v/>
      </c>
      <c r="H233" t="str">
        <f>IF(ISTEXT(A233),VLOOKUP($A233,'Price  List'!B:G,4,FALSE),"")</f>
        <v/>
      </c>
    </row>
    <row r="234" spans="2:8" x14ac:dyDescent="0.25">
      <c r="B234" s="82"/>
      <c r="C234" s="107" t="str">
        <f t="shared" si="3"/>
        <v/>
      </c>
      <c r="G234" t="str">
        <f>IF(ISTEXT(A234),VLOOKUP($A234,'Price  List'!B:G,3,FALSE),"")</f>
        <v/>
      </c>
      <c r="H234" t="str">
        <f>IF(ISTEXT(A234),VLOOKUP($A234,'Price  List'!B:G,4,FALSE),"")</f>
        <v/>
      </c>
    </row>
    <row r="235" spans="2:8" x14ac:dyDescent="0.25">
      <c r="B235" s="82"/>
      <c r="C235" s="107" t="str">
        <f t="shared" si="3"/>
        <v/>
      </c>
      <c r="G235" t="str">
        <f>IF(ISTEXT(A235),VLOOKUP($A235,'Price  List'!B:G,3,FALSE),"")</f>
        <v/>
      </c>
      <c r="H235" t="str">
        <f>IF(ISTEXT(A235),VLOOKUP($A235,'Price  List'!B:G,4,FALSE),"")</f>
        <v/>
      </c>
    </row>
    <row r="236" spans="2:8" x14ac:dyDescent="0.25">
      <c r="B236" s="82"/>
      <c r="C236" s="107" t="str">
        <f t="shared" si="3"/>
        <v/>
      </c>
      <c r="G236" t="str">
        <f>IF(ISTEXT(A236),VLOOKUP($A236,'Price  List'!B:G,3,FALSE),"")</f>
        <v/>
      </c>
      <c r="H236" t="str">
        <f>IF(ISTEXT(A236),VLOOKUP($A236,'Price  List'!B:G,4,FALSE),"")</f>
        <v/>
      </c>
    </row>
    <row r="237" spans="2:8" x14ac:dyDescent="0.25">
      <c r="B237" s="82"/>
      <c r="C237" s="107" t="str">
        <f t="shared" si="3"/>
        <v/>
      </c>
      <c r="G237" t="str">
        <f>IF(ISTEXT(A237),VLOOKUP($A237,'Price  List'!B:G,3,FALSE),"")</f>
        <v/>
      </c>
      <c r="H237" t="str">
        <f>IF(ISTEXT(A237),VLOOKUP($A237,'Price  List'!B:G,4,FALSE),"")</f>
        <v/>
      </c>
    </row>
    <row r="238" spans="2:8" x14ac:dyDescent="0.25">
      <c r="B238" s="82"/>
      <c r="C238" s="107" t="str">
        <f t="shared" si="3"/>
        <v/>
      </c>
      <c r="G238" t="str">
        <f>IF(ISTEXT(A238),VLOOKUP($A238,'Price  List'!B:G,3,FALSE),"")</f>
        <v/>
      </c>
      <c r="H238" t="str">
        <f>IF(ISTEXT(A238),VLOOKUP($A238,'Price  List'!B:G,4,FALSE),"")</f>
        <v/>
      </c>
    </row>
    <row r="239" spans="2:8" x14ac:dyDescent="0.25">
      <c r="B239" s="82"/>
      <c r="C239" s="107" t="str">
        <f t="shared" si="3"/>
        <v/>
      </c>
      <c r="G239" t="str">
        <f>IF(ISTEXT(A239),VLOOKUP($A239,'Price  List'!B:G,3,FALSE),"")</f>
        <v/>
      </c>
      <c r="H239" t="str">
        <f>IF(ISTEXT(A239),VLOOKUP($A239,'Price  List'!B:G,4,FALSE),"")</f>
        <v/>
      </c>
    </row>
    <row r="240" spans="2:8" x14ac:dyDescent="0.25">
      <c r="B240" s="82"/>
      <c r="C240" s="107" t="str">
        <f t="shared" si="3"/>
        <v/>
      </c>
      <c r="G240" t="str">
        <f>IF(ISTEXT(A240),VLOOKUP($A240,'Price  List'!B:G,3,FALSE),"")</f>
        <v/>
      </c>
      <c r="H240" t="str">
        <f>IF(ISTEXT(A240),VLOOKUP($A240,'Price  List'!B:G,4,FALSE),"")</f>
        <v/>
      </c>
    </row>
    <row r="241" spans="2:8" x14ac:dyDescent="0.25">
      <c r="B241" s="82"/>
      <c r="C241" s="107" t="str">
        <f t="shared" si="3"/>
        <v/>
      </c>
      <c r="G241" t="str">
        <f>IF(ISTEXT(A241),VLOOKUP($A241,'Price  List'!B:G,3,FALSE),"")</f>
        <v/>
      </c>
      <c r="H241" t="str">
        <f>IF(ISTEXT(A241),VLOOKUP($A241,'Price  List'!B:G,4,FALSE),"")</f>
        <v/>
      </c>
    </row>
    <row r="242" spans="2:8" x14ac:dyDescent="0.25">
      <c r="B242" s="82"/>
      <c r="C242" s="107" t="str">
        <f t="shared" si="3"/>
        <v/>
      </c>
      <c r="G242" t="str">
        <f>IF(ISTEXT(A242),VLOOKUP($A242,'Price  List'!B:G,3,FALSE),"")</f>
        <v/>
      </c>
      <c r="H242" t="str">
        <f>IF(ISTEXT(A242),VLOOKUP($A242,'Price  List'!B:G,4,FALSE),"")</f>
        <v/>
      </c>
    </row>
    <row r="243" spans="2:8" x14ac:dyDescent="0.25">
      <c r="B243" s="82"/>
      <c r="C243" s="107" t="str">
        <f t="shared" si="3"/>
        <v/>
      </c>
      <c r="G243" t="str">
        <f>IF(ISTEXT(A243),VLOOKUP($A243,'Price  List'!B:G,3,FALSE),"")</f>
        <v/>
      </c>
      <c r="H243" t="str">
        <f>IF(ISTEXT(A243),VLOOKUP($A243,'Price  List'!B:G,4,FALSE),"")</f>
        <v/>
      </c>
    </row>
    <row r="244" spans="2:8" x14ac:dyDescent="0.25">
      <c r="B244" s="82"/>
      <c r="C244" s="107" t="str">
        <f t="shared" si="3"/>
        <v/>
      </c>
      <c r="G244" t="str">
        <f>IF(ISTEXT(A244),VLOOKUP($A244,'Price  List'!B:G,3,FALSE),"")</f>
        <v/>
      </c>
      <c r="H244" t="str">
        <f>IF(ISTEXT(A244),VLOOKUP($A244,'Price  List'!B:G,4,FALSE),"")</f>
        <v/>
      </c>
    </row>
    <row r="245" spans="2:8" x14ac:dyDescent="0.25">
      <c r="B245" s="82"/>
      <c r="C245" s="107" t="str">
        <f t="shared" si="3"/>
        <v/>
      </c>
      <c r="G245" t="str">
        <f>IF(ISTEXT(A245),VLOOKUP($A245,'Price  List'!B:G,3,FALSE),"")</f>
        <v/>
      </c>
      <c r="H245" t="str">
        <f>IF(ISTEXT(A245),VLOOKUP($A245,'Price  List'!B:G,4,FALSE),"")</f>
        <v/>
      </c>
    </row>
    <row r="246" spans="2:8" x14ac:dyDescent="0.25">
      <c r="B246" s="82"/>
      <c r="C246" s="107" t="str">
        <f t="shared" si="3"/>
        <v/>
      </c>
      <c r="G246" t="str">
        <f>IF(ISTEXT(A246),VLOOKUP($A246,'Price  List'!B:G,3,FALSE),"")</f>
        <v/>
      </c>
      <c r="H246" t="str">
        <f>IF(ISTEXT(A246),VLOOKUP($A246,'Price  List'!B:G,4,FALSE),"")</f>
        <v/>
      </c>
    </row>
    <row r="247" spans="2:8" x14ac:dyDescent="0.25">
      <c r="B247" s="82"/>
      <c r="C247" s="107" t="str">
        <f t="shared" si="3"/>
        <v/>
      </c>
      <c r="G247" t="str">
        <f>IF(ISTEXT(A247),VLOOKUP($A247,'Price  List'!B:G,3,FALSE),"")</f>
        <v/>
      </c>
      <c r="H247" t="str">
        <f>IF(ISTEXT(A247),VLOOKUP($A247,'Price  List'!B:G,4,FALSE),"")</f>
        <v/>
      </c>
    </row>
    <row r="248" spans="2:8" x14ac:dyDescent="0.25">
      <c r="B248" s="82"/>
      <c r="C248" s="107" t="str">
        <f t="shared" si="3"/>
        <v/>
      </c>
      <c r="G248" t="str">
        <f>IF(ISTEXT(A248),VLOOKUP($A248,'Price  List'!B:G,3,FALSE),"")</f>
        <v/>
      </c>
      <c r="H248" t="str">
        <f>IF(ISTEXT(A248),VLOOKUP($A248,'Price  List'!B:G,4,FALSE),"")</f>
        <v/>
      </c>
    </row>
    <row r="249" spans="2:8" x14ac:dyDescent="0.25">
      <c r="B249" s="82"/>
      <c r="C249" s="107" t="str">
        <f t="shared" si="3"/>
        <v/>
      </c>
      <c r="G249" t="str">
        <f>IF(ISTEXT(A249),VLOOKUP($A249,'Price  List'!B:G,3,FALSE),"")</f>
        <v/>
      </c>
      <c r="H249" t="str">
        <f>IF(ISTEXT(A249),VLOOKUP($A249,'Price  List'!B:G,4,FALSE),"")</f>
        <v/>
      </c>
    </row>
    <row r="250" spans="2:8" x14ac:dyDescent="0.25">
      <c r="B250" s="82"/>
      <c r="C250" s="107" t="str">
        <f t="shared" si="3"/>
        <v/>
      </c>
      <c r="G250" t="str">
        <f>IF(ISTEXT(A250),VLOOKUP($A250,'Price  List'!B:G,3,FALSE),"")</f>
        <v/>
      </c>
      <c r="H250" t="str">
        <f>IF(ISTEXT(A250),VLOOKUP($A250,'Price  List'!B:G,4,FALSE),"")</f>
        <v/>
      </c>
    </row>
    <row r="251" spans="2:8" x14ac:dyDescent="0.25">
      <c r="B251" s="82"/>
      <c r="C251" s="107" t="str">
        <f t="shared" si="3"/>
        <v/>
      </c>
      <c r="G251" t="str">
        <f>IF(ISTEXT(A251),VLOOKUP($A251,'Price  List'!B:G,3,FALSE),"")</f>
        <v/>
      </c>
      <c r="H251" t="str">
        <f>IF(ISTEXT(A251),VLOOKUP($A251,'Price  List'!B:G,4,FALSE),"")</f>
        <v/>
      </c>
    </row>
    <row r="252" spans="2:8" x14ac:dyDescent="0.25">
      <c r="B252" s="82"/>
      <c r="C252" s="107" t="str">
        <f t="shared" si="3"/>
        <v/>
      </c>
      <c r="G252" t="str">
        <f>IF(ISTEXT(A252),VLOOKUP($A252,'Price  List'!B:G,3,FALSE),"")</f>
        <v/>
      </c>
      <c r="H252" t="str">
        <f>IF(ISTEXT(A252),VLOOKUP($A252,'Price  List'!B:G,4,FALSE),"")</f>
        <v/>
      </c>
    </row>
    <row r="253" spans="2:8" x14ac:dyDescent="0.25">
      <c r="B253" s="82"/>
      <c r="C253" s="107" t="str">
        <f t="shared" si="3"/>
        <v/>
      </c>
      <c r="G253" t="str">
        <f>IF(ISTEXT(A253),VLOOKUP($A253,'Price  List'!B:G,3,FALSE),"")</f>
        <v/>
      </c>
      <c r="H253" t="str">
        <f>IF(ISTEXT(A253),VLOOKUP($A253,'Price  List'!B:G,4,FALSE),"")</f>
        <v/>
      </c>
    </row>
    <row r="254" spans="2:8" x14ac:dyDescent="0.25">
      <c r="B254" s="82"/>
      <c r="C254" s="107" t="str">
        <f t="shared" si="3"/>
        <v/>
      </c>
      <c r="G254" t="str">
        <f>IF(ISTEXT(A254),VLOOKUP($A254,'Price  List'!B:G,3,FALSE),"")</f>
        <v/>
      </c>
      <c r="H254" t="str">
        <f>IF(ISTEXT(A254),VLOOKUP($A254,'Price  List'!B:G,4,FALSE),"")</f>
        <v/>
      </c>
    </row>
    <row r="255" spans="2:8" x14ac:dyDescent="0.25">
      <c r="B255" s="82"/>
      <c r="C255" s="107" t="str">
        <f t="shared" si="3"/>
        <v/>
      </c>
      <c r="G255" t="str">
        <f>IF(ISTEXT(A255),VLOOKUP($A255,'Price  List'!B:G,3,FALSE),"")</f>
        <v/>
      </c>
      <c r="H255" t="str">
        <f>IF(ISTEXT(A255),VLOOKUP($A255,'Price  List'!B:G,4,FALSE),"")</f>
        <v/>
      </c>
    </row>
    <row r="256" spans="2:8" x14ac:dyDescent="0.25">
      <c r="B256" s="82"/>
      <c r="C256" s="107" t="str">
        <f t="shared" si="3"/>
        <v/>
      </c>
      <c r="G256" t="str">
        <f>IF(ISTEXT(A256),VLOOKUP($A256,'Price  List'!B:G,3,FALSE),"")</f>
        <v/>
      </c>
      <c r="H256" t="str">
        <f>IF(ISTEXT(A256),VLOOKUP($A256,'Price  List'!B:G,4,FALSE),"")</f>
        <v/>
      </c>
    </row>
    <row r="257" spans="2:8" x14ac:dyDescent="0.25">
      <c r="B257" s="82"/>
      <c r="C257" s="107" t="str">
        <f t="shared" si="3"/>
        <v/>
      </c>
      <c r="G257" t="str">
        <f>IF(ISTEXT(A257),VLOOKUP($A257,'Price  List'!B:G,3,FALSE),"")</f>
        <v/>
      </c>
      <c r="H257" t="str">
        <f>IF(ISTEXT(A257),VLOOKUP($A257,'Price  List'!B:G,4,FALSE),"")</f>
        <v/>
      </c>
    </row>
    <row r="258" spans="2:8" x14ac:dyDescent="0.25">
      <c r="B258" s="82"/>
      <c r="C258" s="107" t="str">
        <f t="shared" si="3"/>
        <v/>
      </c>
      <c r="G258" t="str">
        <f>IF(ISTEXT(A258),VLOOKUP($A258,'Price  List'!B:G,3,FALSE),"")</f>
        <v/>
      </c>
      <c r="H258" t="str">
        <f>IF(ISTEXT(A258),VLOOKUP($A258,'Price  List'!B:G,4,FALSE),"")</f>
        <v/>
      </c>
    </row>
    <row r="259" spans="2:8" x14ac:dyDescent="0.25">
      <c r="B259" s="82"/>
      <c r="C259" s="107" t="str">
        <f t="shared" si="3"/>
        <v/>
      </c>
      <c r="G259" t="str">
        <f>IF(ISTEXT(A259),VLOOKUP($A259,'Price  List'!B:G,3,FALSE),"")</f>
        <v/>
      </c>
      <c r="H259" t="str">
        <f>IF(ISTEXT(A259),VLOOKUP($A259,'Price  List'!B:G,4,FALSE),"")</f>
        <v/>
      </c>
    </row>
    <row r="260" spans="2:8" x14ac:dyDescent="0.25">
      <c r="B260" s="82"/>
      <c r="C260" s="107" t="str">
        <f t="shared" ref="C260:C323" si="4">IF(ISTEXT(A260),"stock","")</f>
        <v/>
      </c>
      <c r="G260" t="str">
        <f>IF(ISTEXT(A260),VLOOKUP($A260,'Price  List'!B:G,3,FALSE),"")</f>
        <v/>
      </c>
      <c r="H260" t="str">
        <f>IF(ISTEXT(A260),VLOOKUP($A260,'Price  List'!B:G,4,FALSE),"")</f>
        <v/>
      </c>
    </row>
    <row r="261" spans="2:8" x14ac:dyDescent="0.25">
      <c r="B261" s="82"/>
      <c r="C261" s="107" t="str">
        <f t="shared" si="4"/>
        <v/>
      </c>
      <c r="G261" t="str">
        <f>IF(ISTEXT(A261),VLOOKUP($A261,'Price  List'!B:G,3,FALSE),"")</f>
        <v/>
      </c>
      <c r="H261" t="str">
        <f>IF(ISTEXT(A261),VLOOKUP($A261,'Price  List'!B:G,4,FALSE),"")</f>
        <v/>
      </c>
    </row>
    <row r="262" spans="2:8" x14ac:dyDescent="0.25">
      <c r="B262" s="82"/>
      <c r="C262" s="107" t="str">
        <f t="shared" si="4"/>
        <v/>
      </c>
      <c r="G262" t="str">
        <f>IF(ISTEXT(A262),VLOOKUP($A262,'Price  List'!B:G,3,FALSE),"")</f>
        <v/>
      </c>
      <c r="H262" t="str">
        <f>IF(ISTEXT(A262),VLOOKUP($A262,'Price  List'!B:G,4,FALSE),"")</f>
        <v/>
      </c>
    </row>
    <row r="263" spans="2:8" x14ac:dyDescent="0.25">
      <c r="B263" s="82"/>
      <c r="C263" s="107" t="str">
        <f t="shared" si="4"/>
        <v/>
      </c>
      <c r="G263" t="str">
        <f>IF(ISTEXT(A263),VLOOKUP($A263,'Price  List'!B:G,3,FALSE),"")</f>
        <v/>
      </c>
      <c r="H263" t="str">
        <f>IF(ISTEXT(A263),VLOOKUP($A263,'Price  List'!B:G,4,FALSE),"")</f>
        <v/>
      </c>
    </row>
    <row r="264" spans="2:8" x14ac:dyDescent="0.25">
      <c r="B264" s="82"/>
      <c r="C264" s="107" t="str">
        <f t="shared" si="4"/>
        <v/>
      </c>
      <c r="G264" t="str">
        <f>IF(ISTEXT(A264),VLOOKUP($A264,'Price  List'!B:G,3,FALSE),"")</f>
        <v/>
      </c>
      <c r="H264" t="str">
        <f>IF(ISTEXT(A264),VLOOKUP($A264,'Price  List'!B:G,4,FALSE),"")</f>
        <v/>
      </c>
    </row>
    <row r="265" spans="2:8" x14ac:dyDescent="0.25">
      <c r="B265" s="82"/>
      <c r="C265" s="107" t="str">
        <f t="shared" si="4"/>
        <v/>
      </c>
      <c r="G265" t="str">
        <f>IF(ISTEXT(A265),VLOOKUP($A265,'Price  List'!B:G,3,FALSE),"")</f>
        <v/>
      </c>
      <c r="H265" t="str">
        <f>IF(ISTEXT(A265),VLOOKUP($A265,'Price  List'!B:G,4,FALSE),"")</f>
        <v/>
      </c>
    </row>
    <row r="266" spans="2:8" x14ac:dyDescent="0.25">
      <c r="B266" s="82"/>
      <c r="C266" s="107" t="str">
        <f t="shared" si="4"/>
        <v/>
      </c>
      <c r="G266" t="str">
        <f>IF(ISTEXT(A266),VLOOKUP($A266,'Price  List'!B:G,3,FALSE),"")</f>
        <v/>
      </c>
      <c r="H266" t="str">
        <f>IF(ISTEXT(A266),VLOOKUP($A266,'Price  List'!B:G,4,FALSE),"")</f>
        <v/>
      </c>
    </row>
    <row r="267" spans="2:8" x14ac:dyDescent="0.25">
      <c r="B267" s="82"/>
      <c r="C267" s="107" t="str">
        <f t="shared" si="4"/>
        <v/>
      </c>
      <c r="G267" t="str">
        <f>IF(ISTEXT(A267),VLOOKUP($A267,'Price  List'!B:G,3,FALSE),"")</f>
        <v/>
      </c>
      <c r="H267" t="str">
        <f>IF(ISTEXT(A267),VLOOKUP($A267,'Price  List'!B:G,4,FALSE),"")</f>
        <v/>
      </c>
    </row>
    <row r="268" spans="2:8" x14ac:dyDescent="0.25">
      <c r="B268" s="82"/>
      <c r="C268" s="107" t="str">
        <f t="shared" si="4"/>
        <v/>
      </c>
      <c r="G268" t="str">
        <f>IF(ISTEXT(A268),VLOOKUP($A268,'Price  List'!B:G,3,FALSE),"")</f>
        <v/>
      </c>
      <c r="H268" t="str">
        <f>IF(ISTEXT(A268),VLOOKUP($A268,'Price  List'!B:G,4,FALSE),"")</f>
        <v/>
      </c>
    </row>
    <row r="269" spans="2:8" x14ac:dyDescent="0.25">
      <c r="B269" s="82"/>
      <c r="C269" s="107" t="str">
        <f t="shared" si="4"/>
        <v/>
      </c>
      <c r="G269" t="str">
        <f>IF(ISTEXT(A269),VLOOKUP($A269,'Price  List'!B:G,3,FALSE),"")</f>
        <v/>
      </c>
      <c r="H269" t="str">
        <f>IF(ISTEXT(A269),VLOOKUP($A269,'Price  List'!B:G,4,FALSE),"")</f>
        <v/>
      </c>
    </row>
    <row r="270" spans="2:8" x14ac:dyDescent="0.25">
      <c r="B270" s="82"/>
      <c r="C270" s="107" t="str">
        <f t="shared" si="4"/>
        <v/>
      </c>
      <c r="G270" t="str">
        <f>IF(ISTEXT(A270),VLOOKUP($A270,'Price  List'!B:G,3,FALSE),"")</f>
        <v/>
      </c>
      <c r="H270" t="str">
        <f>IF(ISTEXT(A270),VLOOKUP($A270,'Price  List'!B:G,4,FALSE),"")</f>
        <v/>
      </c>
    </row>
    <row r="271" spans="2:8" x14ac:dyDescent="0.25">
      <c r="B271" s="82"/>
      <c r="C271" s="107" t="str">
        <f t="shared" si="4"/>
        <v/>
      </c>
      <c r="G271" t="str">
        <f>IF(ISTEXT(A271),VLOOKUP($A271,'Price  List'!B:G,3,FALSE),"")</f>
        <v/>
      </c>
      <c r="H271" t="str">
        <f>IF(ISTEXT(A271),VLOOKUP($A271,'Price  List'!B:G,4,FALSE),"")</f>
        <v/>
      </c>
    </row>
    <row r="272" spans="2:8" x14ac:dyDescent="0.25">
      <c r="B272" s="82"/>
      <c r="C272" s="107" t="str">
        <f t="shared" si="4"/>
        <v/>
      </c>
      <c r="G272" t="str">
        <f>IF(ISTEXT(A272),VLOOKUP($A272,'Price  List'!B:G,3,FALSE),"")</f>
        <v/>
      </c>
      <c r="H272" t="str">
        <f>IF(ISTEXT(A272),VLOOKUP($A272,'Price  List'!B:G,4,FALSE),"")</f>
        <v/>
      </c>
    </row>
    <row r="273" spans="2:8" x14ac:dyDescent="0.25">
      <c r="B273" s="82"/>
      <c r="C273" s="107" t="str">
        <f t="shared" si="4"/>
        <v/>
      </c>
      <c r="G273" t="str">
        <f>IF(ISTEXT(A273),VLOOKUP($A273,'Price  List'!B:G,3,FALSE),"")</f>
        <v/>
      </c>
      <c r="H273" t="str">
        <f>IF(ISTEXT(A273),VLOOKUP($A273,'Price  List'!B:G,4,FALSE),"")</f>
        <v/>
      </c>
    </row>
    <row r="274" spans="2:8" x14ac:dyDescent="0.25">
      <c r="B274" s="82"/>
      <c r="C274" s="107" t="str">
        <f t="shared" si="4"/>
        <v/>
      </c>
      <c r="G274" t="str">
        <f>IF(ISTEXT(A274),VLOOKUP($A274,'Price  List'!B:G,3,FALSE),"")</f>
        <v/>
      </c>
      <c r="H274" t="str">
        <f>IF(ISTEXT(A274),VLOOKUP($A274,'Price  List'!B:G,4,FALSE),"")</f>
        <v/>
      </c>
    </row>
    <row r="275" spans="2:8" x14ac:dyDescent="0.25">
      <c r="B275" s="82"/>
      <c r="C275" s="107" t="str">
        <f t="shared" si="4"/>
        <v/>
      </c>
      <c r="G275" t="str">
        <f>IF(ISTEXT(A275),VLOOKUP($A275,'Price  List'!B:G,3,FALSE),"")</f>
        <v/>
      </c>
      <c r="H275" t="str">
        <f>IF(ISTEXT(A275),VLOOKUP($A275,'Price  List'!B:G,4,FALSE),"")</f>
        <v/>
      </c>
    </row>
    <row r="276" spans="2:8" x14ac:dyDescent="0.25">
      <c r="B276" s="82"/>
      <c r="C276" s="107" t="str">
        <f t="shared" si="4"/>
        <v/>
      </c>
      <c r="G276" t="str">
        <f>IF(ISTEXT(A276),VLOOKUP($A276,'Price  List'!B:G,3,FALSE),"")</f>
        <v/>
      </c>
      <c r="H276" t="str">
        <f>IF(ISTEXT(A276),VLOOKUP($A276,'Price  List'!B:G,4,FALSE),"")</f>
        <v/>
      </c>
    </row>
    <row r="277" spans="2:8" x14ac:dyDescent="0.25">
      <c r="B277" s="82"/>
      <c r="C277" s="107" t="str">
        <f t="shared" si="4"/>
        <v/>
      </c>
      <c r="G277" t="str">
        <f>IF(ISTEXT(A277),VLOOKUP($A277,'Price  List'!B:G,3,FALSE),"")</f>
        <v/>
      </c>
      <c r="H277" t="str">
        <f>IF(ISTEXT(A277),VLOOKUP($A277,'Price  List'!B:G,4,FALSE),"")</f>
        <v/>
      </c>
    </row>
    <row r="278" spans="2:8" x14ac:dyDescent="0.25">
      <c r="B278" s="82"/>
      <c r="C278" s="107" t="str">
        <f t="shared" si="4"/>
        <v/>
      </c>
      <c r="G278" t="str">
        <f>IF(ISTEXT(A278),VLOOKUP($A278,'Price  List'!B:G,3,FALSE),"")</f>
        <v/>
      </c>
      <c r="H278" t="str">
        <f>IF(ISTEXT(A278),VLOOKUP($A278,'Price  List'!B:G,4,FALSE),"")</f>
        <v/>
      </c>
    </row>
    <row r="279" spans="2:8" x14ac:dyDescent="0.25">
      <c r="B279" s="82"/>
      <c r="C279" s="107" t="str">
        <f t="shared" si="4"/>
        <v/>
      </c>
      <c r="G279" t="str">
        <f>IF(ISTEXT(A279),VLOOKUP($A279,'Price  List'!B:G,3,FALSE),"")</f>
        <v/>
      </c>
      <c r="H279" t="str">
        <f>IF(ISTEXT(A279),VLOOKUP($A279,'Price  List'!B:G,4,FALSE),"")</f>
        <v/>
      </c>
    </row>
    <row r="280" spans="2:8" x14ac:dyDescent="0.25">
      <c r="B280" s="82"/>
      <c r="C280" s="107" t="str">
        <f t="shared" si="4"/>
        <v/>
      </c>
      <c r="G280" t="str">
        <f>IF(ISTEXT(A280),VLOOKUP($A280,'Price  List'!B:G,3,FALSE),"")</f>
        <v/>
      </c>
      <c r="H280" t="str">
        <f>IF(ISTEXT(A280),VLOOKUP($A280,'Price  List'!B:G,4,FALSE),"")</f>
        <v/>
      </c>
    </row>
    <row r="281" spans="2:8" x14ac:dyDescent="0.25">
      <c r="B281" s="82"/>
      <c r="C281" s="107" t="str">
        <f t="shared" si="4"/>
        <v/>
      </c>
      <c r="G281" t="str">
        <f>IF(ISTEXT(A281),VLOOKUP($A281,'Price  List'!B:G,3,FALSE),"")</f>
        <v/>
      </c>
      <c r="H281" t="str">
        <f>IF(ISTEXT(A281),VLOOKUP($A281,'Price  List'!B:G,4,FALSE),"")</f>
        <v/>
      </c>
    </row>
    <row r="282" spans="2:8" x14ac:dyDescent="0.25">
      <c r="B282" s="82"/>
      <c r="C282" s="107" t="str">
        <f t="shared" si="4"/>
        <v/>
      </c>
      <c r="G282" t="str">
        <f>IF(ISTEXT(A282),VLOOKUP($A282,'Price  List'!B:G,3,FALSE),"")</f>
        <v/>
      </c>
      <c r="H282" t="str">
        <f>IF(ISTEXT(A282),VLOOKUP($A282,'Price  List'!B:G,4,FALSE),"")</f>
        <v/>
      </c>
    </row>
    <row r="283" spans="2:8" x14ac:dyDescent="0.25">
      <c r="B283" s="82"/>
      <c r="C283" s="107" t="str">
        <f t="shared" si="4"/>
        <v/>
      </c>
      <c r="G283" t="str">
        <f>IF(ISTEXT(A283),VLOOKUP($A283,'Price  List'!B:G,3,FALSE),"")</f>
        <v/>
      </c>
      <c r="H283" t="str">
        <f>IF(ISTEXT(A283),VLOOKUP($A283,'Price  List'!B:G,4,FALSE),"")</f>
        <v/>
      </c>
    </row>
    <row r="284" spans="2:8" x14ac:dyDescent="0.25">
      <c r="B284" s="82"/>
      <c r="C284" s="107" t="str">
        <f t="shared" si="4"/>
        <v/>
      </c>
      <c r="G284" t="str">
        <f>IF(ISTEXT(A284),VLOOKUP($A284,'Price  List'!B:G,3,FALSE),"")</f>
        <v/>
      </c>
      <c r="H284" t="str">
        <f>IF(ISTEXT(A284),VLOOKUP($A284,'Price  List'!B:G,4,FALSE),"")</f>
        <v/>
      </c>
    </row>
    <row r="285" spans="2:8" x14ac:dyDescent="0.25">
      <c r="B285" s="82"/>
      <c r="C285" s="107" t="str">
        <f t="shared" si="4"/>
        <v/>
      </c>
      <c r="G285" t="str">
        <f>IF(ISTEXT(A285),VLOOKUP($A285,'Price  List'!B:G,3,FALSE),"")</f>
        <v/>
      </c>
      <c r="H285" t="str">
        <f>IF(ISTEXT(A285),VLOOKUP($A285,'Price  List'!B:G,4,FALSE),"")</f>
        <v/>
      </c>
    </row>
    <row r="286" spans="2:8" x14ac:dyDescent="0.25">
      <c r="B286" s="82"/>
      <c r="C286" s="107" t="str">
        <f t="shared" si="4"/>
        <v/>
      </c>
      <c r="G286" t="str">
        <f>IF(ISTEXT(A286),VLOOKUP($A286,'Price  List'!B:G,3,FALSE),"")</f>
        <v/>
      </c>
      <c r="H286" t="str">
        <f>IF(ISTEXT(A286),VLOOKUP($A286,'Price  List'!B:G,4,FALSE),"")</f>
        <v/>
      </c>
    </row>
    <row r="287" spans="2:8" x14ac:dyDescent="0.25">
      <c r="B287" s="82"/>
      <c r="C287" s="107" t="str">
        <f t="shared" si="4"/>
        <v/>
      </c>
      <c r="G287" t="str">
        <f>IF(ISTEXT(A287),VLOOKUP($A287,'Price  List'!B:G,3,FALSE),"")</f>
        <v/>
      </c>
      <c r="H287" t="str">
        <f>IF(ISTEXT(A287),VLOOKUP($A287,'Price  List'!B:G,4,FALSE),"")</f>
        <v/>
      </c>
    </row>
    <row r="288" spans="2:8" x14ac:dyDescent="0.25">
      <c r="B288" s="82"/>
      <c r="C288" s="107" t="str">
        <f t="shared" si="4"/>
        <v/>
      </c>
      <c r="G288" t="str">
        <f>IF(ISTEXT(A288),VLOOKUP($A288,'Price  List'!B:G,3,FALSE),"")</f>
        <v/>
      </c>
      <c r="H288" t="str">
        <f>IF(ISTEXT(A288),VLOOKUP($A288,'Price  List'!B:G,4,FALSE),"")</f>
        <v/>
      </c>
    </row>
    <row r="289" spans="2:8" x14ac:dyDescent="0.25">
      <c r="B289" s="82"/>
      <c r="C289" s="107" t="str">
        <f t="shared" si="4"/>
        <v/>
      </c>
      <c r="G289" t="str">
        <f>IF(ISTEXT(A289),VLOOKUP($A289,'Price  List'!B:G,3,FALSE),"")</f>
        <v/>
      </c>
      <c r="H289" t="str">
        <f>IF(ISTEXT(A289),VLOOKUP($A289,'Price  List'!B:G,4,FALSE),"")</f>
        <v/>
      </c>
    </row>
    <row r="290" spans="2:8" x14ac:dyDescent="0.25">
      <c r="B290" s="82"/>
      <c r="C290" s="107" t="str">
        <f t="shared" si="4"/>
        <v/>
      </c>
      <c r="G290" t="str">
        <f>IF(ISTEXT(A290),VLOOKUP($A290,'Price  List'!B:G,3,FALSE),"")</f>
        <v/>
      </c>
      <c r="H290" t="str">
        <f>IF(ISTEXT(A290),VLOOKUP($A290,'Price  List'!B:G,4,FALSE),"")</f>
        <v/>
      </c>
    </row>
    <row r="291" spans="2:8" x14ac:dyDescent="0.25">
      <c r="B291" s="82"/>
      <c r="C291" s="107" t="str">
        <f t="shared" si="4"/>
        <v/>
      </c>
      <c r="G291" t="str">
        <f>IF(ISTEXT(A291),VLOOKUP($A291,'Price  List'!B:G,3,FALSE),"")</f>
        <v/>
      </c>
      <c r="H291" t="str">
        <f>IF(ISTEXT(A291),VLOOKUP($A291,'Price  List'!B:G,4,FALSE),"")</f>
        <v/>
      </c>
    </row>
    <row r="292" spans="2:8" x14ac:dyDescent="0.25">
      <c r="B292" s="82"/>
      <c r="C292" s="107" t="str">
        <f t="shared" si="4"/>
        <v/>
      </c>
      <c r="G292" t="str">
        <f>IF(ISTEXT(A292),VLOOKUP($A292,'Price  List'!B:G,3,FALSE),"")</f>
        <v/>
      </c>
      <c r="H292" t="str">
        <f>IF(ISTEXT(A292),VLOOKUP($A292,'Price  List'!B:G,4,FALSE),"")</f>
        <v/>
      </c>
    </row>
    <row r="293" spans="2:8" x14ac:dyDescent="0.25">
      <c r="B293" s="82"/>
      <c r="C293" s="107" t="str">
        <f t="shared" si="4"/>
        <v/>
      </c>
      <c r="G293" t="str">
        <f>IF(ISTEXT(A293),VLOOKUP($A293,'Price  List'!B:G,3,FALSE),"")</f>
        <v/>
      </c>
      <c r="H293" t="str">
        <f>IF(ISTEXT(A293),VLOOKUP($A293,'Price  List'!B:G,4,FALSE),"")</f>
        <v/>
      </c>
    </row>
    <row r="294" spans="2:8" x14ac:dyDescent="0.25">
      <c r="B294" s="82"/>
      <c r="C294" s="107" t="str">
        <f t="shared" si="4"/>
        <v/>
      </c>
      <c r="G294" t="str">
        <f>IF(ISTEXT(A294),VLOOKUP($A294,'Price  List'!B:G,3,FALSE),"")</f>
        <v/>
      </c>
      <c r="H294" t="str">
        <f>IF(ISTEXT(A294),VLOOKUP($A294,'Price  List'!B:G,4,FALSE),"")</f>
        <v/>
      </c>
    </row>
    <row r="295" spans="2:8" x14ac:dyDescent="0.25">
      <c r="B295" s="82"/>
      <c r="C295" s="107" t="str">
        <f t="shared" si="4"/>
        <v/>
      </c>
      <c r="G295" t="str">
        <f>IF(ISTEXT(A295),VLOOKUP($A295,'Price  List'!B:G,3,FALSE),"")</f>
        <v/>
      </c>
      <c r="H295" t="str">
        <f>IF(ISTEXT(A295),VLOOKUP($A295,'Price  List'!B:G,4,FALSE),"")</f>
        <v/>
      </c>
    </row>
    <row r="296" spans="2:8" x14ac:dyDescent="0.25">
      <c r="B296" s="82"/>
      <c r="C296" s="107" t="str">
        <f t="shared" si="4"/>
        <v/>
      </c>
      <c r="G296" t="str">
        <f>IF(ISTEXT(A296),VLOOKUP($A296,'Price  List'!B:G,3,FALSE),"")</f>
        <v/>
      </c>
      <c r="H296" t="str">
        <f>IF(ISTEXT(A296),VLOOKUP($A296,'Price  List'!B:G,4,FALSE),"")</f>
        <v/>
      </c>
    </row>
    <row r="297" spans="2:8" x14ac:dyDescent="0.25">
      <c r="B297" s="82"/>
      <c r="C297" s="107" t="str">
        <f t="shared" si="4"/>
        <v/>
      </c>
      <c r="G297" t="str">
        <f>IF(ISTEXT(A297),VLOOKUP($A297,'Price  List'!B:G,3,FALSE),"")</f>
        <v/>
      </c>
      <c r="H297" t="str">
        <f>IF(ISTEXT(A297),VLOOKUP($A297,'Price  List'!B:G,4,FALSE),"")</f>
        <v/>
      </c>
    </row>
    <row r="298" spans="2:8" x14ac:dyDescent="0.25">
      <c r="B298" s="82"/>
      <c r="C298" s="107" t="str">
        <f t="shared" si="4"/>
        <v/>
      </c>
      <c r="G298" t="str">
        <f>IF(ISTEXT(A298),VLOOKUP($A298,'Price  List'!B:G,3,FALSE),"")</f>
        <v/>
      </c>
      <c r="H298" t="str">
        <f>IF(ISTEXT(A298),VLOOKUP($A298,'Price  List'!B:G,4,FALSE),"")</f>
        <v/>
      </c>
    </row>
    <row r="299" spans="2:8" x14ac:dyDescent="0.25">
      <c r="B299" s="82"/>
      <c r="C299" s="107" t="str">
        <f t="shared" si="4"/>
        <v/>
      </c>
      <c r="G299" t="str">
        <f>IF(ISTEXT(A299),VLOOKUP($A299,'Price  List'!B:G,3,FALSE),"")</f>
        <v/>
      </c>
      <c r="H299" t="str">
        <f>IF(ISTEXT(A299),VLOOKUP($A299,'Price  List'!B:G,4,FALSE),"")</f>
        <v/>
      </c>
    </row>
    <row r="300" spans="2:8" x14ac:dyDescent="0.25">
      <c r="B300" s="82"/>
      <c r="C300" s="107" t="str">
        <f t="shared" si="4"/>
        <v/>
      </c>
      <c r="G300" t="str">
        <f>IF(ISTEXT(A300),VLOOKUP($A300,'Price  List'!B:G,3,FALSE),"")</f>
        <v/>
      </c>
      <c r="H300" t="str">
        <f>IF(ISTEXT(A300),VLOOKUP($A300,'Price  List'!B:G,4,FALSE),"")</f>
        <v/>
      </c>
    </row>
    <row r="301" spans="2:8" x14ac:dyDescent="0.25">
      <c r="B301" s="82"/>
      <c r="C301" s="107" t="str">
        <f t="shared" si="4"/>
        <v/>
      </c>
      <c r="G301" t="str">
        <f>IF(ISTEXT(A301),VLOOKUP($A301,'Price  List'!B:G,3,FALSE),"")</f>
        <v/>
      </c>
      <c r="H301" t="str">
        <f>IF(ISTEXT(A301),VLOOKUP($A301,'Price  List'!B:G,4,FALSE),"")</f>
        <v/>
      </c>
    </row>
    <row r="302" spans="2:8" x14ac:dyDescent="0.25">
      <c r="B302" s="82"/>
      <c r="C302" s="107" t="str">
        <f t="shared" si="4"/>
        <v/>
      </c>
      <c r="G302" t="str">
        <f>IF(ISTEXT(A302),VLOOKUP($A302,'Price  List'!B:G,3,FALSE),"")</f>
        <v/>
      </c>
      <c r="H302" t="str">
        <f>IF(ISTEXT(A302),VLOOKUP($A302,'Price  List'!B:G,4,FALSE),"")</f>
        <v/>
      </c>
    </row>
    <row r="303" spans="2:8" x14ac:dyDescent="0.25">
      <c r="B303" s="82"/>
      <c r="C303" s="107" t="str">
        <f t="shared" si="4"/>
        <v/>
      </c>
      <c r="G303" t="str">
        <f>IF(ISTEXT(A303),VLOOKUP($A303,'Price  List'!B:G,3,FALSE),"")</f>
        <v/>
      </c>
      <c r="H303" t="str">
        <f>IF(ISTEXT(A303),VLOOKUP($A303,'Price  List'!B:G,4,FALSE),"")</f>
        <v/>
      </c>
    </row>
    <row r="304" spans="2:8" x14ac:dyDescent="0.25">
      <c r="B304" s="82"/>
      <c r="C304" s="107" t="str">
        <f t="shared" si="4"/>
        <v/>
      </c>
      <c r="G304" t="str">
        <f>IF(ISTEXT(A304),VLOOKUP($A304,'Price  List'!B:G,3,FALSE),"")</f>
        <v/>
      </c>
      <c r="H304" t="str">
        <f>IF(ISTEXT(A304),VLOOKUP($A304,'Price  List'!B:G,4,FALSE),"")</f>
        <v/>
      </c>
    </row>
    <row r="305" spans="2:8" x14ac:dyDescent="0.25">
      <c r="B305" s="82"/>
      <c r="C305" s="107" t="str">
        <f t="shared" si="4"/>
        <v/>
      </c>
      <c r="G305" t="str">
        <f>IF(ISTEXT(A305),VLOOKUP($A305,'Price  List'!B:G,3,FALSE),"")</f>
        <v/>
      </c>
      <c r="H305" t="str">
        <f>IF(ISTEXT(A305),VLOOKUP($A305,'Price  List'!B:G,4,FALSE),"")</f>
        <v/>
      </c>
    </row>
    <row r="306" spans="2:8" x14ac:dyDescent="0.25">
      <c r="B306" s="82"/>
      <c r="C306" s="107" t="str">
        <f t="shared" si="4"/>
        <v/>
      </c>
      <c r="G306" t="str">
        <f>IF(ISTEXT(A306),VLOOKUP($A306,'Price  List'!B:G,3,FALSE),"")</f>
        <v/>
      </c>
      <c r="H306" t="str">
        <f>IF(ISTEXT(A306),VLOOKUP($A306,'Price  List'!B:G,4,FALSE),"")</f>
        <v/>
      </c>
    </row>
    <row r="307" spans="2:8" x14ac:dyDescent="0.25">
      <c r="B307" s="82"/>
      <c r="C307" s="107" t="str">
        <f t="shared" si="4"/>
        <v/>
      </c>
      <c r="G307" t="str">
        <f>IF(ISTEXT(A307),VLOOKUP($A307,'Price  List'!B:G,3,FALSE),"")</f>
        <v/>
      </c>
      <c r="H307" t="str">
        <f>IF(ISTEXT(A307),VLOOKUP($A307,'Price  List'!B:G,4,FALSE),"")</f>
        <v/>
      </c>
    </row>
    <row r="308" spans="2:8" x14ac:dyDescent="0.25">
      <c r="B308" s="82"/>
      <c r="C308" s="107" t="str">
        <f t="shared" si="4"/>
        <v/>
      </c>
      <c r="G308" t="str">
        <f>IF(ISTEXT(A308),VLOOKUP($A308,'Price  List'!B:G,3,FALSE),"")</f>
        <v/>
      </c>
      <c r="H308" t="str">
        <f>IF(ISTEXT(A308),VLOOKUP($A308,'Price  List'!B:G,4,FALSE),"")</f>
        <v/>
      </c>
    </row>
    <row r="309" spans="2:8" x14ac:dyDescent="0.25">
      <c r="B309" s="82"/>
      <c r="C309" s="107" t="str">
        <f t="shared" si="4"/>
        <v/>
      </c>
      <c r="G309" t="str">
        <f>IF(ISTEXT(A309),VLOOKUP($A309,'Price  List'!B:G,3,FALSE),"")</f>
        <v/>
      </c>
      <c r="H309" t="str">
        <f>IF(ISTEXT(A309),VLOOKUP($A309,'Price  List'!B:G,4,FALSE),"")</f>
        <v/>
      </c>
    </row>
    <row r="310" spans="2:8" x14ac:dyDescent="0.25">
      <c r="B310" s="82"/>
      <c r="C310" s="107" t="str">
        <f t="shared" si="4"/>
        <v/>
      </c>
      <c r="G310" t="str">
        <f>IF(ISTEXT(A310),VLOOKUP($A310,'Price  List'!B:G,3,FALSE),"")</f>
        <v/>
      </c>
      <c r="H310" t="str">
        <f>IF(ISTEXT(A310),VLOOKUP($A310,'Price  List'!B:G,4,FALSE),"")</f>
        <v/>
      </c>
    </row>
    <row r="311" spans="2:8" x14ac:dyDescent="0.25">
      <c r="B311" s="82"/>
      <c r="C311" s="107" t="str">
        <f t="shared" si="4"/>
        <v/>
      </c>
      <c r="G311" t="str">
        <f>IF(ISTEXT(A311),VLOOKUP($A311,'Price  List'!B:G,3,FALSE),"")</f>
        <v/>
      </c>
      <c r="H311" t="str">
        <f>IF(ISTEXT(A311),VLOOKUP($A311,'Price  List'!B:G,4,FALSE),"")</f>
        <v/>
      </c>
    </row>
    <row r="312" spans="2:8" x14ac:dyDescent="0.25">
      <c r="B312" s="82"/>
      <c r="C312" s="107" t="str">
        <f t="shared" si="4"/>
        <v/>
      </c>
      <c r="G312" t="str">
        <f>IF(ISTEXT(A312),VLOOKUP($A312,'Price  List'!B:G,3,FALSE),"")</f>
        <v/>
      </c>
      <c r="H312" t="str">
        <f>IF(ISTEXT(A312),VLOOKUP($A312,'Price  List'!B:G,4,FALSE),"")</f>
        <v/>
      </c>
    </row>
    <row r="313" spans="2:8" x14ac:dyDescent="0.25">
      <c r="B313" s="82"/>
      <c r="C313" s="107" t="str">
        <f t="shared" si="4"/>
        <v/>
      </c>
      <c r="G313" t="str">
        <f>IF(ISTEXT(A313),VLOOKUP($A313,'Price  List'!B:G,3,FALSE),"")</f>
        <v/>
      </c>
      <c r="H313" t="str">
        <f>IF(ISTEXT(A313),VLOOKUP($A313,'Price  List'!B:G,4,FALSE),"")</f>
        <v/>
      </c>
    </row>
    <row r="314" spans="2:8" x14ac:dyDescent="0.25">
      <c r="B314" s="82"/>
      <c r="C314" s="107" t="str">
        <f t="shared" si="4"/>
        <v/>
      </c>
      <c r="G314" t="str">
        <f>IF(ISTEXT(A314),VLOOKUP($A314,'Price  List'!B:G,3,FALSE),"")</f>
        <v/>
      </c>
      <c r="H314" t="str">
        <f>IF(ISTEXT(A314),VLOOKUP($A314,'Price  List'!B:G,4,FALSE),"")</f>
        <v/>
      </c>
    </row>
    <row r="315" spans="2:8" x14ac:dyDescent="0.25">
      <c r="B315" s="82"/>
      <c r="C315" s="107" t="str">
        <f t="shared" si="4"/>
        <v/>
      </c>
      <c r="G315" t="str">
        <f>IF(ISTEXT(A315),VLOOKUP($A315,'Price  List'!B:G,3,FALSE),"")</f>
        <v/>
      </c>
      <c r="H315" t="str">
        <f>IF(ISTEXT(A315),VLOOKUP($A315,'Price  List'!B:G,4,FALSE),"")</f>
        <v/>
      </c>
    </row>
    <row r="316" spans="2:8" x14ac:dyDescent="0.25">
      <c r="B316" s="82"/>
      <c r="C316" s="107" t="str">
        <f t="shared" si="4"/>
        <v/>
      </c>
      <c r="G316" t="str">
        <f>IF(ISTEXT(A316),VLOOKUP($A316,'Price  List'!B:G,3,FALSE),"")</f>
        <v/>
      </c>
      <c r="H316" t="str">
        <f>IF(ISTEXT(A316),VLOOKUP($A316,'Price  List'!B:G,4,FALSE),"")</f>
        <v/>
      </c>
    </row>
    <row r="317" spans="2:8" x14ac:dyDescent="0.25">
      <c r="B317" s="82"/>
      <c r="C317" s="107" t="str">
        <f t="shared" si="4"/>
        <v/>
      </c>
      <c r="G317" t="str">
        <f>IF(ISTEXT(A317),VLOOKUP($A317,'Price  List'!B:G,3,FALSE),"")</f>
        <v/>
      </c>
      <c r="H317" t="str">
        <f>IF(ISTEXT(A317),VLOOKUP($A317,'Price  List'!B:G,4,FALSE),"")</f>
        <v/>
      </c>
    </row>
    <row r="318" spans="2:8" x14ac:dyDescent="0.25">
      <c r="B318" s="82"/>
      <c r="C318" s="107" t="str">
        <f t="shared" si="4"/>
        <v/>
      </c>
      <c r="G318" t="str">
        <f>IF(ISTEXT(A318),VLOOKUP($A318,'Price  List'!B:G,3,FALSE),"")</f>
        <v/>
      </c>
      <c r="H318" t="str">
        <f>IF(ISTEXT(A318),VLOOKUP($A318,'Price  List'!B:G,4,FALSE),"")</f>
        <v/>
      </c>
    </row>
    <row r="319" spans="2:8" x14ac:dyDescent="0.25">
      <c r="B319" s="82"/>
      <c r="C319" s="107" t="str">
        <f t="shared" si="4"/>
        <v/>
      </c>
      <c r="G319" t="str">
        <f>IF(ISTEXT(A319),VLOOKUP($A319,'Price  List'!B:G,3,FALSE),"")</f>
        <v/>
      </c>
      <c r="H319" t="str">
        <f>IF(ISTEXT(A319),VLOOKUP($A319,'Price  List'!B:G,4,FALSE),"")</f>
        <v/>
      </c>
    </row>
    <row r="320" spans="2:8" x14ac:dyDescent="0.25">
      <c r="B320" s="82"/>
      <c r="C320" s="107" t="str">
        <f t="shared" si="4"/>
        <v/>
      </c>
      <c r="G320" t="str">
        <f>IF(ISTEXT(A320),VLOOKUP($A320,'Price  List'!B:G,3,FALSE),"")</f>
        <v/>
      </c>
      <c r="H320" t="str">
        <f>IF(ISTEXT(A320),VLOOKUP($A320,'Price  List'!B:G,4,FALSE),"")</f>
        <v/>
      </c>
    </row>
    <row r="321" spans="2:8" x14ac:dyDescent="0.25">
      <c r="B321" s="82"/>
      <c r="C321" s="107" t="str">
        <f t="shared" si="4"/>
        <v/>
      </c>
      <c r="G321" t="str">
        <f>IF(ISTEXT(A321),VLOOKUP($A321,'Price  List'!B:G,3,FALSE),"")</f>
        <v/>
      </c>
      <c r="H321" t="str">
        <f>IF(ISTEXT(A321),VLOOKUP($A321,'Price  List'!B:G,4,FALSE),"")</f>
        <v/>
      </c>
    </row>
    <row r="322" spans="2:8" x14ac:dyDescent="0.25">
      <c r="B322" s="82"/>
      <c r="C322" s="107" t="str">
        <f t="shared" si="4"/>
        <v/>
      </c>
      <c r="G322" t="str">
        <f>IF(ISTEXT(A322),VLOOKUP($A322,'Price  List'!B:G,3,FALSE),"")</f>
        <v/>
      </c>
      <c r="H322" t="str">
        <f>IF(ISTEXT(A322),VLOOKUP($A322,'Price  List'!B:G,4,FALSE),"")</f>
        <v/>
      </c>
    </row>
    <row r="323" spans="2:8" x14ac:dyDescent="0.25">
      <c r="B323" s="82"/>
      <c r="C323" s="107" t="str">
        <f t="shared" si="4"/>
        <v/>
      </c>
      <c r="G323" t="str">
        <f>IF(ISTEXT(A323),VLOOKUP($A323,'Price  List'!B:G,3,FALSE),"")</f>
        <v/>
      </c>
      <c r="H323" t="str">
        <f>IF(ISTEXT(A323),VLOOKUP($A323,'Price  List'!B:G,4,FALSE),"")</f>
        <v/>
      </c>
    </row>
    <row r="324" spans="2:8" x14ac:dyDescent="0.25">
      <c r="B324" s="82"/>
      <c r="C324" s="107" t="str">
        <f t="shared" ref="C324:C387" si="5">IF(ISTEXT(A324),"stock","")</f>
        <v/>
      </c>
      <c r="G324" t="str">
        <f>IF(ISTEXT(A324),VLOOKUP($A324,'Price  List'!B:G,3,FALSE),"")</f>
        <v/>
      </c>
      <c r="H324" t="str">
        <f>IF(ISTEXT(A324),VLOOKUP($A324,'Price  List'!B:G,4,FALSE),"")</f>
        <v/>
      </c>
    </row>
    <row r="325" spans="2:8" x14ac:dyDescent="0.25">
      <c r="B325" s="82"/>
      <c r="C325" s="107" t="str">
        <f t="shared" si="5"/>
        <v/>
      </c>
      <c r="G325" t="str">
        <f>IF(ISTEXT(A325),VLOOKUP($A325,'Price  List'!B:G,3,FALSE),"")</f>
        <v/>
      </c>
      <c r="H325" t="str">
        <f>IF(ISTEXT(A325),VLOOKUP($A325,'Price  List'!B:G,4,FALSE),"")</f>
        <v/>
      </c>
    </row>
    <row r="326" spans="2:8" x14ac:dyDescent="0.25">
      <c r="B326" s="82"/>
      <c r="C326" s="107" t="str">
        <f t="shared" si="5"/>
        <v/>
      </c>
      <c r="G326" t="str">
        <f>IF(ISTEXT(A326),VLOOKUP($A326,'Price  List'!B:G,3,FALSE),"")</f>
        <v/>
      </c>
      <c r="H326" t="str">
        <f>IF(ISTEXT(A326),VLOOKUP($A326,'Price  List'!B:G,4,FALSE),"")</f>
        <v/>
      </c>
    </row>
    <row r="327" spans="2:8" x14ac:dyDescent="0.25">
      <c r="B327" s="82"/>
      <c r="C327" s="107" t="str">
        <f t="shared" si="5"/>
        <v/>
      </c>
      <c r="G327" t="str">
        <f>IF(ISTEXT(A327),VLOOKUP($A327,'Price  List'!B:G,3,FALSE),"")</f>
        <v/>
      </c>
      <c r="H327" t="str">
        <f>IF(ISTEXT(A327),VLOOKUP($A327,'Price  List'!B:G,4,FALSE),"")</f>
        <v/>
      </c>
    </row>
    <row r="328" spans="2:8" x14ac:dyDescent="0.25">
      <c r="B328" s="82"/>
      <c r="C328" s="107" t="str">
        <f t="shared" si="5"/>
        <v/>
      </c>
      <c r="G328" t="str">
        <f>IF(ISTEXT(A328),VLOOKUP($A328,'Price  List'!B:G,3,FALSE),"")</f>
        <v/>
      </c>
      <c r="H328" t="str">
        <f>IF(ISTEXT(A328),VLOOKUP($A328,'Price  List'!B:G,4,FALSE),"")</f>
        <v/>
      </c>
    </row>
    <row r="329" spans="2:8" x14ac:dyDescent="0.25">
      <c r="B329" s="82"/>
      <c r="C329" s="107" t="str">
        <f t="shared" si="5"/>
        <v/>
      </c>
      <c r="G329" t="str">
        <f>IF(ISTEXT(A329),VLOOKUP($A329,'Price  List'!B:G,3,FALSE),"")</f>
        <v/>
      </c>
      <c r="H329" t="str">
        <f>IF(ISTEXT(A329),VLOOKUP($A329,'Price  List'!B:G,4,FALSE),"")</f>
        <v/>
      </c>
    </row>
    <row r="330" spans="2:8" x14ac:dyDescent="0.25">
      <c r="B330" s="82"/>
      <c r="C330" s="107" t="str">
        <f t="shared" si="5"/>
        <v/>
      </c>
      <c r="G330" t="str">
        <f>IF(ISTEXT(A330),VLOOKUP($A330,'Price  List'!B:G,3,FALSE),"")</f>
        <v/>
      </c>
      <c r="H330" t="str">
        <f>IF(ISTEXT(A330),VLOOKUP($A330,'Price  List'!B:G,4,FALSE),"")</f>
        <v/>
      </c>
    </row>
    <row r="331" spans="2:8" x14ac:dyDescent="0.25">
      <c r="B331" s="82"/>
      <c r="C331" s="107" t="str">
        <f t="shared" si="5"/>
        <v/>
      </c>
      <c r="G331" t="str">
        <f>IF(ISTEXT(A331),VLOOKUP($A331,'Price  List'!B:G,3,FALSE),"")</f>
        <v/>
      </c>
      <c r="H331" t="str">
        <f>IF(ISTEXT(A331),VLOOKUP($A331,'Price  List'!B:G,4,FALSE),"")</f>
        <v/>
      </c>
    </row>
    <row r="332" spans="2:8" x14ac:dyDescent="0.25">
      <c r="B332" s="82"/>
      <c r="C332" s="107" t="str">
        <f t="shared" si="5"/>
        <v/>
      </c>
      <c r="G332" t="str">
        <f>IF(ISTEXT(A332),VLOOKUP($A332,'Price  List'!B:G,3,FALSE),"")</f>
        <v/>
      </c>
      <c r="H332" t="str">
        <f>IF(ISTEXT(A332),VLOOKUP($A332,'Price  List'!B:G,4,FALSE),"")</f>
        <v/>
      </c>
    </row>
    <row r="333" spans="2:8" x14ac:dyDescent="0.25">
      <c r="B333" s="82"/>
      <c r="C333" s="107" t="str">
        <f t="shared" si="5"/>
        <v/>
      </c>
      <c r="G333" t="str">
        <f>IF(ISTEXT(A333),VLOOKUP($A333,'Price  List'!B:G,3,FALSE),"")</f>
        <v/>
      </c>
      <c r="H333" t="str">
        <f>IF(ISTEXT(A333),VLOOKUP($A333,'Price  List'!B:G,4,FALSE),"")</f>
        <v/>
      </c>
    </row>
    <row r="334" spans="2:8" x14ac:dyDescent="0.25">
      <c r="B334" s="82"/>
      <c r="C334" s="107" t="str">
        <f t="shared" si="5"/>
        <v/>
      </c>
      <c r="G334" t="str">
        <f>IF(ISTEXT(A334),VLOOKUP($A334,'Price  List'!B:G,3,FALSE),"")</f>
        <v/>
      </c>
      <c r="H334" t="str">
        <f>IF(ISTEXT(A334),VLOOKUP($A334,'Price  List'!B:G,4,FALSE),"")</f>
        <v/>
      </c>
    </row>
    <row r="335" spans="2:8" x14ac:dyDescent="0.25">
      <c r="B335" s="82"/>
      <c r="C335" s="107" t="str">
        <f t="shared" si="5"/>
        <v/>
      </c>
      <c r="G335" t="str">
        <f>IF(ISTEXT(A335),VLOOKUP($A335,'Price  List'!B:G,3,FALSE),"")</f>
        <v/>
      </c>
      <c r="H335" t="str">
        <f>IF(ISTEXT(A335),VLOOKUP($A335,'Price  List'!B:G,4,FALSE),"")</f>
        <v/>
      </c>
    </row>
    <row r="336" spans="2:8" x14ac:dyDescent="0.25">
      <c r="B336" s="82"/>
      <c r="C336" s="107" t="str">
        <f t="shared" si="5"/>
        <v/>
      </c>
      <c r="G336" t="str">
        <f>IF(ISTEXT(A336),VLOOKUP($A336,'Price  List'!B:G,3,FALSE),"")</f>
        <v/>
      </c>
      <c r="H336" t="str">
        <f>IF(ISTEXT(A336),VLOOKUP($A336,'Price  List'!B:G,4,FALSE),"")</f>
        <v/>
      </c>
    </row>
    <row r="337" spans="2:8" x14ac:dyDescent="0.25">
      <c r="B337" s="82"/>
      <c r="C337" s="107" t="str">
        <f t="shared" si="5"/>
        <v/>
      </c>
      <c r="G337" t="str">
        <f>IF(ISTEXT(A337),VLOOKUP($A337,'Price  List'!B:G,3,FALSE),"")</f>
        <v/>
      </c>
      <c r="H337" t="str">
        <f>IF(ISTEXT(A337),VLOOKUP($A337,'Price  List'!B:G,4,FALSE),"")</f>
        <v/>
      </c>
    </row>
    <row r="338" spans="2:8" x14ac:dyDescent="0.25">
      <c r="B338" s="82"/>
      <c r="C338" s="107" t="str">
        <f t="shared" si="5"/>
        <v/>
      </c>
      <c r="G338" t="str">
        <f>IF(ISTEXT(A338),VLOOKUP($A338,'Price  List'!B:G,3,FALSE),"")</f>
        <v/>
      </c>
      <c r="H338" t="str">
        <f>IF(ISTEXT(A338),VLOOKUP($A338,'Price  List'!B:G,4,FALSE),"")</f>
        <v/>
      </c>
    </row>
    <row r="339" spans="2:8" x14ac:dyDescent="0.25">
      <c r="B339" s="82"/>
      <c r="C339" s="107" t="str">
        <f t="shared" si="5"/>
        <v/>
      </c>
      <c r="G339" t="str">
        <f>IF(ISTEXT(A339),VLOOKUP($A339,'Price  List'!B:G,3,FALSE),"")</f>
        <v/>
      </c>
      <c r="H339" t="str">
        <f>IF(ISTEXT(A339),VLOOKUP($A339,'Price  List'!B:G,4,FALSE),"")</f>
        <v/>
      </c>
    </row>
    <row r="340" spans="2:8" x14ac:dyDescent="0.25">
      <c r="B340" s="82"/>
      <c r="C340" s="107" t="str">
        <f t="shared" si="5"/>
        <v/>
      </c>
      <c r="G340" t="str">
        <f>IF(ISTEXT(A340),VLOOKUP($A340,'Price  List'!B:G,3,FALSE),"")</f>
        <v/>
      </c>
      <c r="H340" t="str">
        <f>IF(ISTEXT(A340),VLOOKUP($A340,'Price  List'!B:G,4,FALSE),"")</f>
        <v/>
      </c>
    </row>
    <row r="341" spans="2:8" x14ac:dyDescent="0.25">
      <c r="B341" s="82"/>
      <c r="C341" s="107" t="str">
        <f t="shared" si="5"/>
        <v/>
      </c>
      <c r="G341" t="str">
        <f>IF(ISTEXT(A341),VLOOKUP($A341,'Price  List'!B:G,3,FALSE),"")</f>
        <v/>
      </c>
      <c r="H341" t="str">
        <f>IF(ISTEXT(A341),VLOOKUP($A341,'Price  List'!B:G,4,FALSE),"")</f>
        <v/>
      </c>
    </row>
    <row r="342" spans="2:8" x14ac:dyDescent="0.25">
      <c r="B342" s="82"/>
      <c r="C342" s="107" t="str">
        <f t="shared" si="5"/>
        <v/>
      </c>
      <c r="G342" t="str">
        <f>IF(ISTEXT(A342),VLOOKUP($A342,'Price  List'!B:G,3,FALSE),"")</f>
        <v/>
      </c>
      <c r="H342" t="str">
        <f>IF(ISTEXT(A342),VLOOKUP($A342,'Price  List'!B:G,4,FALSE),"")</f>
        <v/>
      </c>
    </row>
    <row r="343" spans="2:8" x14ac:dyDescent="0.25">
      <c r="B343" s="82"/>
      <c r="C343" s="107" t="str">
        <f t="shared" si="5"/>
        <v/>
      </c>
      <c r="G343" t="str">
        <f>IF(ISTEXT(A343),VLOOKUP($A343,'Price  List'!B:G,3,FALSE),"")</f>
        <v/>
      </c>
      <c r="H343" t="str">
        <f>IF(ISTEXT(A343),VLOOKUP($A343,'Price  List'!B:G,4,FALSE),"")</f>
        <v/>
      </c>
    </row>
    <row r="344" spans="2:8" x14ac:dyDescent="0.25">
      <c r="B344" s="82"/>
      <c r="C344" s="107" t="str">
        <f t="shared" si="5"/>
        <v/>
      </c>
      <c r="G344" t="str">
        <f>IF(ISTEXT(A344),VLOOKUP($A344,'Price  List'!B:G,3,FALSE),"")</f>
        <v/>
      </c>
      <c r="H344" t="str">
        <f>IF(ISTEXT(A344),VLOOKUP($A344,'Price  List'!B:G,4,FALSE),"")</f>
        <v/>
      </c>
    </row>
    <row r="345" spans="2:8" x14ac:dyDescent="0.25">
      <c r="B345" s="82"/>
      <c r="C345" s="107" t="str">
        <f t="shared" si="5"/>
        <v/>
      </c>
      <c r="G345" t="str">
        <f>IF(ISTEXT(A345),VLOOKUP($A345,'Price  List'!B:G,3,FALSE),"")</f>
        <v/>
      </c>
      <c r="H345" t="str">
        <f>IF(ISTEXT(A345),VLOOKUP($A345,'Price  List'!B:G,4,FALSE),"")</f>
        <v/>
      </c>
    </row>
    <row r="346" spans="2:8" x14ac:dyDescent="0.25">
      <c r="B346" s="82"/>
      <c r="C346" s="107" t="str">
        <f t="shared" si="5"/>
        <v/>
      </c>
      <c r="G346" t="str">
        <f>IF(ISTEXT(A346),VLOOKUP($A346,'Price  List'!B:G,3,FALSE),"")</f>
        <v/>
      </c>
      <c r="H346" t="str">
        <f>IF(ISTEXT(A346),VLOOKUP($A346,'Price  List'!B:G,4,FALSE),"")</f>
        <v/>
      </c>
    </row>
    <row r="347" spans="2:8" x14ac:dyDescent="0.25">
      <c r="B347" s="82"/>
      <c r="C347" s="107" t="str">
        <f t="shared" si="5"/>
        <v/>
      </c>
      <c r="G347" t="str">
        <f>IF(ISTEXT(A347),VLOOKUP($A347,'Price  List'!B:G,3,FALSE),"")</f>
        <v/>
      </c>
      <c r="H347" t="str">
        <f>IF(ISTEXT(A347),VLOOKUP($A347,'Price  List'!B:G,4,FALSE),"")</f>
        <v/>
      </c>
    </row>
    <row r="348" spans="2:8" x14ac:dyDescent="0.25">
      <c r="B348" s="82"/>
      <c r="C348" s="107" t="str">
        <f t="shared" si="5"/>
        <v/>
      </c>
      <c r="G348" t="str">
        <f>IF(ISTEXT(A348),VLOOKUP($A348,'Price  List'!B:G,3,FALSE),"")</f>
        <v/>
      </c>
      <c r="H348" t="str">
        <f>IF(ISTEXT(A348),VLOOKUP($A348,'Price  List'!B:G,4,FALSE),"")</f>
        <v/>
      </c>
    </row>
    <row r="349" spans="2:8" x14ac:dyDescent="0.25">
      <c r="B349" s="82"/>
      <c r="C349" s="107" t="str">
        <f t="shared" si="5"/>
        <v/>
      </c>
      <c r="G349" t="str">
        <f>IF(ISTEXT(A349),VLOOKUP($A349,'Price  List'!B:G,3,FALSE),"")</f>
        <v/>
      </c>
      <c r="H349" t="str">
        <f>IF(ISTEXT(A349),VLOOKUP($A349,'Price  List'!B:G,4,FALSE),"")</f>
        <v/>
      </c>
    </row>
    <row r="350" spans="2:8" x14ac:dyDescent="0.25">
      <c r="B350" s="82"/>
      <c r="C350" s="107" t="str">
        <f t="shared" si="5"/>
        <v/>
      </c>
      <c r="G350" t="str">
        <f>IF(ISTEXT(A350),VLOOKUP($A350,'Price  List'!B:G,3,FALSE),"")</f>
        <v/>
      </c>
      <c r="H350" t="str">
        <f>IF(ISTEXT(A350),VLOOKUP($A350,'Price  List'!B:G,4,FALSE),"")</f>
        <v/>
      </c>
    </row>
    <row r="351" spans="2:8" x14ac:dyDescent="0.25">
      <c r="B351" s="82"/>
      <c r="C351" s="107" t="str">
        <f t="shared" si="5"/>
        <v/>
      </c>
      <c r="G351" t="str">
        <f>IF(ISTEXT(A351),VLOOKUP($A351,'Price  List'!B:G,3,FALSE),"")</f>
        <v/>
      </c>
      <c r="H351" t="str">
        <f>IF(ISTEXT(A351),VLOOKUP($A351,'Price  List'!B:G,4,FALSE),"")</f>
        <v/>
      </c>
    </row>
    <row r="352" spans="2:8" x14ac:dyDescent="0.25">
      <c r="B352" s="82"/>
      <c r="C352" s="107" t="str">
        <f t="shared" si="5"/>
        <v/>
      </c>
      <c r="G352" t="str">
        <f>IF(ISTEXT(A352),VLOOKUP($A352,'Price  List'!B:G,3,FALSE),"")</f>
        <v/>
      </c>
      <c r="H352" t="str">
        <f>IF(ISTEXT(A352),VLOOKUP($A352,'Price  List'!B:G,4,FALSE),"")</f>
        <v/>
      </c>
    </row>
    <row r="353" spans="2:8" x14ac:dyDescent="0.25">
      <c r="B353" s="82"/>
      <c r="C353" s="107" t="str">
        <f t="shared" si="5"/>
        <v/>
      </c>
      <c r="G353" t="str">
        <f>IF(ISTEXT(A353),VLOOKUP($A353,'Price  List'!B:G,3,FALSE),"")</f>
        <v/>
      </c>
      <c r="H353" t="str">
        <f>IF(ISTEXT(A353),VLOOKUP($A353,'Price  List'!B:G,4,FALSE),"")</f>
        <v/>
      </c>
    </row>
    <row r="354" spans="2:8" x14ac:dyDescent="0.25">
      <c r="B354" s="82"/>
      <c r="C354" s="107" t="str">
        <f t="shared" si="5"/>
        <v/>
      </c>
      <c r="G354" t="str">
        <f>IF(ISTEXT(A354),VLOOKUP($A354,'Price  List'!B:G,3,FALSE),"")</f>
        <v/>
      </c>
      <c r="H354" t="str">
        <f>IF(ISTEXT(A354),VLOOKUP($A354,'Price  List'!B:G,4,FALSE),"")</f>
        <v/>
      </c>
    </row>
    <row r="355" spans="2:8" x14ac:dyDescent="0.25">
      <c r="B355" s="82"/>
      <c r="C355" s="107" t="str">
        <f t="shared" si="5"/>
        <v/>
      </c>
      <c r="G355" t="str">
        <f>IF(ISTEXT(A355),VLOOKUP($A355,'Price  List'!B:G,3,FALSE),"")</f>
        <v/>
      </c>
      <c r="H355" t="str">
        <f>IF(ISTEXT(A355),VLOOKUP($A355,'Price  List'!B:G,4,FALSE),"")</f>
        <v/>
      </c>
    </row>
    <row r="356" spans="2:8" x14ac:dyDescent="0.25">
      <c r="B356" s="82"/>
      <c r="C356" s="107" t="str">
        <f t="shared" si="5"/>
        <v/>
      </c>
      <c r="G356" t="str">
        <f>IF(ISTEXT(A356),VLOOKUP($A356,'Price  List'!B:G,3,FALSE),"")</f>
        <v/>
      </c>
      <c r="H356" t="str">
        <f>IF(ISTEXT(A356),VLOOKUP($A356,'Price  List'!B:G,4,FALSE),"")</f>
        <v/>
      </c>
    </row>
    <row r="357" spans="2:8" x14ac:dyDescent="0.25">
      <c r="B357" s="82"/>
      <c r="C357" s="107" t="str">
        <f t="shared" si="5"/>
        <v/>
      </c>
      <c r="G357" t="str">
        <f>IF(ISTEXT(A357),VLOOKUP($A357,'Price  List'!B:G,3,FALSE),"")</f>
        <v/>
      </c>
      <c r="H357" t="str">
        <f>IF(ISTEXT(A357),VLOOKUP($A357,'Price  List'!B:G,4,FALSE),"")</f>
        <v/>
      </c>
    </row>
    <row r="358" spans="2:8" x14ac:dyDescent="0.25">
      <c r="B358" s="82"/>
      <c r="C358" s="107" t="str">
        <f t="shared" si="5"/>
        <v/>
      </c>
      <c r="G358" t="str">
        <f>IF(ISTEXT(A358),VLOOKUP($A358,'Price  List'!B:G,3,FALSE),"")</f>
        <v/>
      </c>
      <c r="H358" t="str">
        <f>IF(ISTEXT(A358),VLOOKUP($A358,'Price  List'!B:G,4,FALSE),"")</f>
        <v/>
      </c>
    </row>
    <row r="359" spans="2:8" x14ac:dyDescent="0.25">
      <c r="B359" s="82"/>
      <c r="C359" s="107" t="str">
        <f t="shared" si="5"/>
        <v/>
      </c>
      <c r="G359" t="str">
        <f>IF(ISTEXT(A359),VLOOKUP($A359,'Price  List'!B:G,3,FALSE),"")</f>
        <v/>
      </c>
      <c r="H359" t="str">
        <f>IF(ISTEXT(A359),VLOOKUP($A359,'Price  List'!B:G,4,FALSE),"")</f>
        <v/>
      </c>
    </row>
    <row r="360" spans="2:8" x14ac:dyDescent="0.25">
      <c r="B360" s="82"/>
      <c r="C360" s="107" t="str">
        <f t="shared" si="5"/>
        <v/>
      </c>
      <c r="G360" t="str">
        <f>IF(ISTEXT(A360),VLOOKUP($A360,'Price  List'!B:G,3,FALSE),"")</f>
        <v/>
      </c>
      <c r="H360" t="str">
        <f>IF(ISTEXT(A360),VLOOKUP($A360,'Price  List'!B:G,4,FALSE),"")</f>
        <v/>
      </c>
    </row>
    <row r="361" spans="2:8" x14ac:dyDescent="0.25">
      <c r="B361" s="82"/>
      <c r="C361" s="107" t="str">
        <f t="shared" si="5"/>
        <v/>
      </c>
      <c r="G361" t="str">
        <f>IF(ISTEXT(A361),VLOOKUP($A361,'Price  List'!B:G,3,FALSE),"")</f>
        <v/>
      </c>
      <c r="H361" t="str">
        <f>IF(ISTEXT(A361),VLOOKUP($A361,'Price  List'!B:G,4,FALSE),"")</f>
        <v/>
      </c>
    </row>
    <row r="362" spans="2:8" x14ac:dyDescent="0.25">
      <c r="B362" s="82"/>
      <c r="C362" s="107" t="str">
        <f t="shared" si="5"/>
        <v/>
      </c>
      <c r="G362" t="str">
        <f>IF(ISTEXT(A362),VLOOKUP($A362,'Price  List'!B:G,3,FALSE),"")</f>
        <v/>
      </c>
      <c r="H362" t="str">
        <f>IF(ISTEXT(A362),VLOOKUP($A362,'Price  List'!B:G,4,FALSE),"")</f>
        <v/>
      </c>
    </row>
    <row r="363" spans="2:8" x14ac:dyDescent="0.25">
      <c r="B363" s="82"/>
      <c r="C363" s="107" t="str">
        <f t="shared" si="5"/>
        <v/>
      </c>
      <c r="G363" t="str">
        <f>IF(ISTEXT(A363),VLOOKUP($A363,'Price  List'!B:G,3,FALSE),"")</f>
        <v/>
      </c>
      <c r="H363" t="str">
        <f>IF(ISTEXT(A363),VLOOKUP($A363,'Price  List'!B:G,4,FALSE),"")</f>
        <v/>
      </c>
    </row>
    <row r="364" spans="2:8" x14ac:dyDescent="0.25">
      <c r="B364" s="82"/>
      <c r="C364" s="107" t="str">
        <f t="shared" si="5"/>
        <v/>
      </c>
      <c r="G364" t="str">
        <f>IF(ISTEXT(A364),VLOOKUP($A364,'Price  List'!B:G,3,FALSE),"")</f>
        <v/>
      </c>
      <c r="H364" t="str">
        <f>IF(ISTEXT(A364),VLOOKUP($A364,'Price  List'!B:G,4,FALSE),"")</f>
        <v/>
      </c>
    </row>
    <row r="365" spans="2:8" x14ac:dyDescent="0.25">
      <c r="B365" s="82"/>
      <c r="C365" s="107" t="str">
        <f t="shared" si="5"/>
        <v/>
      </c>
      <c r="G365" t="str">
        <f>IF(ISTEXT(A365),VLOOKUP($A365,'Price  List'!B:G,3,FALSE),"")</f>
        <v/>
      </c>
      <c r="H365" t="str">
        <f>IF(ISTEXT(A365),VLOOKUP($A365,'Price  List'!B:G,4,FALSE),"")</f>
        <v/>
      </c>
    </row>
    <row r="366" spans="2:8" x14ac:dyDescent="0.25">
      <c r="B366" s="82"/>
      <c r="C366" s="107" t="str">
        <f t="shared" si="5"/>
        <v/>
      </c>
      <c r="G366" t="str">
        <f>IF(ISTEXT(A366),VLOOKUP($A366,'Price  List'!B:G,3,FALSE),"")</f>
        <v/>
      </c>
      <c r="H366" t="str">
        <f>IF(ISTEXT(A366),VLOOKUP($A366,'Price  List'!B:G,4,FALSE),"")</f>
        <v/>
      </c>
    </row>
    <row r="367" spans="2:8" x14ac:dyDescent="0.25">
      <c r="B367" s="82"/>
      <c r="C367" s="107" t="str">
        <f t="shared" si="5"/>
        <v/>
      </c>
      <c r="G367" t="str">
        <f>IF(ISTEXT(A367),VLOOKUP($A367,'Price  List'!B:G,3,FALSE),"")</f>
        <v/>
      </c>
      <c r="H367" t="str">
        <f>IF(ISTEXT(A367),VLOOKUP($A367,'Price  List'!B:G,4,FALSE),"")</f>
        <v/>
      </c>
    </row>
    <row r="368" spans="2:8" x14ac:dyDescent="0.25">
      <c r="B368" s="82"/>
      <c r="C368" s="107" t="str">
        <f t="shared" si="5"/>
        <v/>
      </c>
      <c r="G368" t="str">
        <f>IF(ISTEXT(A368),VLOOKUP($A368,'Price  List'!B:G,3,FALSE),"")</f>
        <v/>
      </c>
      <c r="H368" t="str">
        <f>IF(ISTEXT(A368),VLOOKUP($A368,'Price  List'!B:G,4,FALSE),"")</f>
        <v/>
      </c>
    </row>
    <row r="369" spans="2:8" x14ac:dyDescent="0.25">
      <c r="B369" s="82"/>
      <c r="C369" s="107" t="str">
        <f t="shared" si="5"/>
        <v/>
      </c>
      <c r="G369" t="str">
        <f>IF(ISTEXT(A369),VLOOKUP($A369,'Price  List'!B:G,3,FALSE),"")</f>
        <v/>
      </c>
      <c r="H369" t="str">
        <f>IF(ISTEXT(A369),VLOOKUP($A369,'Price  List'!B:G,4,FALSE),"")</f>
        <v/>
      </c>
    </row>
    <row r="370" spans="2:8" x14ac:dyDescent="0.25">
      <c r="B370" s="82"/>
      <c r="C370" s="107" t="str">
        <f t="shared" si="5"/>
        <v/>
      </c>
      <c r="G370" t="str">
        <f>IF(ISTEXT(A370),VLOOKUP($A370,'Price  List'!B:G,3,FALSE),"")</f>
        <v/>
      </c>
      <c r="H370" t="str">
        <f>IF(ISTEXT(A370),VLOOKUP($A370,'Price  List'!B:G,4,FALSE),"")</f>
        <v/>
      </c>
    </row>
    <row r="371" spans="2:8" x14ac:dyDescent="0.25">
      <c r="B371" s="82"/>
      <c r="C371" s="107" t="str">
        <f t="shared" si="5"/>
        <v/>
      </c>
      <c r="G371" t="str">
        <f>IF(ISTEXT(A371),VLOOKUP($A371,'Price  List'!B:G,3,FALSE),"")</f>
        <v/>
      </c>
      <c r="H371" t="str">
        <f>IF(ISTEXT(A371),VLOOKUP($A371,'Price  List'!B:G,4,FALSE),"")</f>
        <v/>
      </c>
    </row>
    <row r="372" spans="2:8" x14ac:dyDescent="0.25">
      <c r="B372" s="82"/>
      <c r="C372" s="107" t="str">
        <f t="shared" si="5"/>
        <v/>
      </c>
      <c r="G372" t="str">
        <f>IF(ISTEXT(A372),VLOOKUP($A372,'Price  List'!B:G,3,FALSE),"")</f>
        <v/>
      </c>
      <c r="H372" t="str">
        <f>IF(ISTEXT(A372),VLOOKUP($A372,'Price  List'!B:G,4,FALSE),"")</f>
        <v/>
      </c>
    </row>
    <row r="373" spans="2:8" x14ac:dyDescent="0.25">
      <c r="B373" s="82"/>
      <c r="C373" s="107" t="str">
        <f t="shared" si="5"/>
        <v/>
      </c>
      <c r="G373" t="str">
        <f>IF(ISTEXT(A373),VLOOKUP($A373,'Price  List'!B:G,3,FALSE),"")</f>
        <v/>
      </c>
      <c r="H373" t="str">
        <f>IF(ISTEXT(A373),VLOOKUP($A373,'Price  List'!B:G,4,FALSE),"")</f>
        <v/>
      </c>
    </row>
    <row r="374" spans="2:8" x14ac:dyDescent="0.25">
      <c r="B374" s="82"/>
      <c r="C374" s="107" t="str">
        <f t="shared" si="5"/>
        <v/>
      </c>
      <c r="G374" t="str">
        <f>IF(ISTEXT(A374),VLOOKUP($A374,'Price  List'!B:G,3,FALSE),"")</f>
        <v/>
      </c>
      <c r="H374" t="str">
        <f>IF(ISTEXT(A374),VLOOKUP($A374,'Price  List'!B:G,4,FALSE),"")</f>
        <v/>
      </c>
    </row>
    <row r="375" spans="2:8" x14ac:dyDescent="0.25">
      <c r="B375" s="82"/>
      <c r="C375" s="107" t="str">
        <f t="shared" si="5"/>
        <v/>
      </c>
      <c r="G375" t="str">
        <f>IF(ISTEXT(A375),VLOOKUP($A375,'Price  List'!B:G,3,FALSE),"")</f>
        <v/>
      </c>
      <c r="H375" t="str">
        <f>IF(ISTEXT(A375),VLOOKUP($A375,'Price  List'!B:G,4,FALSE),"")</f>
        <v/>
      </c>
    </row>
    <row r="376" spans="2:8" x14ac:dyDescent="0.25">
      <c r="B376" s="82"/>
      <c r="C376" s="107" t="str">
        <f t="shared" si="5"/>
        <v/>
      </c>
      <c r="G376" t="str">
        <f>IF(ISTEXT(A376),VLOOKUP($A376,'Price  List'!B:G,3,FALSE),"")</f>
        <v/>
      </c>
      <c r="H376" t="str">
        <f>IF(ISTEXT(A376),VLOOKUP($A376,'Price  List'!B:G,4,FALSE),"")</f>
        <v/>
      </c>
    </row>
    <row r="377" spans="2:8" x14ac:dyDescent="0.25">
      <c r="B377" s="82"/>
      <c r="C377" s="107" t="str">
        <f t="shared" si="5"/>
        <v/>
      </c>
      <c r="G377" t="str">
        <f>IF(ISTEXT(A377),VLOOKUP($A377,'Price  List'!B:G,3,FALSE),"")</f>
        <v/>
      </c>
      <c r="H377" t="str">
        <f>IF(ISTEXT(A377),VLOOKUP($A377,'Price  List'!B:G,4,FALSE),"")</f>
        <v/>
      </c>
    </row>
    <row r="378" spans="2:8" x14ac:dyDescent="0.25">
      <c r="B378" s="82"/>
      <c r="C378" s="107" t="str">
        <f t="shared" si="5"/>
        <v/>
      </c>
      <c r="G378" t="str">
        <f>IF(ISTEXT(A378),VLOOKUP($A378,'Price  List'!B:G,3,FALSE),"")</f>
        <v/>
      </c>
      <c r="H378" t="str">
        <f>IF(ISTEXT(A378),VLOOKUP($A378,'Price  List'!B:G,4,FALSE),"")</f>
        <v/>
      </c>
    </row>
    <row r="379" spans="2:8" x14ac:dyDescent="0.25">
      <c r="B379" s="82"/>
      <c r="C379" s="107" t="str">
        <f t="shared" si="5"/>
        <v/>
      </c>
      <c r="G379" t="str">
        <f>IF(ISTEXT(A379),VLOOKUP($A379,'Price  List'!B:G,3,FALSE),"")</f>
        <v/>
      </c>
      <c r="H379" t="str">
        <f>IF(ISTEXT(A379),VLOOKUP($A379,'Price  List'!B:G,4,FALSE),"")</f>
        <v/>
      </c>
    </row>
    <row r="380" spans="2:8" x14ac:dyDescent="0.25">
      <c r="B380" s="82"/>
      <c r="C380" s="107" t="str">
        <f t="shared" si="5"/>
        <v/>
      </c>
      <c r="G380" t="str">
        <f>IF(ISTEXT(A380),VLOOKUP($A380,'Price  List'!B:G,3,FALSE),"")</f>
        <v/>
      </c>
      <c r="H380" t="str">
        <f>IF(ISTEXT(A380),VLOOKUP($A380,'Price  List'!B:G,4,FALSE),"")</f>
        <v/>
      </c>
    </row>
    <row r="381" spans="2:8" x14ac:dyDescent="0.25">
      <c r="B381" s="82"/>
      <c r="C381" s="107" t="str">
        <f t="shared" si="5"/>
        <v/>
      </c>
      <c r="G381" t="str">
        <f>IF(ISTEXT(A381),VLOOKUP($A381,'Price  List'!B:G,3,FALSE),"")</f>
        <v/>
      </c>
      <c r="H381" t="str">
        <f>IF(ISTEXT(A381),VLOOKUP($A381,'Price  List'!B:G,4,FALSE),"")</f>
        <v/>
      </c>
    </row>
    <row r="382" spans="2:8" x14ac:dyDescent="0.25">
      <c r="B382" s="82"/>
      <c r="C382" s="107" t="str">
        <f t="shared" si="5"/>
        <v/>
      </c>
      <c r="G382" t="str">
        <f>IF(ISTEXT(A382),VLOOKUP($A382,'Price  List'!B:G,3,FALSE),"")</f>
        <v/>
      </c>
      <c r="H382" t="str">
        <f>IF(ISTEXT(A382),VLOOKUP($A382,'Price  List'!B:G,4,FALSE),"")</f>
        <v/>
      </c>
    </row>
    <row r="383" spans="2:8" x14ac:dyDescent="0.25">
      <c r="B383" s="82"/>
      <c r="C383" s="107" t="str">
        <f t="shared" si="5"/>
        <v/>
      </c>
      <c r="G383" t="str">
        <f>IF(ISTEXT(A383),VLOOKUP($A383,'Price  List'!B:G,3,FALSE),"")</f>
        <v/>
      </c>
      <c r="H383" t="str">
        <f>IF(ISTEXT(A383),VLOOKUP($A383,'Price  List'!B:G,4,FALSE),"")</f>
        <v/>
      </c>
    </row>
    <row r="384" spans="2:8" x14ac:dyDescent="0.25">
      <c r="B384" s="82"/>
      <c r="C384" s="107" t="str">
        <f t="shared" si="5"/>
        <v/>
      </c>
      <c r="G384" t="str">
        <f>IF(ISTEXT(A384),VLOOKUP($A384,'Price  List'!B:G,3,FALSE),"")</f>
        <v/>
      </c>
      <c r="H384" t="str">
        <f>IF(ISTEXT(A384),VLOOKUP($A384,'Price  List'!B:G,4,FALSE),"")</f>
        <v/>
      </c>
    </row>
    <row r="385" spans="2:8" x14ac:dyDescent="0.25">
      <c r="B385" s="82"/>
      <c r="C385" s="107" t="str">
        <f t="shared" si="5"/>
        <v/>
      </c>
      <c r="G385" t="str">
        <f>IF(ISTEXT(A385),VLOOKUP($A385,'Price  List'!B:G,3,FALSE),"")</f>
        <v/>
      </c>
      <c r="H385" t="str">
        <f>IF(ISTEXT(A385),VLOOKUP($A385,'Price  List'!B:G,4,FALSE),"")</f>
        <v/>
      </c>
    </row>
    <row r="386" spans="2:8" x14ac:dyDescent="0.25">
      <c r="B386" s="82"/>
      <c r="C386" s="107" t="str">
        <f t="shared" si="5"/>
        <v/>
      </c>
      <c r="G386" t="str">
        <f>IF(ISTEXT(A386),VLOOKUP($A386,'Price  List'!B:G,3,FALSE),"")</f>
        <v/>
      </c>
      <c r="H386" t="str">
        <f>IF(ISTEXT(A386),VLOOKUP($A386,'Price  List'!B:G,4,FALSE),"")</f>
        <v/>
      </c>
    </row>
    <row r="387" spans="2:8" x14ac:dyDescent="0.25">
      <c r="B387" s="82"/>
      <c r="C387" s="107" t="str">
        <f t="shared" si="5"/>
        <v/>
      </c>
      <c r="G387" t="str">
        <f>IF(ISTEXT(A387),VLOOKUP($A387,'Price  List'!B:G,3,FALSE),"")</f>
        <v/>
      </c>
      <c r="H387" t="str">
        <f>IF(ISTEXT(A387),VLOOKUP($A387,'Price  List'!B:G,4,FALSE),"")</f>
        <v/>
      </c>
    </row>
    <row r="388" spans="2:8" x14ac:dyDescent="0.25">
      <c r="B388" s="82"/>
      <c r="C388" s="107" t="str">
        <f t="shared" ref="C388:C451" si="6">IF(ISTEXT(A388),"stock","")</f>
        <v/>
      </c>
      <c r="G388" t="str">
        <f>IF(ISTEXT(A388),VLOOKUP($A388,'Price  List'!B:G,3,FALSE),"")</f>
        <v/>
      </c>
      <c r="H388" t="str">
        <f>IF(ISTEXT(A388),VLOOKUP($A388,'Price  List'!B:G,4,FALSE),"")</f>
        <v/>
      </c>
    </row>
    <row r="389" spans="2:8" x14ac:dyDescent="0.25">
      <c r="B389" s="82"/>
      <c r="C389" s="107" t="str">
        <f t="shared" si="6"/>
        <v/>
      </c>
      <c r="G389" t="str">
        <f>IF(ISTEXT(A389),VLOOKUP($A389,'Price  List'!B:G,3,FALSE),"")</f>
        <v/>
      </c>
      <c r="H389" t="str">
        <f>IF(ISTEXT(A389),VLOOKUP($A389,'Price  List'!B:G,4,FALSE),"")</f>
        <v/>
      </c>
    </row>
    <row r="390" spans="2:8" x14ac:dyDescent="0.25">
      <c r="B390" s="82"/>
      <c r="C390" s="107" t="str">
        <f t="shared" si="6"/>
        <v/>
      </c>
      <c r="G390" t="str">
        <f>IF(ISTEXT(A390),VLOOKUP($A390,'Price  List'!B:G,3,FALSE),"")</f>
        <v/>
      </c>
      <c r="H390" t="str">
        <f>IF(ISTEXT(A390),VLOOKUP($A390,'Price  List'!B:G,4,FALSE),"")</f>
        <v/>
      </c>
    </row>
    <row r="391" spans="2:8" x14ac:dyDescent="0.25">
      <c r="B391" s="82"/>
      <c r="C391" s="107" t="str">
        <f t="shared" si="6"/>
        <v/>
      </c>
      <c r="G391" t="str">
        <f>IF(ISTEXT(A391),VLOOKUP($A391,'Price  List'!B:G,3,FALSE),"")</f>
        <v/>
      </c>
      <c r="H391" t="str">
        <f>IF(ISTEXT(A391),VLOOKUP($A391,'Price  List'!B:G,4,FALSE),"")</f>
        <v/>
      </c>
    </row>
    <row r="392" spans="2:8" x14ac:dyDescent="0.25">
      <c r="B392" s="82"/>
      <c r="C392" s="107" t="str">
        <f t="shared" si="6"/>
        <v/>
      </c>
      <c r="G392" t="str">
        <f>IF(ISTEXT(A392),VLOOKUP($A392,'Price  List'!B:G,3,FALSE),"")</f>
        <v/>
      </c>
      <c r="H392" t="str">
        <f>IF(ISTEXT(A392),VLOOKUP($A392,'Price  List'!B:G,4,FALSE),"")</f>
        <v/>
      </c>
    </row>
    <row r="393" spans="2:8" x14ac:dyDescent="0.25">
      <c r="B393" s="82"/>
      <c r="C393" s="107" t="str">
        <f t="shared" si="6"/>
        <v/>
      </c>
      <c r="G393" t="str">
        <f>IF(ISTEXT(A393),VLOOKUP($A393,'Price  List'!B:G,3,FALSE),"")</f>
        <v/>
      </c>
      <c r="H393" t="str">
        <f>IF(ISTEXT(A393),VLOOKUP($A393,'Price  List'!B:G,4,FALSE),"")</f>
        <v/>
      </c>
    </row>
    <row r="394" spans="2:8" x14ac:dyDescent="0.25">
      <c r="B394" s="82"/>
      <c r="C394" s="107" t="str">
        <f t="shared" si="6"/>
        <v/>
      </c>
      <c r="G394" t="str">
        <f>IF(ISTEXT(A394),VLOOKUP($A394,'Price  List'!B:G,3,FALSE),"")</f>
        <v/>
      </c>
      <c r="H394" t="str">
        <f>IF(ISTEXT(A394),VLOOKUP($A394,'Price  List'!B:G,4,FALSE),"")</f>
        <v/>
      </c>
    </row>
    <row r="395" spans="2:8" x14ac:dyDescent="0.25">
      <c r="B395" s="82"/>
      <c r="C395" s="107" t="str">
        <f t="shared" si="6"/>
        <v/>
      </c>
      <c r="G395" t="str">
        <f>IF(ISTEXT(A395),VLOOKUP($A395,'Price  List'!B:G,3,FALSE),"")</f>
        <v/>
      </c>
      <c r="H395" t="str">
        <f>IF(ISTEXT(A395),VLOOKUP($A395,'Price  List'!B:G,4,FALSE),"")</f>
        <v/>
      </c>
    </row>
    <row r="396" spans="2:8" x14ac:dyDescent="0.25">
      <c r="B396" s="82"/>
      <c r="C396" s="107" t="str">
        <f t="shared" si="6"/>
        <v/>
      </c>
      <c r="G396" t="str">
        <f>IF(ISTEXT(A396),VLOOKUP($A396,'Price  List'!B:G,3,FALSE),"")</f>
        <v/>
      </c>
      <c r="H396" t="str">
        <f>IF(ISTEXT(A396),VLOOKUP($A396,'Price  List'!B:G,4,FALSE),"")</f>
        <v/>
      </c>
    </row>
    <row r="397" spans="2:8" x14ac:dyDescent="0.25">
      <c r="B397" s="82"/>
      <c r="C397" s="107" t="str">
        <f t="shared" si="6"/>
        <v/>
      </c>
      <c r="G397" t="str">
        <f>IF(ISTEXT(A397),VLOOKUP($A397,'Price  List'!B:G,3,FALSE),"")</f>
        <v/>
      </c>
      <c r="H397" t="str">
        <f>IF(ISTEXT(A397),VLOOKUP($A397,'Price  List'!B:G,4,FALSE),"")</f>
        <v/>
      </c>
    </row>
    <row r="398" spans="2:8" x14ac:dyDescent="0.25">
      <c r="B398" s="82"/>
      <c r="C398" s="107" t="str">
        <f t="shared" si="6"/>
        <v/>
      </c>
      <c r="G398" t="str">
        <f>IF(ISTEXT(A398),VLOOKUP($A398,'Price  List'!B:G,3,FALSE),"")</f>
        <v/>
      </c>
      <c r="H398" t="str">
        <f>IF(ISTEXT(A398),VLOOKUP($A398,'Price  List'!B:G,4,FALSE),"")</f>
        <v/>
      </c>
    </row>
    <row r="399" spans="2:8" x14ac:dyDescent="0.25">
      <c r="B399" s="82"/>
      <c r="C399" s="107" t="str">
        <f t="shared" si="6"/>
        <v/>
      </c>
      <c r="G399" t="str">
        <f>IF(ISTEXT(A399),VLOOKUP($A399,'Price  List'!B:G,3,FALSE),"")</f>
        <v/>
      </c>
      <c r="H399" t="str">
        <f>IF(ISTEXT(A399),VLOOKUP($A399,'Price  List'!B:G,4,FALSE),"")</f>
        <v/>
      </c>
    </row>
    <row r="400" spans="2:8" x14ac:dyDescent="0.25">
      <c r="B400" s="82"/>
      <c r="C400" s="107" t="str">
        <f t="shared" si="6"/>
        <v/>
      </c>
      <c r="G400" t="str">
        <f>IF(ISTEXT(A400),VLOOKUP($A400,'Price  List'!B:G,3,FALSE),"")</f>
        <v/>
      </c>
      <c r="H400" t="str">
        <f>IF(ISTEXT(A400),VLOOKUP($A400,'Price  List'!B:G,4,FALSE),"")</f>
        <v/>
      </c>
    </row>
    <row r="401" spans="2:8" x14ac:dyDescent="0.25">
      <c r="B401" s="82"/>
      <c r="C401" s="107" t="str">
        <f t="shared" si="6"/>
        <v/>
      </c>
      <c r="G401" t="str">
        <f>IF(ISTEXT(A401),VLOOKUP($A401,'Price  List'!B:G,3,FALSE),"")</f>
        <v/>
      </c>
      <c r="H401" t="str">
        <f>IF(ISTEXT(A401),VLOOKUP($A401,'Price  List'!B:G,4,FALSE),"")</f>
        <v/>
      </c>
    </row>
    <row r="402" spans="2:8" x14ac:dyDescent="0.25">
      <c r="B402" s="82"/>
      <c r="C402" s="107" t="str">
        <f t="shared" si="6"/>
        <v/>
      </c>
      <c r="G402" t="str">
        <f>IF(ISTEXT(A402),VLOOKUP($A402,'Price  List'!B:G,3,FALSE),"")</f>
        <v/>
      </c>
      <c r="H402" t="str">
        <f>IF(ISTEXT(A402),VLOOKUP($A402,'Price  List'!B:G,4,FALSE),"")</f>
        <v/>
      </c>
    </row>
    <row r="403" spans="2:8" x14ac:dyDescent="0.25">
      <c r="B403" s="82"/>
      <c r="C403" s="107" t="str">
        <f t="shared" si="6"/>
        <v/>
      </c>
      <c r="G403" t="str">
        <f>IF(ISTEXT(A403),VLOOKUP($A403,'Price  List'!B:G,3,FALSE),"")</f>
        <v/>
      </c>
      <c r="H403" t="str">
        <f>IF(ISTEXT(A403),VLOOKUP($A403,'Price  List'!B:G,4,FALSE),"")</f>
        <v/>
      </c>
    </row>
    <row r="404" spans="2:8" x14ac:dyDescent="0.25">
      <c r="B404" s="82"/>
      <c r="C404" s="107" t="str">
        <f t="shared" si="6"/>
        <v/>
      </c>
      <c r="G404" t="str">
        <f>IF(ISTEXT(A404),VLOOKUP($A404,'Price  List'!B:G,3,FALSE),"")</f>
        <v/>
      </c>
      <c r="H404" t="str">
        <f>IF(ISTEXT(A404),VLOOKUP($A404,'Price  List'!B:G,4,FALSE),"")</f>
        <v/>
      </c>
    </row>
    <row r="405" spans="2:8" x14ac:dyDescent="0.25">
      <c r="B405" s="82"/>
      <c r="C405" s="107" t="str">
        <f t="shared" si="6"/>
        <v/>
      </c>
      <c r="G405" t="str">
        <f>IF(ISTEXT(A405),VLOOKUP($A405,'Price  List'!B:G,3,FALSE),"")</f>
        <v/>
      </c>
      <c r="H405" t="str">
        <f>IF(ISTEXT(A405),VLOOKUP($A405,'Price  List'!B:G,4,FALSE),"")</f>
        <v/>
      </c>
    </row>
    <row r="406" spans="2:8" x14ac:dyDescent="0.25">
      <c r="B406" s="82"/>
      <c r="C406" s="107" t="str">
        <f t="shared" si="6"/>
        <v/>
      </c>
      <c r="G406" t="str">
        <f>IF(ISTEXT(A406),VLOOKUP($A406,'Price  List'!B:G,3,FALSE),"")</f>
        <v/>
      </c>
      <c r="H406" t="str">
        <f>IF(ISTEXT(A406),VLOOKUP($A406,'Price  List'!B:G,4,FALSE),"")</f>
        <v/>
      </c>
    </row>
    <row r="407" spans="2:8" x14ac:dyDescent="0.25">
      <c r="B407" s="82"/>
      <c r="C407" s="107" t="str">
        <f t="shared" si="6"/>
        <v/>
      </c>
      <c r="G407" t="str">
        <f>IF(ISTEXT(A407),VLOOKUP($A407,'Price  List'!B:G,3,FALSE),"")</f>
        <v/>
      </c>
      <c r="H407" t="str">
        <f>IF(ISTEXT(A407),VLOOKUP($A407,'Price  List'!B:G,4,FALSE),"")</f>
        <v/>
      </c>
    </row>
    <row r="408" spans="2:8" x14ac:dyDescent="0.25">
      <c r="B408" s="82"/>
      <c r="C408" s="107" t="str">
        <f t="shared" si="6"/>
        <v/>
      </c>
      <c r="G408" t="str">
        <f>IF(ISTEXT(A408),VLOOKUP($A408,'Price  List'!B:G,3,FALSE),"")</f>
        <v/>
      </c>
      <c r="H408" t="str">
        <f>IF(ISTEXT(A408),VLOOKUP($A408,'Price  List'!B:G,4,FALSE),"")</f>
        <v/>
      </c>
    </row>
    <row r="409" spans="2:8" x14ac:dyDescent="0.25">
      <c r="B409" s="82"/>
      <c r="C409" s="107" t="str">
        <f t="shared" si="6"/>
        <v/>
      </c>
      <c r="G409" t="str">
        <f>IF(ISTEXT(A409),VLOOKUP($A409,'Price  List'!B:G,3,FALSE),"")</f>
        <v/>
      </c>
      <c r="H409" t="str">
        <f>IF(ISTEXT(A409),VLOOKUP($A409,'Price  List'!B:G,4,FALSE),"")</f>
        <v/>
      </c>
    </row>
    <row r="410" spans="2:8" x14ac:dyDescent="0.25">
      <c r="B410" s="82"/>
      <c r="C410" s="107" t="str">
        <f t="shared" si="6"/>
        <v/>
      </c>
      <c r="G410" t="str">
        <f>IF(ISTEXT(A410),VLOOKUP($A410,'Price  List'!B:G,3,FALSE),"")</f>
        <v/>
      </c>
      <c r="H410" t="str">
        <f>IF(ISTEXT(A410),VLOOKUP($A410,'Price  List'!B:G,4,FALSE),"")</f>
        <v/>
      </c>
    </row>
    <row r="411" spans="2:8" x14ac:dyDescent="0.25">
      <c r="B411" s="82"/>
      <c r="C411" s="107" t="str">
        <f t="shared" si="6"/>
        <v/>
      </c>
      <c r="G411" t="str">
        <f>IF(ISTEXT(A411),VLOOKUP($A411,'Price  List'!B:G,3,FALSE),"")</f>
        <v/>
      </c>
      <c r="H411" t="str">
        <f>IF(ISTEXT(A411),VLOOKUP($A411,'Price  List'!B:G,4,FALSE),"")</f>
        <v/>
      </c>
    </row>
    <row r="412" spans="2:8" x14ac:dyDescent="0.25">
      <c r="B412" s="82"/>
      <c r="C412" s="107" t="str">
        <f t="shared" si="6"/>
        <v/>
      </c>
      <c r="G412" t="str">
        <f>IF(ISTEXT(A412),VLOOKUP($A412,'Price  List'!B:G,3,FALSE),"")</f>
        <v/>
      </c>
      <c r="H412" t="str">
        <f>IF(ISTEXT(A412),VLOOKUP($A412,'Price  List'!B:G,4,FALSE),"")</f>
        <v/>
      </c>
    </row>
    <row r="413" spans="2:8" x14ac:dyDescent="0.25">
      <c r="B413" s="82"/>
      <c r="C413" s="107" t="str">
        <f t="shared" si="6"/>
        <v/>
      </c>
      <c r="G413" t="str">
        <f>IF(ISTEXT(A413),VLOOKUP($A413,'Price  List'!B:G,3,FALSE),"")</f>
        <v/>
      </c>
      <c r="H413" t="str">
        <f>IF(ISTEXT(A413),VLOOKUP($A413,'Price  List'!B:G,4,FALSE),"")</f>
        <v/>
      </c>
    </row>
    <row r="414" spans="2:8" x14ac:dyDescent="0.25">
      <c r="B414" s="82"/>
      <c r="C414" s="107" t="str">
        <f t="shared" si="6"/>
        <v/>
      </c>
      <c r="G414" t="str">
        <f>IF(ISTEXT(A414),VLOOKUP($A414,'Price  List'!B:G,3,FALSE),"")</f>
        <v/>
      </c>
      <c r="H414" t="str">
        <f>IF(ISTEXT(A414),VLOOKUP($A414,'Price  List'!B:G,4,FALSE),"")</f>
        <v/>
      </c>
    </row>
    <row r="415" spans="2:8" x14ac:dyDescent="0.25">
      <c r="B415" s="82"/>
      <c r="C415" s="107" t="str">
        <f t="shared" si="6"/>
        <v/>
      </c>
      <c r="G415" t="str">
        <f>IF(ISTEXT(A415),VLOOKUP($A415,'Price  List'!B:G,3,FALSE),"")</f>
        <v/>
      </c>
      <c r="H415" t="str">
        <f>IF(ISTEXT(A415),VLOOKUP($A415,'Price  List'!B:G,4,FALSE),"")</f>
        <v/>
      </c>
    </row>
    <row r="416" spans="2:8" x14ac:dyDescent="0.25">
      <c r="B416" s="82"/>
      <c r="C416" s="107" t="str">
        <f t="shared" si="6"/>
        <v/>
      </c>
      <c r="G416" t="str">
        <f>IF(ISTEXT(A416),VLOOKUP($A416,'Price  List'!B:G,3,FALSE),"")</f>
        <v/>
      </c>
      <c r="H416" t="str">
        <f>IF(ISTEXT(A416),VLOOKUP($A416,'Price  List'!B:G,4,FALSE),"")</f>
        <v/>
      </c>
    </row>
    <row r="417" spans="2:8" x14ac:dyDescent="0.25">
      <c r="B417" s="82"/>
      <c r="C417" s="107" t="str">
        <f t="shared" si="6"/>
        <v/>
      </c>
      <c r="G417" t="str">
        <f>IF(ISTEXT(A417),VLOOKUP($A417,'Price  List'!B:G,3,FALSE),"")</f>
        <v/>
      </c>
      <c r="H417" t="str">
        <f>IF(ISTEXT(A417),VLOOKUP($A417,'Price  List'!B:G,4,FALSE),"")</f>
        <v/>
      </c>
    </row>
    <row r="418" spans="2:8" x14ac:dyDescent="0.25">
      <c r="B418" s="82"/>
      <c r="C418" s="107" t="str">
        <f t="shared" si="6"/>
        <v/>
      </c>
      <c r="G418" t="str">
        <f>IF(ISTEXT(A418),VLOOKUP($A418,'Price  List'!B:G,3,FALSE),"")</f>
        <v/>
      </c>
      <c r="H418" t="str">
        <f>IF(ISTEXT(A418),VLOOKUP($A418,'Price  List'!B:G,4,FALSE),"")</f>
        <v/>
      </c>
    </row>
    <row r="419" spans="2:8" x14ac:dyDescent="0.25">
      <c r="B419" s="82"/>
      <c r="C419" s="107" t="str">
        <f t="shared" si="6"/>
        <v/>
      </c>
      <c r="G419" t="str">
        <f>IF(ISTEXT(A419),VLOOKUP($A419,'Price  List'!B:G,3,FALSE),"")</f>
        <v/>
      </c>
      <c r="H419" t="str">
        <f>IF(ISTEXT(A419),VLOOKUP($A419,'Price  List'!B:G,4,FALSE),"")</f>
        <v/>
      </c>
    </row>
    <row r="420" spans="2:8" x14ac:dyDescent="0.25">
      <c r="B420" s="82"/>
      <c r="C420" s="107" t="str">
        <f t="shared" si="6"/>
        <v/>
      </c>
      <c r="G420" t="str">
        <f>IF(ISTEXT(A420),VLOOKUP($A420,'Price  List'!B:G,3,FALSE),"")</f>
        <v/>
      </c>
      <c r="H420" t="str">
        <f>IF(ISTEXT(A420),VLOOKUP($A420,'Price  List'!B:G,4,FALSE),"")</f>
        <v/>
      </c>
    </row>
    <row r="421" spans="2:8" x14ac:dyDescent="0.25">
      <c r="B421" s="82"/>
      <c r="C421" s="107" t="str">
        <f t="shared" si="6"/>
        <v/>
      </c>
      <c r="G421" t="str">
        <f>IF(ISTEXT(A421),VLOOKUP($A421,'Price  List'!B:G,3,FALSE),"")</f>
        <v/>
      </c>
      <c r="H421" t="str">
        <f>IF(ISTEXT(A421),VLOOKUP($A421,'Price  List'!B:G,4,FALSE),"")</f>
        <v/>
      </c>
    </row>
    <row r="422" spans="2:8" x14ac:dyDescent="0.25">
      <c r="B422" s="82"/>
      <c r="C422" s="107" t="str">
        <f t="shared" si="6"/>
        <v/>
      </c>
      <c r="G422" t="str">
        <f>IF(ISTEXT(A422),VLOOKUP($A422,'Price  List'!B:G,3,FALSE),"")</f>
        <v/>
      </c>
      <c r="H422" t="str">
        <f>IF(ISTEXT(A422),VLOOKUP($A422,'Price  List'!B:G,4,FALSE),"")</f>
        <v/>
      </c>
    </row>
    <row r="423" spans="2:8" x14ac:dyDescent="0.25">
      <c r="B423" s="82"/>
      <c r="C423" s="107" t="str">
        <f t="shared" si="6"/>
        <v/>
      </c>
      <c r="G423" t="str">
        <f>IF(ISTEXT(A423),VLOOKUP($A423,'Price  List'!B:G,3,FALSE),"")</f>
        <v/>
      </c>
      <c r="H423" t="str">
        <f>IF(ISTEXT(A423),VLOOKUP($A423,'Price  List'!B:G,4,FALSE),"")</f>
        <v/>
      </c>
    </row>
    <row r="424" spans="2:8" x14ac:dyDescent="0.25">
      <c r="B424" s="82"/>
      <c r="C424" s="107" t="str">
        <f t="shared" si="6"/>
        <v/>
      </c>
      <c r="G424" t="str">
        <f>IF(ISTEXT(A424),VLOOKUP($A424,'Price  List'!B:G,3,FALSE),"")</f>
        <v/>
      </c>
      <c r="H424" t="str">
        <f>IF(ISTEXT(A424),VLOOKUP($A424,'Price  List'!B:G,4,FALSE),"")</f>
        <v/>
      </c>
    </row>
    <row r="425" spans="2:8" x14ac:dyDescent="0.25">
      <c r="B425" s="82"/>
      <c r="C425" s="107" t="str">
        <f t="shared" si="6"/>
        <v/>
      </c>
      <c r="G425" t="str">
        <f>IF(ISTEXT(A425),VLOOKUP($A425,'Price  List'!B:G,3,FALSE),"")</f>
        <v/>
      </c>
      <c r="H425" t="str">
        <f>IF(ISTEXT(A425),VLOOKUP($A425,'Price  List'!B:G,4,FALSE),"")</f>
        <v/>
      </c>
    </row>
    <row r="426" spans="2:8" x14ac:dyDescent="0.25">
      <c r="B426" s="82"/>
      <c r="C426" s="107" t="str">
        <f t="shared" si="6"/>
        <v/>
      </c>
      <c r="G426" t="str">
        <f>IF(ISTEXT(A426),VLOOKUP($A426,'Price  List'!B:G,3,FALSE),"")</f>
        <v/>
      </c>
      <c r="H426" t="str">
        <f>IF(ISTEXT(A426),VLOOKUP($A426,'Price  List'!B:G,4,FALSE),"")</f>
        <v/>
      </c>
    </row>
    <row r="427" spans="2:8" x14ac:dyDescent="0.25">
      <c r="B427" s="82"/>
      <c r="C427" s="107" t="str">
        <f t="shared" si="6"/>
        <v/>
      </c>
      <c r="G427" t="str">
        <f>IF(ISTEXT(A427),VLOOKUP($A427,'Price  List'!B:G,3,FALSE),"")</f>
        <v/>
      </c>
      <c r="H427" t="str">
        <f>IF(ISTEXT(A427),VLOOKUP($A427,'Price  List'!B:G,4,FALSE),"")</f>
        <v/>
      </c>
    </row>
    <row r="428" spans="2:8" x14ac:dyDescent="0.25">
      <c r="B428" s="82"/>
      <c r="C428" s="107" t="str">
        <f t="shared" si="6"/>
        <v/>
      </c>
      <c r="G428" t="str">
        <f>IF(ISTEXT(A428),VLOOKUP($A428,'Price  List'!B:G,3,FALSE),"")</f>
        <v/>
      </c>
      <c r="H428" t="str">
        <f>IF(ISTEXT(A428),VLOOKUP($A428,'Price  List'!B:G,4,FALSE),"")</f>
        <v/>
      </c>
    </row>
    <row r="429" spans="2:8" x14ac:dyDescent="0.25">
      <c r="B429" s="82"/>
      <c r="C429" s="107" t="str">
        <f t="shared" si="6"/>
        <v/>
      </c>
      <c r="G429" t="str">
        <f>IF(ISTEXT(A429),VLOOKUP($A429,'Price  List'!B:G,3,FALSE),"")</f>
        <v/>
      </c>
      <c r="H429" t="str">
        <f>IF(ISTEXT(A429),VLOOKUP($A429,'Price  List'!B:G,4,FALSE),"")</f>
        <v/>
      </c>
    </row>
    <row r="430" spans="2:8" x14ac:dyDescent="0.25">
      <c r="B430" s="82"/>
      <c r="C430" s="107" t="str">
        <f t="shared" si="6"/>
        <v/>
      </c>
      <c r="G430" t="str">
        <f>IF(ISTEXT(A430),VLOOKUP($A430,'Price  List'!B:G,3,FALSE),"")</f>
        <v/>
      </c>
      <c r="H430" t="str">
        <f>IF(ISTEXT(A430),VLOOKUP($A430,'Price  List'!B:G,4,FALSE),"")</f>
        <v/>
      </c>
    </row>
    <row r="431" spans="2:8" x14ac:dyDescent="0.25">
      <c r="B431" s="82"/>
      <c r="C431" s="107" t="str">
        <f t="shared" si="6"/>
        <v/>
      </c>
      <c r="G431" t="str">
        <f>IF(ISTEXT(A431),VLOOKUP($A431,'Price  List'!B:G,3,FALSE),"")</f>
        <v/>
      </c>
      <c r="H431" t="str">
        <f>IF(ISTEXT(A431),VLOOKUP($A431,'Price  List'!B:G,4,FALSE),"")</f>
        <v/>
      </c>
    </row>
    <row r="432" spans="2:8" x14ac:dyDescent="0.25">
      <c r="B432" s="82"/>
      <c r="C432" s="107" t="str">
        <f t="shared" si="6"/>
        <v/>
      </c>
      <c r="G432" t="str">
        <f>IF(ISTEXT(A432),VLOOKUP($A432,'Price  List'!B:G,3,FALSE),"")</f>
        <v/>
      </c>
      <c r="H432" t="str">
        <f>IF(ISTEXT(A432),VLOOKUP($A432,'Price  List'!B:G,4,FALSE),"")</f>
        <v/>
      </c>
    </row>
    <row r="433" spans="2:8" x14ac:dyDescent="0.25">
      <c r="B433" s="82"/>
      <c r="C433" s="107" t="str">
        <f t="shared" si="6"/>
        <v/>
      </c>
      <c r="G433" t="str">
        <f>IF(ISTEXT(A433),VLOOKUP($A433,'Price  List'!B:G,3,FALSE),"")</f>
        <v/>
      </c>
      <c r="H433" t="str">
        <f>IF(ISTEXT(A433),VLOOKUP($A433,'Price  List'!B:G,4,FALSE),"")</f>
        <v/>
      </c>
    </row>
    <row r="434" spans="2:8" x14ac:dyDescent="0.25">
      <c r="B434" s="82"/>
      <c r="C434" s="107" t="str">
        <f t="shared" si="6"/>
        <v/>
      </c>
      <c r="G434" t="str">
        <f>IF(ISTEXT(A434),VLOOKUP($A434,'Price  List'!B:G,3,FALSE),"")</f>
        <v/>
      </c>
      <c r="H434" t="str">
        <f>IF(ISTEXT(A434),VLOOKUP($A434,'Price  List'!B:G,4,FALSE),"")</f>
        <v/>
      </c>
    </row>
    <row r="435" spans="2:8" x14ac:dyDescent="0.25">
      <c r="B435" s="82"/>
      <c r="C435" s="107" t="str">
        <f t="shared" si="6"/>
        <v/>
      </c>
      <c r="G435" t="str">
        <f>IF(ISTEXT(A435),VLOOKUP($A435,'Price  List'!B:G,3,FALSE),"")</f>
        <v/>
      </c>
      <c r="H435" t="str">
        <f>IF(ISTEXT(A435),VLOOKUP($A435,'Price  List'!B:G,4,FALSE),"")</f>
        <v/>
      </c>
    </row>
    <row r="436" spans="2:8" x14ac:dyDescent="0.25">
      <c r="B436" s="82"/>
      <c r="C436" s="107" t="str">
        <f t="shared" si="6"/>
        <v/>
      </c>
      <c r="G436" t="str">
        <f>IF(ISTEXT(A436),VLOOKUP($A436,'Price  List'!B:G,3,FALSE),"")</f>
        <v/>
      </c>
      <c r="H436" t="str">
        <f>IF(ISTEXT(A436),VLOOKUP($A436,'Price  List'!B:G,4,FALSE),"")</f>
        <v/>
      </c>
    </row>
    <row r="437" spans="2:8" x14ac:dyDescent="0.25">
      <c r="B437" s="82"/>
      <c r="C437" s="107" t="str">
        <f t="shared" si="6"/>
        <v/>
      </c>
      <c r="G437" t="str">
        <f>IF(ISTEXT(A437),VLOOKUP($A437,'Price  List'!B:G,3,FALSE),"")</f>
        <v/>
      </c>
      <c r="H437" t="str">
        <f>IF(ISTEXT(A437),VLOOKUP($A437,'Price  List'!B:G,4,FALSE),"")</f>
        <v/>
      </c>
    </row>
    <row r="438" spans="2:8" x14ac:dyDescent="0.25">
      <c r="B438" s="82"/>
      <c r="C438" s="107" t="str">
        <f t="shared" si="6"/>
        <v/>
      </c>
      <c r="G438" t="str">
        <f>IF(ISTEXT(A438),VLOOKUP($A438,'Price  List'!B:G,3,FALSE),"")</f>
        <v/>
      </c>
      <c r="H438" t="str">
        <f>IF(ISTEXT(A438),VLOOKUP($A438,'Price  List'!B:G,4,FALSE),"")</f>
        <v/>
      </c>
    </row>
    <row r="439" spans="2:8" x14ac:dyDescent="0.25">
      <c r="B439" s="82"/>
      <c r="C439" s="107" t="str">
        <f t="shared" si="6"/>
        <v/>
      </c>
      <c r="G439" t="str">
        <f>IF(ISTEXT(A439),VLOOKUP($A439,'Price  List'!B:G,3,FALSE),"")</f>
        <v/>
      </c>
      <c r="H439" t="str">
        <f>IF(ISTEXT(A439),VLOOKUP($A439,'Price  List'!B:G,4,FALSE),"")</f>
        <v/>
      </c>
    </row>
    <row r="440" spans="2:8" x14ac:dyDescent="0.25">
      <c r="B440" s="82"/>
      <c r="C440" s="107" t="str">
        <f t="shared" si="6"/>
        <v/>
      </c>
      <c r="G440" t="str">
        <f>IF(ISTEXT(A440),VLOOKUP($A440,'Price  List'!B:G,3,FALSE),"")</f>
        <v/>
      </c>
      <c r="H440" t="str">
        <f>IF(ISTEXT(A440),VLOOKUP($A440,'Price  List'!B:G,4,FALSE),"")</f>
        <v/>
      </c>
    </row>
    <row r="441" spans="2:8" x14ac:dyDescent="0.25">
      <c r="B441" s="82"/>
      <c r="C441" s="107" t="str">
        <f t="shared" si="6"/>
        <v/>
      </c>
      <c r="G441" t="str">
        <f>IF(ISTEXT(A441),VLOOKUP($A441,'Price  List'!B:G,3,FALSE),"")</f>
        <v/>
      </c>
      <c r="H441" t="str">
        <f>IF(ISTEXT(A441),VLOOKUP($A441,'Price  List'!B:G,4,FALSE),"")</f>
        <v/>
      </c>
    </row>
    <row r="442" spans="2:8" x14ac:dyDescent="0.25">
      <c r="B442" s="82"/>
      <c r="C442" s="107" t="str">
        <f t="shared" si="6"/>
        <v/>
      </c>
      <c r="G442" t="str">
        <f>IF(ISTEXT(A442),VLOOKUP($A442,'Price  List'!B:G,3,FALSE),"")</f>
        <v/>
      </c>
      <c r="H442" t="str">
        <f>IF(ISTEXT(A442),VLOOKUP($A442,'Price  List'!B:G,4,FALSE),"")</f>
        <v/>
      </c>
    </row>
    <row r="443" spans="2:8" x14ac:dyDescent="0.25">
      <c r="B443" s="82"/>
      <c r="C443" s="107" t="str">
        <f t="shared" si="6"/>
        <v/>
      </c>
      <c r="G443" t="str">
        <f>IF(ISTEXT(A443),VLOOKUP($A443,'Price  List'!B:G,3,FALSE),"")</f>
        <v/>
      </c>
      <c r="H443" t="str">
        <f>IF(ISTEXT(A443),VLOOKUP($A443,'Price  List'!B:G,4,FALSE),"")</f>
        <v/>
      </c>
    </row>
    <row r="444" spans="2:8" x14ac:dyDescent="0.25">
      <c r="B444" s="82"/>
      <c r="C444" s="107" t="str">
        <f t="shared" si="6"/>
        <v/>
      </c>
      <c r="G444" t="str">
        <f>IF(ISTEXT(A444),VLOOKUP($A444,'Price  List'!B:G,3,FALSE),"")</f>
        <v/>
      </c>
      <c r="H444" t="str">
        <f>IF(ISTEXT(A444),VLOOKUP($A444,'Price  List'!B:G,4,FALSE),"")</f>
        <v/>
      </c>
    </row>
    <row r="445" spans="2:8" x14ac:dyDescent="0.25">
      <c r="B445" s="82"/>
      <c r="C445" s="107" t="str">
        <f t="shared" si="6"/>
        <v/>
      </c>
      <c r="G445" t="str">
        <f>IF(ISTEXT(A445),VLOOKUP($A445,'Price  List'!B:G,3,FALSE),"")</f>
        <v/>
      </c>
      <c r="H445" t="str">
        <f>IF(ISTEXT(A445),VLOOKUP($A445,'Price  List'!B:G,4,FALSE),"")</f>
        <v/>
      </c>
    </row>
    <row r="446" spans="2:8" x14ac:dyDescent="0.25">
      <c r="B446" s="82"/>
      <c r="C446" s="107" t="str">
        <f t="shared" si="6"/>
        <v/>
      </c>
      <c r="G446" t="str">
        <f>IF(ISTEXT(A446),VLOOKUP($A446,'Price  List'!B:G,3,FALSE),"")</f>
        <v/>
      </c>
      <c r="H446" t="str">
        <f>IF(ISTEXT(A446),VLOOKUP($A446,'Price  List'!B:G,4,FALSE),"")</f>
        <v/>
      </c>
    </row>
    <row r="447" spans="2:8" x14ac:dyDescent="0.25">
      <c r="B447" s="82"/>
      <c r="C447" s="107" t="str">
        <f t="shared" si="6"/>
        <v/>
      </c>
      <c r="G447" t="str">
        <f>IF(ISTEXT(A447),VLOOKUP($A447,'Price  List'!B:G,3,FALSE),"")</f>
        <v/>
      </c>
      <c r="H447" t="str">
        <f>IF(ISTEXT(A447),VLOOKUP($A447,'Price  List'!B:G,4,FALSE),"")</f>
        <v/>
      </c>
    </row>
    <row r="448" spans="2:8" x14ac:dyDescent="0.25">
      <c r="B448" s="82"/>
      <c r="C448" s="107" t="str">
        <f t="shared" si="6"/>
        <v/>
      </c>
      <c r="G448" t="str">
        <f>IF(ISTEXT(A448),VLOOKUP($A448,'Price  List'!B:G,3,FALSE),"")</f>
        <v/>
      </c>
      <c r="H448" t="str">
        <f>IF(ISTEXT(A448),VLOOKUP($A448,'Price  List'!B:G,4,FALSE),"")</f>
        <v/>
      </c>
    </row>
    <row r="449" spans="2:8" x14ac:dyDescent="0.25">
      <c r="B449" s="82"/>
      <c r="C449" s="107" t="str">
        <f t="shared" si="6"/>
        <v/>
      </c>
      <c r="G449" t="str">
        <f>IF(ISTEXT(A449),VLOOKUP($A449,'Price  List'!B:G,3,FALSE),"")</f>
        <v/>
      </c>
      <c r="H449" t="str">
        <f>IF(ISTEXT(A449),VLOOKUP($A449,'Price  List'!B:G,4,FALSE),"")</f>
        <v/>
      </c>
    </row>
    <row r="450" spans="2:8" x14ac:dyDescent="0.25">
      <c r="B450" s="82"/>
      <c r="C450" s="107" t="str">
        <f t="shared" si="6"/>
        <v/>
      </c>
      <c r="G450" t="str">
        <f>IF(ISTEXT(A450),VLOOKUP($A450,'Price  List'!B:G,3,FALSE),"")</f>
        <v/>
      </c>
      <c r="H450" t="str">
        <f>IF(ISTEXT(A450),VLOOKUP($A450,'Price  List'!B:G,4,FALSE),"")</f>
        <v/>
      </c>
    </row>
    <row r="451" spans="2:8" x14ac:dyDescent="0.25">
      <c r="B451" s="82"/>
      <c r="C451" s="107" t="str">
        <f t="shared" si="6"/>
        <v/>
      </c>
      <c r="G451" t="str">
        <f>IF(ISTEXT(A451),VLOOKUP($A451,'Price  List'!B:G,3,FALSE),"")</f>
        <v/>
      </c>
      <c r="H451" t="str">
        <f>IF(ISTEXT(A451),VLOOKUP($A451,'Price  List'!B:G,4,FALSE),"")</f>
        <v/>
      </c>
    </row>
    <row r="452" spans="2:8" x14ac:dyDescent="0.25">
      <c r="B452" s="82"/>
      <c r="C452" s="107" t="str">
        <f t="shared" ref="C452:C507" si="7">IF(ISTEXT(A452),"stock","")</f>
        <v/>
      </c>
      <c r="G452" t="str">
        <f>IF(ISTEXT(A452),VLOOKUP($A452,'Price  List'!B:G,3,FALSE),"")</f>
        <v/>
      </c>
      <c r="H452" t="str">
        <f>IF(ISTEXT(A452),VLOOKUP($A452,'Price  List'!B:G,4,FALSE),"")</f>
        <v/>
      </c>
    </row>
    <row r="453" spans="2:8" x14ac:dyDescent="0.25">
      <c r="B453" s="82"/>
      <c r="C453" s="107" t="str">
        <f t="shared" si="7"/>
        <v/>
      </c>
      <c r="G453" t="str">
        <f>IF(ISTEXT(A453),VLOOKUP($A453,'Price  List'!B:G,3,FALSE),"")</f>
        <v/>
      </c>
      <c r="H453" t="str">
        <f>IF(ISTEXT(A453),VLOOKUP($A453,'Price  List'!B:G,4,FALSE),"")</f>
        <v/>
      </c>
    </row>
    <row r="454" spans="2:8" x14ac:dyDescent="0.25">
      <c r="B454" s="82"/>
      <c r="C454" s="107" t="str">
        <f t="shared" si="7"/>
        <v/>
      </c>
      <c r="G454" t="str">
        <f>IF(ISTEXT(A454),VLOOKUP($A454,'Price  List'!B:G,3,FALSE),"")</f>
        <v/>
      </c>
      <c r="H454" t="str">
        <f>IF(ISTEXT(A454),VLOOKUP($A454,'Price  List'!B:G,4,FALSE),"")</f>
        <v/>
      </c>
    </row>
    <row r="455" spans="2:8" x14ac:dyDescent="0.25">
      <c r="B455" s="82"/>
      <c r="C455" s="107" t="str">
        <f t="shared" si="7"/>
        <v/>
      </c>
      <c r="G455" t="str">
        <f>IF(ISTEXT(A455),VLOOKUP($A455,'Price  List'!B:G,3,FALSE),"")</f>
        <v/>
      </c>
      <c r="H455" t="str">
        <f>IF(ISTEXT(A455),VLOOKUP($A455,'Price  List'!B:G,4,FALSE),"")</f>
        <v/>
      </c>
    </row>
    <row r="456" spans="2:8" x14ac:dyDescent="0.25">
      <c r="B456" s="82"/>
      <c r="C456" s="107" t="str">
        <f t="shared" si="7"/>
        <v/>
      </c>
      <c r="G456" t="str">
        <f>IF(ISTEXT(A456),VLOOKUP($A456,'Price  List'!B:G,3,FALSE),"")</f>
        <v/>
      </c>
      <c r="H456" t="str">
        <f>IF(ISTEXT(A456),VLOOKUP($A456,'Price  List'!B:G,4,FALSE),"")</f>
        <v/>
      </c>
    </row>
    <row r="457" spans="2:8" x14ac:dyDescent="0.25">
      <c r="B457" s="82"/>
      <c r="C457" s="107" t="str">
        <f t="shared" si="7"/>
        <v/>
      </c>
      <c r="G457" t="str">
        <f>IF(ISTEXT(A457),VLOOKUP($A457,'Price  List'!B:G,3,FALSE),"")</f>
        <v/>
      </c>
      <c r="H457" t="str">
        <f>IF(ISTEXT(A457),VLOOKUP($A457,'Price  List'!B:G,4,FALSE),"")</f>
        <v/>
      </c>
    </row>
    <row r="458" spans="2:8" x14ac:dyDescent="0.25">
      <c r="B458" s="82"/>
      <c r="C458" s="107" t="str">
        <f t="shared" si="7"/>
        <v/>
      </c>
      <c r="G458" t="str">
        <f>IF(ISTEXT(A458),VLOOKUP($A458,'Price  List'!B:G,3,FALSE),"")</f>
        <v/>
      </c>
      <c r="H458" t="str">
        <f>IF(ISTEXT(A458),VLOOKUP($A458,'Price  List'!B:G,4,FALSE),"")</f>
        <v/>
      </c>
    </row>
    <row r="459" spans="2:8" x14ac:dyDescent="0.25">
      <c r="B459" s="82"/>
      <c r="C459" s="107" t="str">
        <f t="shared" si="7"/>
        <v/>
      </c>
      <c r="G459" t="str">
        <f>IF(ISTEXT(A459),VLOOKUP($A459,'Price  List'!B:G,3,FALSE),"")</f>
        <v/>
      </c>
      <c r="H459" t="str">
        <f>IF(ISTEXT(A459),VLOOKUP($A459,'Price  List'!B:G,4,FALSE),"")</f>
        <v/>
      </c>
    </row>
    <row r="460" spans="2:8" x14ac:dyDescent="0.25">
      <c r="B460" s="82"/>
      <c r="C460" s="107" t="str">
        <f t="shared" si="7"/>
        <v/>
      </c>
      <c r="G460" t="str">
        <f>IF(ISTEXT(A460),VLOOKUP($A460,'Price  List'!B:G,3,FALSE),"")</f>
        <v/>
      </c>
      <c r="H460" t="str">
        <f>IF(ISTEXT(A460),VLOOKUP($A460,'Price  List'!B:G,4,FALSE),"")</f>
        <v/>
      </c>
    </row>
    <row r="461" spans="2:8" x14ac:dyDescent="0.25">
      <c r="B461" s="82"/>
      <c r="C461" s="107" t="str">
        <f t="shared" si="7"/>
        <v/>
      </c>
      <c r="G461" t="str">
        <f>IF(ISTEXT(A461),VLOOKUP($A461,'Price  List'!B:G,3,FALSE),"")</f>
        <v/>
      </c>
      <c r="H461" t="str">
        <f>IF(ISTEXT(A461),VLOOKUP($A461,'Price  List'!B:G,4,FALSE),"")</f>
        <v/>
      </c>
    </row>
    <row r="462" spans="2:8" x14ac:dyDescent="0.25">
      <c r="B462" s="82"/>
      <c r="C462" s="107" t="str">
        <f t="shared" si="7"/>
        <v/>
      </c>
      <c r="G462" t="str">
        <f>IF(ISTEXT(A462),VLOOKUP($A462,'Price  List'!B:G,3,FALSE),"")</f>
        <v/>
      </c>
      <c r="H462" t="str">
        <f>IF(ISTEXT(A462),VLOOKUP($A462,'Price  List'!B:G,4,FALSE),"")</f>
        <v/>
      </c>
    </row>
    <row r="463" spans="2:8" x14ac:dyDescent="0.25">
      <c r="B463" s="82"/>
      <c r="C463" s="107" t="str">
        <f t="shared" si="7"/>
        <v/>
      </c>
      <c r="G463" t="str">
        <f>IF(ISTEXT(A463),VLOOKUP($A463,'Price  List'!B:G,3,FALSE),"")</f>
        <v/>
      </c>
      <c r="H463" t="str">
        <f>IF(ISTEXT(A463),VLOOKUP($A463,'Price  List'!B:G,4,FALSE),"")</f>
        <v/>
      </c>
    </row>
    <row r="464" spans="2:8" x14ac:dyDescent="0.25">
      <c r="B464" s="82"/>
      <c r="C464" s="107" t="str">
        <f t="shared" si="7"/>
        <v/>
      </c>
      <c r="G464" t="str">
        <f>IF(ISTEXT(A464),VLOOKUP($A464,'Price  List'!B:G,3,FALSE),"")</f>
        <v/>
      </c>
      <c r="H464" t="str">
        <f>IF(ISTEXT(A464),VLOOKUP($A464,'Price  List'!B:G,4,FALSE),"")</f>
        <v/>
      </c>
    </row>
    <row r="465" spans="2:8" x14ac:dyDescent="0.25">
      <c r="B465" s="82"/>
      <c r="C465" s="107" t="str">
        <f t="shared" si="7"/>
        <v/>
      </c>
      <c r="G465" t="str">
        <f>IF(ISTEXT(A465),VLOOKUP($A465,'Price  List'!B:G,3,FALSE),"")</f>
        <v/>
      </c>
      <c r="H465" t="str">
        <f>IF(ISTEXT(A465),VLOOKUP($A465,'Price  List'!B:G,4,FALSE),"")</f>
        <v/>
      </c>
    </row>
    <row r="466" spans="2:8" x14ac:dyDescent="0.25">
      <c r="B466" s="82"/>
      <c r="C466" s="107" t="str">
        <f t="shared" si="7"/>
        <v/>
      </c>
      <c r="G466" t="str">
        <f>IF(ISTEXT(A466),VLOOKUP($A466,'Price  List'!B:G,3,FALSE),"")</f>
        <v/>
      </c>
      <c r="H466" t="str">
        <f>IF(ISTEXT(A466),VLOOKUP($A466,'Price  List'!B:G,4,FALSE),"")</f>
        <v/>
      </c>
    </row>
    <row r="467" spans="2:8" x14ac:dyDescent="0.25">
      <c r="B467" s="82"/>
      <c r="C467" s="107" t="str">
        <f t="shared" si="7"/>
        <v/>
      </c>
      <c r="G467" t="str">
        <f>IF(ISTEXT(A467),VLOOKUP($A467,'Price  List'!B:G,3,FALSE),"")</f>
        <v/>
      </c>
      <c r="H467" t="str">
        <f>IF(ISTEXT(A467),VLOOKUP($A467,'Price  List'!B:G,4,FALSE),"")</f>
        <v/>
      </c>
    </row>
    <row r="468" spans="2:8" x14ac:dyDescent="0.25">
      <c r="B468" s="82"/>
      <c r="C468" s="107" t="str">
        <f t="shared" si="7"/>
        <v/>
      </c>
      <c r="G468" t="str">
        <f>IF(ISTEXT(A468),VLOOKUP($A468,'Price  List'!B:G,3,FALSE),"")</f>
        <v/>
      </c>
      <c r="H468" t="str">
        <f>IF(ISTEXT(A468),VLOOKUP($A468,'Price  List'!B:G,4,FALSE),"")</f>
        <v/>
      </c>
    </row>
    <row r="469" spans="2:8" x14ac:dyDescent="0.25">
      <c r="B469" s="82"/>
      <c r="C469" s="107" t="str">
        <f t="shared" si="7"/>
        <v/>
      </c>
      <c r="G469" t="str">
        <f>IF(ISTEXT(A469),VLOOKUP($A469,'Price  List'!B:G,3,FALSE),"")</f>
        <v/>
      </c>
      <c r="H469" t="str">
        <f>IF(ISTEXT(A469),VLOOKUP($A469,'Price  List'!B:G,4,FALSE),"")</f>
        <v/>
      </c>
    </row>
    <row r="470" spans="2:8" x14ac:dyDescent="0.25">
      <c r="B470" s="82"/>
      <c r="C470" s="107" t="str">
        <f t="shared" si="7"/>
        <v/>
      </c>
      <c r="G470" t="str">
        <f>IF(ISTEXT(A470),VLOOKUP($A470,'Price  List'!B:G,3,FALSE),"")</f>
        <v/>
      </c>
      <c r="H470" t="str">
        <f>IF(ISTEXT(A470),VLOOKUP($A470,'Price  List'!B:G,4,FALSE),"")</f>
        <v/>
      </c>
    </row>
    <row r="471" spans="2:8" x14ac:dyDescent="0.25">
      <c r="B471" s="82"/>
      <c r="C471" s="107" t="str">
        <f t="shared" si="7"/>
        <v/>
      </c>
      <c r="G471" t="str">
        <f>IF(ISTEXT(A471),VLOOKUP($A471,'Price  List'!B:G,3,FALSE),"")</f>
        <v/>
      </c>
      <c r="H471" t="str">
        <f>IF(ISTEXT(A471),VLOOKUP($A471,'Price  List'!B:G,4,FALSE),"")</f>
        <v/>
      </c>
    </row>
    <row r="472" spans="2:8" x14ac:dyDescent="0.25">
      <c r="B472" s="82"/>
      <c r="C472" s="107" t="str">
        <f t="shared" si="7"/>
        <v/>
      </c>
      <c r="G472" t="str">
        <f>IF(ISTEXT(A472),VLOOKUP($A472,'Price  List'!B:G,3,FALSE),"")</f>
        <v/>
      </c>
      <c r="H472" t="str">
        <f>IF(ISTEXT(A472),VLOOKUP($A472,'Price  List'!B:G,4,FALSE),"")</f>
        <v/>
      </c>
    </row>
    <row r="473" spans="2:8" x14ac:dyDescent="0.25">
      <c r="B473" s="82"/>
      <c r="C473" s="107" t="str">
        <f t="shared" si="7"/>
        <v/>
      </c>
      <c r="G473" t="str">
        <f>IF(ISTEXT(A473),VLOOKUP($A473,'Price  List'!B:G,3,FALSE),"")</f>
        <v/>
      </c>
      <c r="H473" t="str">
        <f>IF(ISTEXT(A473),VLOOKUP($A473,'Price  List'!B:G,4,FALSE),"")</f>
        <v/>
      </c>
    </row>
    <row r="474" spans="2:8" x14ac:dyDescent="0.25">
      <c r="B474" s="82"/>
      <c r="C474" s="107" t="str">
        <f t="shared" si="7"/>
        <v/>
      </c>
      <c r="G474" t="str">
        <f>IF(ISTEXT(A474),VLOOKUP($A474,'Price  List'!B:G,3,FALSE),"")</f>
        <v/>
      </c>
      <c r="H474" t="str">
        <f>IF(ISTEXT(A474),VLOOKUP($A474,'Price  List'!B:G,4,FALSE),"")</f>
        <v/>
      </c>
    </row>
    <row r="475" spans="2:8" x14ac:dyDescent="0.25">
      <c r="B475" s="82"/>
      <c r="C475" s="107" t="str">
        <f t="shared" si="7"/>
        <v/>
      </c>
      <c r="G475" t="str">
        <f>IF(ISTEXT(A475),VLOOKUP($A475,'Price  List'!B:G,3,FALSE),"")</f>
        <v/>
      </c>
      <c r="H475" t="str">
        <f>IF(ISTEXT(A475),VLOOKUP($A475,'Price  List'!B:G,4,FALSE),"")</f>
        <v/>
      </c>
    </row>
    <row r="476" spans="2:8" x14ac:dyDescent="0.25">
      <c r="B476" s="82"/>
      <c r="C476" s="107" t="str">
        <f t="shared" si="7"/>
        <v/>
      </c>
      <c r="G476" t="str">
        <f>IF(ISTEXT(A476),VLOOKUP($A476,'Price  List'!B:G,3,FALSE),"")</f>
        <v/>
      </c>
      <c r="H476" t="str">
        <f>IF(ISTEXT(A476),VLOOKUP($A476,'Price  List'!B:G,4,FALSE),"")</f>
        <v/>
      </c>
    </row>
    <row r="477" spans="2:8" x14ac:dyDescent="0.25">
      <c r="B477" s="82"/>
      <c r="C477" s="107" t="str">
        <f t="shared" si="7"/>
        <v/>
      </c>
      <c r="G477" t="str">
        <f>IF(ISTEXT(A477),VLOOKUP($A477,'Price  List'!B:G,3,FALSE),"")</f>
        <v/>
      </c>
      <c r="H477" t="str">
        <f>IF(ISTEXT(A477),VLOOKUP($A477,'Price  List'!B:G,4,FALSE),"")</f>
        <v/>
      </c>
    </row>
    <row r="478" spans="2:8" x14ac:dyDescent="0.25">
      <c r="B478" s="82"/>
      <c r="C478" s="107" t="str">
        <f t="shared" si="7"/>
        <v/>
      </c>
      <c r="G478" t="str">
        <f>IF(ISTEXT(A478),VLOOKUP($A478,'Price  List'!B:G,3,FALSE),"")</f>
        <v/>
      </c>
      <c r="H478" t="str">
        <f>IF(ISTEXT(A478),VLOOKUP($A478,'Price  List'!B:G,4,FALSE),"")</f>
        <v/>
      </c>
    </row>
    <row r="479" spans="2:8" x14ac:dyDescent="0.25">
      <c r="B479" s="82"/>
      <c r="C479" s="107" t="str">
        <f t="shared" si="7"/>
        <v/>
      </c>
      <c r="G479" t="str">
        <f>IF(ISTEXT(A479),VLOOKUP($A479,'Price  List'!B:G,3,FALSE),"")</f>
        <v/>
      </c>
      <c r="H479" t="str">
        <f>IF(ISTEXT(A479),VLOOKUP($A479,'Price  List'!B:G,4,FALSE),"")</f>
        <v/>
      </c>
    </row>
    <row r="480" spans="2:8" x14ac:dyDescent="0.25">
      <c r="B480" s="82"/>
      <c r="C480" s="107" t="str">
        <f t="shared" si="7"/>
        <v/>
      </c>
      <c r="G480" t="str">
        <f>IF(ISTEXT(A480),VLOOKUP($A480,'Price  List'!B:G,3,FALSE),"")</f>
        <v/>
      </c>
      <c r="H480" t="str">
        <f>IF(ISTEXT(A480),VLOOKUP($A480,'Price  List'!B:G,4,FALSE),"")</f>
        <v/>
      </c>
    </row>
    <row r="481" spans="2:8" x14ac:dyDescent="0.25">
      <c r="B481" s="82"/>
      <c r="C481" s="107" t="str">
        <f t="shared" si="7"/>
        <v/>
      </c>
      <c r="G481" t="str">
        <f>IF(ISTEXT(A481),VLOOKUP($A481,'Price  List'!B:G,3,FALSE),"")</f>
        <v/>
      </c>
      <c r="H481" t="str">
        <f>IF(ISTEXT(A481),VLOOKUP($A481,'Price  List'!B:G,4,FALSE),"")</f>
        <v/>
      </c>
    </row>
    <row r="482" spans="2:8" x14ac:dyDescent="0.25">
      <c r="B482" s="82"/>
      <c r="C482" s="107" t="str">
        <f t="shared" si="7"/>
        <v/>
      </c>
      <c r="G482" t="str">
        <f>IF(ISTEXT(A482),VLOOKUP($A482,'Price  List'!B:G,3,FALSE),"")</f>
        <v/>
      </c>
      <c r="H482" t="str">
        <f>IF(ISTEXT(A482),VLOOKUP($A482,'Price  List'!B:G,4,FALSE),"")</f>
        <v/>
      </c>
    </row>
    <row r="483" spans="2:8" x14ac:dyDescent="0.25">
      <c r="B483" s="82"/>
      <c r="C483" s="107" t="str">
        <f t="shared" si="7"/>
        <v/>
      </c>
      <c r="G483" t="str">
        <f>IF(ISTEXT(A483),VLOOKUP($A483,'Price  List'!B:G,3,FALSE),"")</f>
        <v/>
      </c>
      <c r="H483" t="str">
        <f>IF(ISTEXT(A483),VLOOKUP($A483,'Price  List'!B:G,4,FALSE),"")</f>
        <v/>
      </c>
    </row>
    <row r="484" spans="2:8" x14ac:dyDescent="0.25">
      <c r="B484" s="82"/>
      <c r="C484" s="107" t="str">
        <f t="shared" si="7"/>
        <v/>
      </c>
      <c r="G484" t="str">
        <f>IF(ISTEXT(A484),VLOOKUP($A484,'Price  List'!B:G,3,FALSE),"")</f>
        <v/>
      </c>
      <c r="H484" t="str">
        <f>IF(ISTEXT(A484),VLOOKUP($A484,'Price  List'!B:G,4,FALSE),"")</f>
        <v/>
      </c>
    </row>
    <row r="485" spans="2:8" x14ac:dyDescent="0.25">
      <c r="B485" s="82"/>
      <c r="C485" s="107" t="str">
        <f t="shared" si="7"/>
        <v/>
      </c>
      <c r="G485" t="str">
        <f>IF(ISTEXT(A485),VLOOKUP($A485,'Price  List'!B:G,3,FALSE),"")</f>
        <v/>
      </c>
      <c r="H485" t="str">
        <f>IF(ISTEXT(A485),VLOOKUP($A485,'Price  List'!B:G,4,FALSE),"")</f>
        <v/>
      </c>
    </row>
    <row r="486" spans="2:8" x14ac:dyDescent="0.25">
      <c r="B486" s="82"/>
      <c r="C486" s="107" t="str">
        <f t="shared" si="7"/>
        <v/>
      </c>
      <c r="G486" t="str">
        <f>IF(ISTEXT(A486),VLOOKUP($A486,'Price  List'!B:G,3,FALSE),"")</f>
        <v/>
      </c>
      <c r="H486" t="str">
        <f>IF(ISTEXT(A486),VLOOKUP($A486,'Price  List'!B:G,4,FALSE),"")</f>
        <v/>
      </c>
    </row>
    <row r="487" spans="2:8" x14ac:dyDescent="0.25">
      <c r="B487" s="82"/>
      <c r="C487" s="107" t="str">
        <f t="shared" si="7"/>
        <v/>
      </c>
      <c r="G487" t="str">
        <f>IF(ISTEXT(A487),VLOOKUP($A487,'Price  List'!B:G,3,FALSE),"")</f>
        <v/>
      </c>
      <c r="H487" t="str">
        <f>IF(ISTEXT(A487),VLOOKUP($A487,'Price  List'!B:G,4,FALSE),"")</f>
        <v/>
      </c>
    </row>
    <row r="488" spans="2:8" x14ac:dyDescent="0.25">
      <c r="B488" s="82"/>
      <c r="C488" s="107" t="str">
        <f t="shared" si="7"/>
        <v/>
      </c>
      <c r="G488" t="str">
        <f>IF(ISTEXT(A488),VLOOKUP($A488,'Price  List'!B:G,3,FALSE),"")</f>
        <v/>
      </c>
      <c r="H488" t="str">
        <f>IF(ISTEXT(A488),VLOOKUP($A488,'Price  List'!B:G,4,FALSE),"")</f>
        <v/>
      </c>
    </row>
    <row r="489" spans="2:8" x14ac:dyDescent="0.25">
      <c r="B489" s="82"/>
      <c r="C489" s="107" t="str">
        <f t="shared" si="7"/>
        <v/>
      </c>
      <c r="G489" t="str">
        <f>IF(ISTEXT(A489),VLOOKUP($A489,'Price  List'!B:G,3,FALSE),"")</f>
        <v/>
      </c>
      <c r="H489" t="str">
        <f>IF(ISTEXT(A489),VLOOKUP($A489,'Price  List'!B:G,4,FALSE),"")</f>
        <v/>
      </c>
    </row>
    <row r="490" spans="2:8" x14ac:dyDescent="0.25">
      <c r="B490" s="82"/>
      <c r="C490" s="107" t="str">
        <f t="shared" si="7"/>
        <v/>
      </c>
      <c r="G490" t="str">
        <f>IF(ISTEXT(A490),VLOOKUP($A490,'Price  List'!B:G,3,FALSE),"")</f>
        <v/>
      </c>
      <c r="H490" t="str">
        <f>IF(ISTEXT(A490),VLOOKUP($A490,'Price  List'!B:G,4,FALSE),"")</f>
        <v/>
      </c>
    </row>
    <row r="491" spans="2:8" x14ac:dyDescent="0.25">
      <c r="B491" s="82"/>
      <c r="C491" s="107" t="str">
        <f t="shared" si="7"/>
        <v/>
      </c>
      <c r="G491" t="str">
        <f>IF(ISTEXT(A491),VLOOKUP($A491,'Price  List'!B:G,3,FALSE),"")</f>
        <v/>
      </c>
      <c r="H491" t="str">
        <f>IF(ISTEXT(A491),VLOOKUP($A491,'Price  List'!B:G,4,FALSE),"")</f>
        <v/>
      </c>
    </row>
    <row r="492" spans="2:8" x14ac:dyDescent="0.25">
      <c r="B492" s="82"/>
      <c r="C492" s="107" t="str">
        <f t="shared" si="7"/>
        <v/>
      </c>
      <c r="G492" t="str">
        <f>IF(ISTEXT(A492),VLOOKUP($A492,'Price  List'!B:G,3,FALSE),"")</f>
        <v/>
      </c>
      <c r="H492" t="str">
        <f>IF(ISTEXT(A492),VLOOKUP($A492,'Price  List'!B:G,4,FALSE),"")</f>
        <v/>
      </c>
    </row>
    <row r="493" spans="2:8" x14ac:dyDescent="0.25">
      <c r="B493" s="82"/>
      <c r="C493" s="107" t="str">
        <f t="shared" si="7"/>
        <v/>
      </c>
      <c r="G493" t="str">
        <f>IF(ISTEXT(A493),VLOOKUP($A493,'Price  List'!B:G,3,FALSE),"")</f>
        <v/>
      </c>
      <c r="H493" t="str">
        <f>IF(ISTEXT(A493),VLOOKUP($A493,'Price  List'!B:G,4,FALSE),"")</f>
        <v/>
      </c>
    </row>
    <row r="494" spans="2:8" x14ac:dyDescent="0.25">
      <c r="B494" s="82"/>
      <c r="C494" s="107" t="str">
        <f t="shared" si="7"/>
        <v/>
      </c>
      <c r="G494" t="str">
        <f>IF(ISTEXT(A494),VLOOKUP($A494,'Price  List'!B:G,3,FALSE),"")</f>
        <v/>
      </c>
      <c r="H494" t="str">
        <f>IF(ISTEXT(A494),VLOOKUP($A494,'Price  List'!B:G,4,FALSE),"")</f>
        <v/>
      </c>
    </row>
    <row r="495" spans="2:8" x14ac:dyDescent="0.25">
      <c r="B495" s="82"/>
      <c r="C495" s="107" t="str">
        <f t="shared" si="7"/>
        <v/>
      </c>
      <c r="G495" t="str">
        <f>IF(ISTEXT(A495),VLOOKUP($A495,'Price  List'!B:G,3,FALSE),"")</f>
        <v/>
      </c>
      <c r="H495" t="str">
        <f>IF(ISTEXT(A495),VLOOKUP($A495,'Price  List'!B:G,4,FALSE),"")</f>
        <v/>
      </c>
    </row>
    <row r="496" spans="2:8" x14ac:dyDescent="0.25">
      <c r="B496" s="82"/>
      <c r="C496" s="107" t="str">
        <f t="shared" si="7"/>
        <v/>
      </c>
      <c r="G496" t="str">
        <f>IF(ISTEXT(A496),VLOOKUP($A496,'Price  List'!B:G,3,FALSE),"")</f>
        <v/>
      </c>
      <c r="H496" t="str">
        <f>IF(ISTEXT(A496),VLOOKUP($A496,'Price  List'!B:G,4,FALSE),"")</f>
        <v/>
      </c>
    </row>
    <row r="497" spans="2:8" x14ac:dyDescent="0.25">
      <c r="B497" s="82"/>
      <c r="C497" s="107" t="str">
        <f t="shared" si="7"/>
        <v/>
      </c>
      <c r="G497" t="str">
        <f>IF(ISTEXT(A497),VLOOKUP($A497,'Price  List'!B:G,3,FALSE),"")</f>
        <v/>
      </c>
      <c r="H497" t="str">
        <f>IF(ISTEXT(A497),VLOOKUP($A497,'Price  List'!B:G,4,FALSE),"")</f>
        <v/>
      </c>
    </row>
    <row r="498" spans="2:8" x14ac:dyDescent="0.25">
      <c r="B498" s="82"/>
      <c r="C498" s="107" t="str">
        <f t="shared" si="7"/>
        <v/>
      </c>
      <c r="G498" t="str">
        <f>IF(ISTEXT(A498),VLOOKUP($A498,'Price  List'!B:G,3,FALSE),"")</f>
        <v/>
      </c>
      <c r="H498" t="str">
        <f>IF(ISTEXT(A498),VLOOKUP($A498,'Price  List'!B:G,4,FALSE),"")</f>
        <v/>
      </c>
    </row>
    <row r="499" spans="2:8" x14ac:dyDescent="0.25">
      <c r="B499" s="82"/>
      <c r="C499" s="107" t="str">
        <f t="shared" si="7"/>
        <v/>
      </c>
      <c r="G499" t="str">
        <f>IF(ISTEXT(A499),VLOOKUP($A499,'Price  List'!B:G,3,FALSE),"")</f>
        <v/>
      </c>
      <c r="H499" t="str">
        <f>IF(ISTEXT(A499),VLOOKUP($A499,'Price  List'!B:G,4,FALSE),"")</f>
        <v/>
      </c>
    </row>
    <row r="500" spans="2:8" x14ac:dyDescent="0.25">
      <c r="B500" s="82"/>
      <c r="C500" s="107" t="str">
        <f t="shared" si="7"/>
        <v/>
      </c>
      <c r="G500" t="str">
        <f>IF(ISTEXT(A500),VLOOKUP($A500,'Price  List'!B:G,3,FALSE),"")</f>
        <v/>
      </c>
      <c r="H500" t="str">
        <f>IF(ISTEXT(A500),VLOOKUP($A500,'Price  List'!B:G,4,FALSE),"")</f>
        <v/>
      </c>
    </row>
    <row r="501" spans="2:8" x14ac:dyDescent="0.25">
      <c r="B501" s="82"/>
      <c r="C501" s="107" t="str">
        <f t="shared" si="7"/>
        <v/>
      </c>
      <c r="G501" t="str">
        <f>IF(ISTEXT(A501),VLOOKUP($A501,'Price  List'!B:G,3,FALSE),"")</f>
        <v/>
      </c>
      <c r="H501" t="str">
        <f>IF(ISTEXT(A501),VLOOKUP($A501,'Price  List'!B:G,4,FALSE),"")</f>
        <v/>
      </c>
    </row>
    <row r="502" spans="2:8" x14ac:dyDescent="0.25">
      <c r="B502" s="82"/>
      <c r="C502" s="107" t="str">
        <f t="shared" si="7"/>
        <v/>
      </c>
      <c r="G502" t="str">
        <f>IF(ISTEXT(A502),VLOOKUP($A502,'Price  List'!B:G,3,FALSE),"")</f>
        <v/>
      </c>
      <c r="H502" t="str">
        <f>IF(ISTEXT(A502),VLOOKUP($A502,'Price  List'!B:G,4,FALSE),"")</f>
        <v/>
      </c>
    </row>
    <row r="503" spans="2:8" x14ac:dyDescent="0.25">
      <c r="B503" s="82"/>
      <c r="C503" s="107" t="str">
        <f t="shared" si="7"/>
        <v/>
      </c>
      <c r="G503" t="str">
        <f>IF(ISTEXT(A503),VLOOKUP($A503,'Price  List'!B:G,3,FALSE),"")</f>
        <v/>
      </c>
      <c r="H503" t="str">
        <f>IF(ISTEXT(A503),VLOOKUP($A503,'Price  List'!B:G,4,FALSE),"")</f>
        <v/>
      </c>
    </row>
    <row r="504" spans="2:8" x14ac:dyDescent="0.25">
      <c r="B504" s="82"/>
      <c r="C504" s="107" t="str">
        <f t="shared" si="7"/>
        <v/>
      </c>
      <c r="G504" t="str">
        <f>IF(ISTEXT(A504),VLOOKUP($A504,'Price  List'!B:G,3,FALSE),"")</f>
        <v/>
      </c>
      <c r="H504" t="str">
        <f>IF(ISTEXT(A504),VLOOKUP($A504,'Price  List'!B:G,4,FALSE),"")</f>
        <v/>
      </c>
    </row>
    <row r="505" spans="2:8" x14ac:dyDescent="0.25">
      <c r="B505" s="82"/>
      <c r="C505" s="107" t="str">
        <f t="shared" si="7"/>
        <v/>
      </c>
      <c r="G505" t="str">
        <f>IF(ISTEXT(A505),VLOOKUP($A505,'Price  List'!B:G,3,FALSE),"")</f>
        <v/>
      </c>
      <c r="H505" t="str">
        <f>IF(ISTEXT(A505),VLOOKUP($A505,'Price  List'!B:G,4,FALSE),"")</f>
        <v/>
      </c>
    </row>
    <row r="506" spans="2:8" x14ac:dyDescent="0.25">
      <c r="B506" s="82"/>
      <c r="C506" s="107" t="str">
        <f t="shared" si="7"/>
        <v/>
      </c>
      <c r="G506" t="str">
        <f>IF(ISTEXT(A506),VLOOKUP($A506,'Price  List'!B:G,3,FALSE),"")</f>
        <v/>
      </c>
      <c r="H506" t="str">
        <f>IF(ISTEXT(A506),VLOOKUP($A506,'Price  List'!B:G,4,FALSE),"")</f>
        <v/>
      </c>
    </row>
    <row r="507" spans="2:8" x14ac:dyDescent="0.25">
      <c r="B507" s="82"/>
      <c r="C507" s="107" t="str">
        <f t="shared" si="7"/>
        <v/>
      </c>
      <c r="G507" t="str">
        <f>IF(ISTEXT(A507),VLOOKUP($A507,'Price  List'!B:G,3,FALSE),"")</f>
        <v/>
      </c>
      <c r="H507" t="str">
        <f>IF(ISTEXT(A507),VLOOKUP($A507,'Price  List'!B:G,4,FALSE),"")</f>
        <v/>
      </c>
    </row>
  </sheetData>
  <phoneticPr fontId="34" type="noConversion"/>
  <conditionalFormatting sqref="A11:A507 A3 A6">
    <cfRule type="duplicateValues" dxfId="15" priority="9"/>
  </conditionalFormatting>
  <conditionalFormatting sqref="A4">
    <cfRule type="duplicateValues" dxfId="14" priority="8"/>
  </conditionalFormatting>
  <conditionalFormatting sqref="A5">
    <cfRule type="duplicateValues" dxfId="13" priority="7"/>
  </conditionalFormatting>
  <conditionalFormatting sqref="A9">
    <cfRule type="duplicateValues" dxfId="12" priority="6"/>
  </conditionalFormatting>
  <conditionalFormatting sqref="A10">
    <cfRule type="duplicateValues" dxfId="11" priority="4"/>
  </conditionalFormatting>
  <conditionalFormatting sqref="A8">
    <cfRule type="duplicateValues" dxfId="10" priority="1"/>
  </conditionalFormatting>
  <conditionalFormatting sqref="A7">
    <cfRule type="duplicateValues" dxfId="9" priority="12"/>
  </conditionalFormatting>
  <pageMargins left="0.7" right="0.7" top="0.75" bottom="0.75" header="0.3" footer="0.3"/>
  <pageSetup orientation="portrait" horizontalDpi="4294967295" verticalDpi="4294967295" r:id="rId1"/>
  <extLst>
    <ext xmlns:x14="http://schemas.microsoft.com/office/spreadsheetml/2009/9/main" uri="{CCE6A557-97BC-4b89-ADB6-D9C93CAAB3DF}">
      <x14:dataValidations xmlns:xm="http://schemas.microsoft.com/office/excel/2006/main" count="1">
        <x14:dataValidation type="list" allowBlank="1" showInputMessage="1" showErrorMessage="1" errorTitle="Invalide Stockcode" error="Please enter a valid TAG stockcode." xr:uid="{10C708BA-9C25-4635-AE72-64FE564A01B1}">
          <x14:formula1>
            <xm:f>Search!$A$2:$A$3006</xm:f>
          </x14:formula1>
          <xm:sqref>A3:A507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19A4B-D33C-4E3E-A466-A27C7A424F2A}">
  <sheetPr codeName="Sheet6">
    <tabColor theme="5" tint="0.59999389629810485"/>
  </sheetPr>
  <dimension ref="A1:J3006"/>
  <sheetViews>
    <sheetView showGridLines="0" workbookViewId="0">
      <pane xSplit="3" topLeftCell="D1" activePane="topRight" state="frozen"/>
      <selection pane="topRight"/>
    </sheetView>
  </sheetViews>
  <sheetFormatPr defaultRowHeight="15" x14ac:dyDescent="0.25"/>
  <cols>
    <col min="1" max="1" width="21.85546875" bestFit="1" customWidth="1"/>
    <col min="2" max="2" width="69.42578125" customWidth="1"/>
    <col min="3" max="3" width="12.5703125" style="167" customWidth="1"/>
    <col min="4" max="4" width="8.5703125" customWidth="1"/>
    <col min="5" max="5" width="8.85546875" customWidth="1"/>
    <col min="6" max="6" width="8.7109375" customWidth="1"/>
    <col min="7" max="7" width="16.140625" bestFit="1" customWidth="1"/>
    <col min="8" max="8" width="23.7109375" bestFit="1" customWidth="1"/>
    <col min="9" max="9" width="16.85546875" bestFit="1" customWidth="1"/>
    <col min="10" max="10" width="16.85546875" customWidth="1"/>
    <col min="11" max="11" width="3.5703125" customWidth="1"/>
    <col min="12" max="12" width="5.5703125" customWidth="1"/>
    <col min="13" max="13" width="3.5703125" customWidth="1"/>
    <col min="15" max="15" width="7.5703125" customWidth="1"/>
    <col min="16" max="16" width="2.28515625" customWidth="1"/>
    <col min="17" max="17" width="15.85546875" customWidth="1"/>
    <col min="20" max="20" width="9.140625" customWidth="1"/>
  </cols>
  <sheetData>
    <row r="1" spans="1:10" x14ac:dyDescent="0.25">
      <c r="A1" t="s">
        <v>6</v>
      </c>
      <c r="B1" t="s">
        <v>7</v>
      </c>
      <c r="C1" s="167" t="s">
        <v>10</v>
      </c>
      <c r="D1" t="s">
        <v>2793</v>
      </c>
      <c r="E1" t="s">
        <v>2794</v>
      </c>
      <c r="F1" t="s">
        <v>2795</v>
      </c>
      <c r="G1" t="s">
        <v>2796</v>
      </c>
      <c r="H1" t="s">
        <v>2814</v>
      </c>
      <c r="I1" t="s">
        <v>2797</v>
      </c>
      <c r="J1" t="s">
        <v>2813</v>
      </c>
    </row>
    <row r="2" spans="1:10" x14ac:dyDescent="0.25">
      <c r="A2" t="s">
        <v>7410</v>
      </c>
      <c r="B2" t="s">
        <v>7411</v>
      </c>
      <c r="C2" s="167">
        <v>2.4500000000000002</v>
      </c>
      <c r="D2" t="s">
        <v>19</v>
      </c>
      <c r="E2" t="s">
        <v>2853</v>
      </c>
      <c r="F2" t="s">
        <v>7338</v>
      </c>
      <c r="G2" t="s">
        <v>7338</v>
      </c>
      <c r="I2" t="s">
        <v>2801</v>
      </c>
    </row>
    <row r="3" spans="1:10" x14ac:dyDescent="0.25">
      <c r="A3" t="s">
        <v>7412</v>
      </c>
      <c r="B3" t="s">
        <v>7413</v>
      </c>
      <c r="C3" s="167">
        <v>2.4500000000000002</v>
      </c>
      <c r="D3" t="s">
        <v>21</v>
      </c>
      <c r="E3" t="s">
        <v>2853</v>
      </c>
      <c r="F3" t="s">
        <v>7338</v>
      </c>
      <c r="G3" t="s">
        <v>7338</v>
      </c>
      <c r="I3" t="s">
        <v>2801</v>
      </c>
    </row>
    <row r="4" spans="1:10" x14ac:dyDescent="0.25">
      <c r="A4" t="s">
        <v>7522</v>
      </c>
      <c r="B4" t="s">
        <v>74</v>
      </c>
      <c r="C4" s="167">
        <v>1.74</v>
      </c>
      <c r="D4" t="s">
        <v>59</v>
      </c>
      <c r="E4" t="s">
        <v>2853</v>
      </c>
      <c r="F4" t="s">
        <v>7338</v>
      </c>
      <c r="G4" t="s">
        <v>7338</v>
      </c>
      <c r="I4" t="s">
        <v>2801</v>
      </c>
    </row>
    <row r="5" spans="1:10" x14ac:dyDescent="0.25">
      <c r="A5" t="s">
        <v>28</v>
      </c>
      <c r="B5" t="s">
        <v>74</v>
      </c>
      <c r="C5" s="167">
        <v>1.62</v>
      </c>
      <c r="D5" t="s">
        <v>19</v>
      </c>
      <c r="E5" t="s">
        <v>2853</v>
      </c>
      <c r="F5" t="s">
        <v>7338</v>
      </c>
      <c r="G5" t="s">
        <v>7338</v>
      </c>
      <c r="I5" t="s">
        <v>2801</v>
      </c>
    </row>
    <row r="6" spans="1:10" x14ac:dyDescent="0.25">
      <c r="A6" t="s">
        <v>75</v>
      </c>
      <c r="B6" t="s">
        <v>74</v>
      </c>
      <c r="C6" s="167">
        <v>1.63</v>
      </c>
      <c r="D6" t="s">
        <v>21</v>
      </c>
      <c r="E6" t="s">
        <v>2853</v>
      </c>
      <c r="F6" t="s">
        <v>7338</v>
      </c>
      <c r="G6" t="s">
        <v>7338</v>
      </c>
      <c r="I6" t="s">
        <v>2801</v>
      </c>
    </row>
    <row r="7" spans="1:10" x14ac:dyDescent="0.25">
      <c r="A7" t="s">
        <v>564</v>
      </c>
      <c r="B7" t="s">
        <v>74</v>
      </c>
      <c r="C7" s="167">
        <v>2.21</v>
      </c>
      <c r="D7" t="s">
        <v>563</v>
      </c>
      <c r="E7" t="s">
        <v>2853</v>
      </c>
      <c r="F7" t="s">
        <v>7338</v>
      </c>
      <c r="G7" t="s">
        <v>7338</v>
      </c>
      <c r="I7" t="s">
        <v>2801</v>
      </c>
    </row>
    <row r="8" spans="1:10" x14ac:dyDescent="0.25">
      <c r="A8" t="s">
        <v>4640</v>
      </c>
      <c r="B8" t="s">
        <v>74</v>
      </c>
      <c r="C8" s="167">
        <v>1.74</v>
      </c>
      <c r="D8" t="s">
        <v>4633</v>
      </c>
      <c r="E8" t="s">
        <v>2853</v>
      </c>
      <c r="F8" t="s">
        <v>7338</v>
      </c>
      <c r="G8" t="s">
        <v>7338</v>
      </c>
      <c r="I8" t="s">
        <v>2801</v>
      </c>
    </row>
    <row r="9" spans="1:10" x14ac:dyDescent="0.25">
      <c r="A9" t="s">
        <v>672</v>
      </c>
      <c r="B9" t="s">
        <v>74</v>
      </c>
      <c r="C9" s="167">
        <v>2.21</v>
      </c>
      <c r="D9" t="s">
        <v>671</v>
      </c>
      <c r="E9" t="s">
        <v>2853</v>
      </c>
      <c r="F9" t="s">
        <v>7338</v>
      </c>
      <c r="G9" t="s">
        <v>7338</v>
      </c>
      <c r="I9" t="s">
        <v>2801</v>
      </c>
    </row>
    <row r="10" spans="1:10" x14ac:dyDescent="0.25">
      <c r="A10" t="s">
        <v>7526</v>
      </c>
      <c r="B10" t="s">
        <v>87</v>
      </c>
      <c r="C10" s="167">
        <v>1.9</v>
      </c>
      <c r="D10" t="s">
        <v>59</v>
      </c>
      <c r="E10" t="s">
        <v>2853</v>
      </c>
      <c r="F10" t="s">
        <v>7338</v>
      </c>
      <c r="G10" t="s">
        <v>7338</v>
      </c>
      <c r="I10" t="s">
        <v>2801</v>
      </c>
    </row>
    <row r="11" spans="1:10" x14ac:dyDescent="0.25">
      <c r="A11" t="s">
        <v>32</v>
      </c>
      <c r="B11" t="s">
        <v>87</v>
      </c>
      <c r="C11" s="167">
        <v>1.73</v>
      </c>
      <c r="D11" t="s">
        <v>19</v>
      </c>
      <c r="E11" t="s">
        <v>2853</v>
      </c>
      <c r="F11" t="s">
        <v>7338</v>
      </c>
      <c r="G11" t="s">
        <v>7338</v>
      </c>
      <c r="I11" t="s">
        <v>2801</v>
      </c>
    </row>
    <row r="12" spans="1:10" x14ac:dyDescent="0.25">
      <c r="A12" t="s">
        <v>88</v>
      </c>
      <c r="B12" t="s">
        <v>87</v>
      </c>
      <c r="C12" s="167">
        <v>1.73</v>
      </c>
      <c r="D12" t="s">
        <v>21</v>
      </c>
      <c r="E12" t="s">
        <v>2853</v>
      </c>
      <c r="F12" t="s">
        <v>7338</v>
      </c>
      <c r="G12" t="s">
        <v>7338</v>
      </c>
      <c r="I12" t="s">
        <v>2801</v>
      </c>
    </row>
    <row r="13" spans="1:10" x14ac:dyDescent="0.25">
      <c r="A13" t="s">
        <v>570</v>
      </c>
      <c r="B13" t="s">
        <v>87</v>
      </c>
      <c r="C13" s="167">
        <v>2.5</v>
      </c>
      <c r="D13" t="s">
        <v>563</v>
      </c>
      <c r="E13" t="s">
        <v>2853</v>
      </c>
      <c r="F13" t="s">
        <v>7338</v>
      </c>
      <c r="G13" t="s">
        <v>7338</v>
      </c>
      <c r="I13" t="s">
        <v>2801</v>
      </c>
    </row>
    <row r="14" spans="1:10" x14ac:dyDescent="0.25">
      <c r="A14" t="s">
        <v>4643</v>
      </c>
      <c r="B14" t="s">
        <v>87</v>
      </c>
      <c r="C14" s="167">
        <v>1.9</v>
      </c>
      <c r="D14" t="s">
        <v>4633</v>
      </c>
      <c r="E14" t="s">
        <v>2853</v>
      </c>
      <c r="F14" t="s">
        <v>7338</v>
      </c>
      <c r="G14" t="s">
        <v>7338</v>
      </c>
      <c r="I14" t="s">
        <v>2801</v>
      </c>
    </row>
    <row r="15" spans="1:10" x14ac:dyDescent="0.25">
      <c r="A15" t="s">
        <v>676</v>
      </c>
      <c r="B15" t="s">
        <v>87</v>
      </c>
      <c r="C15" s="167">
        <v>2.5</v>
      </c>
      <c r="D15" t="s">
        <v>671</v>
      </c>
      <c r="E15" t="s">
        <v>2853</v>
      </c>
      <c r="F15" t="s">
        <v>7338</v>
      </c>
      <c r="G15" t="s">
        <v>7338</v>
      </c>
      <c r="I15" t="s">
        <v>2801</v>
      </c>
    </row>
    <row r="16" spans="1:10" x14ac:dyDescent="0.25">
      <c r="A16" t="s">
        <v>7523</v>
      </c>
      <c r="B16" t="s">
        <v>566</v>
      </c>
      <c r="C16" s="167">
        <v>2.74</v>
      </c>
      <c r="D16" t="s">
        <v>59</v>
      </c>
      <c r="E16" t="s">
        <v>2853</v>
      </c>
      <c r="F16" t="s">
        <v>7338</v>
      </c>
      <c r="G16" t="s">
        <v>7338</v>
      </c>
      <c r="I16" t="s">
        <v>2801</v>
      </c>
    </row>
    <row r="17" spans="1:9" x14ac:dyDescent="0.25">
      <c r="A17" t="s">
        <v>37</v>
      </c>
      <c r="B17" t="s">
        <v>566</v>
      </c>
      <c r="C17" s="167">
        <v>2.62</v>
      </c>
      <c r="D17" t="s">
        <v>19</v>
      </c>
      <c r="E17" t="s">
        <v>2853</v>
      </c>
      <c r="F17" t="s">
        <v>7338</v>
      </c>
      <c r="G17" t="s">
        <v>7338</v>
      </c>
      <c r="I17" t="s">
        <v>2801</v>
      </c>
    </row>
    <row r="18" spans="1:9" x14ac:dyDescent="0.25">
      <c r="A18" t="s">
        <v>38</v>
      </c>
      <c r="B18" t="s">
        <v>566</v>
      </c>
      <c r="C18" s="167">
        <v>2.62</v>
      </c>
      <c r="D18" t="s">
        <v>21</v>
      </c>
      <c r="E18" t="s">
        <v>2853</v>
      </c>
      <c r="F18" t="s">
        <v>7338</v>
      </c>
      <c r="G18" t="s">
        <v>7338</v>
      </c>
      <c r="I18" t="s">
        <v>2801</v>
      </c>
    </row>
    <row r="19" spans="1:9" x14ac:dyDescent="0.25">
      <c r="A19" t="s">
        <v>565</v>
      </c>
      <c r="B19" t="s">
        <v>566</v>
      </c>
      <c r="C19" s="167">
        <v>3.3</v>
      </c>
      <c r="D19" t="s">
        <v>563</v>
      </c>
      <c r="E19" t="s">
        <v>2853</v>
      </c>
      <c r="F19" t="s">
        <v>7338</v>
      </c>
      <c r="G19" t="s">
        <v>7338</v>
      </c>
      <c r="I19" t="s">
        <v>2801</v>
      </c>
    </row>
    <row r="20" spans="1:9" x14ac:dyDescent="0.25">
      <c r="A20" t="s">
        <v>4641</v>
      </c>
      <c r="B20" t="s">
        <v>566</v>
      </c>
      <c r="C20" s="167">
        <v>2.74</v>
      </c>
      <c r="D20" t="s">
        <v>4633</v>
      </c>
      <c r="E20" t="s">
        <v>2853</v>
      </c>
      <c r="F20" t="s">
        <v>7338</v>
      </c>
      <c r="G20" t="s">
        <v>7338</v>
      </c>
      <c r="I20" t="s">
        <v>2801</v>
      </c>
    </row>
    <row r="21" spans="1:9" x14ac:dyDescent="0.25">
      <c r="A21" t="s">
        <v>673</v>
      </c>
      <c r="B21" t="s">
        <v>566</v>
      </c>
      <c r="C21" s="167">
        <v>3.3</v>
      </c>
      <c r="D21" t="s">
        <v>671</v>
      </c>
      <c r="E21" t="s">
        <v>2853</v>
      </c>
      <c r="F21" t="s">
        <v>7338</v>
      </c>
      <c r="G21" t="s">
        <v>7338</v>
      </c>
      <c r="I21" t="s">
        <v>2801</v>
      </c>
    </row>
    <row r="22" spans="1:9" x14ac:dyDescent="0.25">
      <c r="A22" t="s">
        <v>7524</v>
      </c>
      <c r="B22" t="s">
        <v>568</v>
      </c>
      <c r="C22" s="167">
        <v>3.13</v>
      </c>
      <c r="D22" t="s">
        <v>59</v>
      </c>
      <c r="E22" t="s">
        <v>2853</v>
      </c>
      <c r="F22" t="s">
        <v>7338</v>
      </c>
      <c r="G22" t="s">
        <v>7338</v>
      </c>
      <c r="I22" t="s">
        <v>2801</v>
      </c>
    </row>
    <row r="23" spans="1:9" x14ac:dyDescent="0.25">
      <c r="A23" t="s">
        <v>42</v>
      </c>
      <c r="B23" t="s">
        <v>568</v>
      </c>
      <c r="C23" s="167">
        <v>3</v>
      </c>
      <c r="D23" t="s">
        <v>19</v>
      </c>
      <c r="E23" t="s">
        <v>2853</v>
      </c>
      <c r="F23" t="s">
        <v>7338</v>
      </c>
      <c r="G23" t="s">
        <v>7338</v>
      </c>
      <c r="I23" t="s">
        <v>2801</v>
      </c>
    </row>
    <row r="24" spans="1:9" x14ac:dyDescent="0.25">
      <c r="A24" t="s">
        <v>85</v>
      </c>
      <c r="B24" t="s">
        <v>568</v>
      </c>
      <c r="C24" s="167">
        <v>3.01</v>
      </c>
      <c r="D24" t="s">
        <v>21</v>
      </c>
      <c r="E24" t="s">
        <v>2853</v>
      </c>
      <c r="F24" t="s">
        <v>7338</v>
      </c>
      <c r="G24" t="s">
        <v>7338</v>
      </c>
      <c r="I24" t="s">
        <v>2801</v>
      </c>
    </row>
    <row r="25" spans="1:9" x14ac:dyDescent="0.25">
      <c r="A25" t="s">
        <v>567</v>
      </c>
      <c r="B25" t="s">
        <v>568</v>
      </c>
      <c r="C25" s="167">
        <v>3.84</v>
      </c>
      <c r="D25" t="s">
        <v>563</v>
      </c>
      <c r="E25" t="s">
        <v>2853</v>
      </c>
      <c r="F25" t="s">
        <v>7338</v>
      </c>
      <c r="G25" t="s">
        <v>7338</v>
      </c>
      <c r="I25" t="s">
        <v>2801</v>
      </c>
    </row>
    <row r="26" spans="1:9" x14ac:dyDescent="0.25">
      <c r="A26" t="s">
        <v>7333</v>
      </c>
      <c r="B26" t="s">
        <v>568</v>
      </c>
      <c r="C26" s="167">
        <v>3.13</v>
      </c>
      <c r="D26" t="s">
        <v>4633</v>
      </c>
      <c r="E26" t="s">
        <v>2853</v>
      </c>
      <c r="F26" t="s">
        <v>7338</v>
      </c>
      <c r="G26" t="s">
        <v>7338</v>
      </c>
      <c r="I26" t="s">
        <v>2801</v>
      </c>
    </row>
    <row r="27" spans="1:9" x14ac:dyDescent="0.25">
      <c r="A27" t="s">
        <v>674</v>
      </c>
      <c r="B27" t="s">
        <v>568</v>
      </c>
      <c r="C27" s="167">
        <v>3.84</v>
      </c>
      <c r="D27" t="s">
        <v>671</v>
      </c>
      <c r="E27" t="s">
        <v>2853</v>
      </c>
      <c r="F27" t="s">
        <v>7338</v>
      </c>
      <c r="G27" t="s">
        <v>7338</v>
      </c>
      <c r="I27" t="s">
        <v>2801</v>
      </c>
    </row>
    <row r="28" spans="1:9" x14ac:dyDescent="0.25">
      <c r="A28" t="s">
        <v>7520</v>
      </c>
      <c r="B28" t="s">
        <v>5137</v>
      </c>
      <c r="C28" s="167">
        <v>16.54</v>
      </c>
      <c r="D28" t="s">
        <v>59</v>
      </c>
      <c r="E28" t="s">
        <v>2853</v>
      </c>
      <c r="F28" t="s">
        <v>7338</v>
      </c>
      <c r="G28" t="s">
        <v>7338</v>
      </c>
      <c r="H28">
        <v>96</v>
      </c>
      <c r="I28" t="s">
        <v>2801</v>
      </c>
    </row>
    <row r="29" spans="1:9" x14ac:dyDescent="0.25">
      <c r="A29" t="s">
        <v>51</v>
      </c>
      <c r="B29" t="s">
        <v>5137</v>
      </c>
      <c r="C29" s="167">
        <v>16.940000000000001</v>
      </c>
      <c r="D29" t="s">
        <v>19</v>
      </c>
      <c r="E29" t="s">
        <v>2853</v>
      </c>
      <c r="F29" t="s">
        <v>7338</v>
      </c>
      <c r="G29" t="s">
        <v>7338</v>
      </c>
      <c r="H29">
        <v>96</v>
      </c>
      <c r="I29" t="s">
        <v>2801</v>
      </c>
    </row>
    <row r="30" spans="1:9" x14ac:dyDescent="0.25">
      <c r="A30" t="s">
        <v>54</v>
      </c>
      <c r="B30" t="s">
        <v>5137</v>
      </c>
      <c r="C30" s="167">
        <v>15.14</v>
      </c>
      <c r="D30" t="s">
        <v>21</v>
      </c>
      <c r="E30" t="s">
        <v>2853</v>
      </c>
      <c r="F30" t="s">
        <v>7338</v>
      </c>
      <c r="G30" t="s">
        <v>7338</v>
      </c>
      <c r="H30">
        <v>96</v>
      </c>
      <c r="I30" t="s">
        <v>2801</v>
      </c>
    </row>
    <row r="31" spans="1:9" x14ac:dyDescent="0.25">
      <c r="A31" t="s">
        <v>5136</v>
      </c>
      <c r="B31" t="s">
        <v>5137</v>
      </c>
      <c r="C31" s="167">
        <v>18.62</v>
      </c>
      <c r="D31" t="s">
        <v>563</v>
      </c>
      <c r="E31" t="s">
        <v>2853</v>
      </c>
      <c r="F31" t="s">
        <v>7338</v>
      </c>
      <c r="G31" t="s">
        <v>7338</v>
      </c>
      <c r="H31">
        <v>96</v>
      </c>
      <c r="I31" t="s">
        <v>2801</v>
      </c>
    </row>
    <row r="32" spans="1:9" x14ac:dyDescent="0.25">
      <c r="A32" t="s">
        <v>7332</v>
      </c>
      <c r="B32" t="s">
        <v>5137</v>
      </c>
      <c r="C32" s="167">
        <v>15.53</v>
      </c>
      <c r="D32" t="s">
        <v>4633</v>
      </c>
      <c r="E32" t="s">
        <v>2853</v>
      </c>
      <c r="F32" t="s">
        <v>7338</v>
      </c>
      <c r="G32" t="s">
        <v>7338</v>
      </c>
      <c r="H32">
        <v>96</v>
      </c>
      <c r="I32" t="s">
        <v>2801</v>
      </c>
    </row>
    <row r="33" spans="1:9" x14ac:dyDescent="0.25">
      <c r="A33" t="s">
        <v>5228</v>
      </c>
      <c r="B33" t="s">
        <v>5137</v>
      </c>
      <c r="C33" s="167">
        <v>18.62</v>
      </c>
      <c r="D33" t="s">
        <v>671</v>
      </c>
      <c r="E33" t="s">
        <v>2853</v>
      </c>
      <c r="F33" t="s">
        <v>7338</v>
      </c>
      <c r="G33" t="s">
        <v>7338</v>
      </c>
      <c r="H33">
        <v>96</v>
      </c>
      <c r="I33" t="s">
        <v>2801</v>
      </c>
    </row>
    <row r="34" spans="1:9" x14ac:dyDescent="0.25">
      <c r="A34" t="s">
        <v>7521</v>
      </c>
      <c r="B34" t="s">
        <v>73</v>
      </c>
      <c r="C34" s="167">
        <v>18.28</v>
      </c>
      <c r="D34" t="s">
        <v>59</v>
      </c>
      <c r="E34" t="s">
        <v>2853</v>
      </c>
      <c r="F34" t="s">
        <v>7338</v>
      </c>
      <c r="G34" t="s">
        <v>7338</v>
      </c>
      <c r="H34">
        <v>96</v>
      </c>
      <c r="I34" t="s">
        <v>2801</v>
      </c>
    </row>
    <row r="35" spans="1:9" x14ac:dyDescent="0.25">
      <c r="A35" t="s">
        <v>61</v>
      </c>
      <c r="B35" t="s">
        <v>73</v>
      </c>
      <c r="C35" s="167">
        <v>18.829999999999998</v>
      </c>
      <c r="D35" t="s">
        <v>19</v>
      </c>
      <c r="E35" t="s">
        <v>2853</v>
      </c>
      <c r="F35" t="s">
        <v>7338</v>
      </c>
      <c r="G35" t="s">
        <v>7338</v>
      </c>
      <c r="H35">
        <v>96</v>
      </c>
      <c r="I35" t="s">
        <v>2801</v>
      </c>
    </row>
    <row r="36" spans="1:9" x14ac:dyDescent="0.25">
      <c r="A36" t="s">
        <v>62</v>
      </c>
      <c r="B36" t="s">
        <v>73</v>
      </c>
      <c r="C36" s="167">
        <v>16.87</v>
      </c>
      <c r="D36" t="s">
        <v>21</v>
      </c>
      <c r="E36" t="s">
        <v>2853</v>
      </c>
      <c r="F36" t="s">
        <v>7338</v>
      </c>
      <c r="G36" t="s">
        <v>7338</v>
      </c>
      <c r="H36">
        <v>96</v>
      </c>
      <c r="I36" t="s">
        <v>2801</v>
      </c>
    </row>
    <row r="37" spans="1:9" x14ac:dyDescent="0.25">
      <c r="A37" t="s">
        <v>562</v>
      </c>
      <c r="B37" t="s">
        <v>73</v>
      </c>
      <c r="C37" s="167">
        <v>20.75</v>
      </c>
      <c r="D37" t="s">
        <v>563</v>
      </c>
      <c r="E37" t="s">
        <v>2853</v>
      </c>
      <c r="F37" t="s">
        <v>7338</v>
      </c>
      <c r="G37" t="s">
        <v>7338</v>
      </c>
      <c r="H37">
        <v>96</v>
      </c>
      <c r="I37" t="s">
        <v>2801</v>
      </c>
    </row>
    <row r="38" spans="1:9" x14ac:dyDescent="0.25">
      <c r="A38" t="s">
        <v>4639</v>
      </c>
      <c r="B38" t="s">
        <v>73</v>
      </c>
      <c r="C38" s="167">
        <v>17.27</v>
      </c>
      <c r="D38" t="s">
        <v>4633</v>
      </c>
      <c r="E38" t="s">
        <v>2853</v>
      </c>
      <c r="F38" t="s">
        <v>7338</v>
      </c>
      <c r="G38" t="s">
        <v>7338</v>
      </c>
      <c r="H38">
        <v>96</v>
      </c>
      <c r="I38" t="s">
        <v>2801</v>
      </c>
    </row>
    <row r="39" spans="1:9" x14ac:dyDescent="0.25">
      <c r="A39" t="s">
        <v>670</v>
      </c>
      <c r="B39" t="s">
        <v>73</v>
      </c>
      <c r="C39" s="167">
        <v>20.75</v>
      </c>
      <c r="D39" t="s">
        <v>671</v>
      </c>
      <c r="E39" t="s">
        <v>2853</v>
      </c>
      <c r="F39" t="s">
        <v>7338</v>
      </c>
      <c r="G39" t="s">
        <v>7338</v>
      </c>
      <c r="H39">
        <v>96</v>
      </c>
      <c r="I39" t="s">
        <v>2801</v>
      </c>
    </row>
    <row r="40" spans="1:9" x14ac:dyDescent="0.25">
      <c r="A40" t="s">
        <v>7525</v>
      </c>
      <c r="B40" t="s">
        <v>86</v>
      </c>
      <c r="C40" s="167">
        <v>22.96</v>
      </c>
      <c r="D40" t="s">
        <v>59</v>
      </c>
      <c r="E40" t="s">
        <v>2853</v>
      </c>
      <c r="F40" t="s">
        <v>7338</v>
      </c>
      <c r="G40" t="s">
        <v>7338</v>
      </c>
      <c r="H40">
        <v>96</v>
      </c>
      <c r="I40" t="s">
        <v>2801</v>
      </c>
    </row>
    <row r="41" spans="1:9" x14ac:dyDescent="0.25">
      <c r="A41" t="s">
        <v>67</v>
      </c>
      <c r="B41" t="s">
        <v>86</v>
      </c>
      <c r="C41" s="167">
        <v>23.09</v>
      </c>
      <c r="D41" t="s">
        <v>19</v>
      </c>
      <c r="E41" t="s">
        <v>2853</v>
      </c>
      <c r="F41" t="s">
        <v>7338</v>
      </c>
      <c r="G41" t="s">
        <v>7338</v>
      </c>
      <c r="H41">
        <v>96</v>
      </c>
      <c r="I41" t="s">
        <v>2801</v>
      </c>
    </row>
    <row r="42" spans="1:9" x14ac:dyDescent="0.25">
      <c r="A42" t="s">
        <v>68</v>
      </c>
      <c r="B42" t="s">
        <v>86</v>
      </c>
      <c r="C42" s="167">
        <v>20.47</v>
      </c>
      <c r="D42" t="s">
        <v>21</v>
      </c>
      <c r="E42" t="s">
        <v>2853</v>
      </c>
      <c r="F42" t="s">
        <v>7338</v>
      </c>
      <c r="G42" t="s">
        <v>7338</v>
      </c>
      <c r="H42">
        <v>96</v>
      </c>
      <c r="I42" t="s">
        <v>2801</v>
      </c>
    </row>
    <row r="43" spans="1:9" x14ac:dyDescent="0.25">
      <c r="A43" t="s">
        <v>569</v>
      </c>
      <c r="B43" t="s">
        <v>86</v>
      </c>
      <c r="C43" s="167">
        <v>25.27</v>
      </c>
      <c r="D43" t="s">
        <v>563</v>
      </c>
      <c r="E43" t="s">
        <v>2853</v>
      </c>
      <c r="F43" t="s">
        <v>7338</v>
      </c>
      <c r="G43" t="s">
        <v>7338</v>
      </c>
      <c r="H43">
        <v>96</v>
      </c>
      <c r="I43" t="s">
        <v>2801</v>
      </c>
    </row>
    <row r="44" spans="1:9" x14ac:dyDescent="0.25">
      <c r="A44" t="s">
        <v>4642</v>
      </c>
      <c r="B44" t="s">
        <v>86</v>
      </c>
      <c r="C44" s="167">
        <v>20.47</v>
      </c>
      <c r="D44" t="s">
        <v>4633</v>
      </c>
      <c r="E44" t="s">
        <v>2853</v>
      </c>
      <c r="F44" t="s">
        <v>7338</v>
      </c>
      <c r="G44" t="s">
        <v>7338</v>
      </c>
      <c r="H44">
        <v>96</v>
      </c>
      <c r="I44" t="s">
        <v>2801</v>
      </c>
    </row>
    <row r="45" spans="1:9" x14ac:dyDescent="0.25">
      <c r="A45" t="s">
        <v>675</v>
      </c>
      <c r="B45" t="s">
        <v>86</v>
      </c>
      <c r="C45" s="167">
        <v>25.27</v>
      </c>
      <c r="D45" t="s">
        <v>671</v>
      </c>
      <c r="E45" t="s">
        <v>2853</v>
      </c>
      <c r="F45" t="s">
        <v>7338</v>
      </c>
      <c r="G45" t="s">
        <v>7338</v>
      </c>
      <c r="H45">
        <v>96</v>
      </c>
      <c r="I45" t="s">
        <v>2801</v>
      </c>
    </row>
    <row r="46" spans="1:9" x14ac:dyDescent="0.25">
      <c r="A46" t="s">
        <v>7714</v>
      </c>
      <c r="B46" t="s">
        <v>7715</v>
      </c>
      <c r="C46" s="167">
        <v>24</v>
      </c>
      <c r="D46" t="s">
        <v>2853</v>
      </c>
      <c r="E46" t="s">
        <v>1701</v>
      </c>
      <c r="F46" t="s">
        <v>7338</v>
      </c>
      <c r="G46" t="s">
        <v>7338</v>
      </c>
      <c r="H46">
        <v>36</v>
      </c>
      <c r="I46" t="s">
        <v>2801</v>
      </c>
    </row>
    <row r="47" spans="1:9" x14ac:dyDescent="0.25">
      <c r="A47" t="s">
        <v>7716</v>
      </c>
      <c r="B47" t="s">
        <v>7717</v>
      </c>
      <c r="C47" s="167">
        <v>24</v>
      </c>
      <c r="D47" t="s">
        <v>2853</v>
      </c>
      <c r="E47" t="s">
        <v>1699</v>
      </c>
      <c r="F47" t="s">
        <v>7338</v>
      </c>
      <c r="G47" t="s">
        <v>7338</v>
      </c>
      <c r="H47">
        <v>36</v>
      </c>
      <c r="I47" t="s">
        <v>2801</v>
      </c>
    </row>
    <row r="48" spans="1:9" x14ac:dyDescent="0.25">
      <c r="A48" t="s">
        <v>7718</v>
      </c>
      <c r="B48" t="s">
        <v>7719</v>
      </c>
      <c r="C48" s="167">
        <v>24</v>
      </c>
      <c r="D48" t="s">
        <v>2853</v>
      </c>
      <c r="E48" t="s">
        <v>1703</v>
      </c>
      <c r="F48" t="s">
        <v>7338</v>
      </c>
      <c r="G48" t="s">
        <v>7338</v>
      </c>
      <c r="H48">
        <v>36</v>
      </c>
      <c r="I48" t="s">
        <v>2801</v>
      </c>
    </row>
    <row r="49" spans="1:9" x14ac:dyDescent="0.25">
      <c r="A49" t="s">
        <v>7720</v>
      </c>
      <c r="B49" t="s">
        <v>7721</v>
      </c>
      <c r="C49" s="167">
        <v>3.4</v>
      </c>
      <c r="D49" t="s">
        <v>59</v>
      </c>
      <c r="E49" t="s">
        <v>2853</v>
      </c>
      <c r="F49" t="s">
        <v>7338</v>
      </c>
      <c r="G49" t="s">
        <v>7338</v>
      </c>
      <c r="I49" t="s">
        <v>2801</v>
      </c>
    </row>
    <row r="50" spans="1:9" x14ac:dyDescent="0.25">
      <c r="A50" t="s">
        <v>7722</v>
      </c>
      <c r="B50" t="s">
        <v>7723</v>
      </c>
      <c r="C50" s="167">
        <v>3.2</v>
      </c>
      <c r="D50" t="s">
        <v>19</v>
      </c>
      <c r="E50" t="s">
        <v>2853</v>
      </c>
      <c r="F50" t="s">
        <v>7338</v>
      </c>
      <c r="G50" t="s">
        <v>7338</v>
      </c>
      <c r="I50" t="s">
        <v>2801</v>
      </c>
    </row>
    <row r="51" spans="1:9" x14ac:dyDescent="0.25">
      <c r="A51" t="s">
        <v>7724</v>
      </c>
      <c r="B51" t="s">
        <v>7725</v>
      </c>
      <c r="C51" s="167">
        <v>3.2</v>
      </c>
      <c r="D51" t="s">
        <v>21</v>
      </c>
      <c r="E51" t="s">
        <v>2853</v>
      </c>
      <c r="F51" t="s">
        <v>7338</v>
      </c>
      <c r="G51" t="s">
        <v>7338</v>
      </c>
      <c r="I51" t="s">
        <v>2801</v>
      </c>
    </row>
    <row r="52" spans="1:9" x14ac:dyDescent="0.25">
      <c r="A52" t="s">
        <v>7726</v>
      </c>
      <c r="B52" t="s">
        <v>7727</v>
      </c>
      <c r="C52" s="167">
        <v>3.8</v>
      </c>
      <c r="D52" t="s">
        <v>563</v>
      </c>
      <c r="E52" t="s">
        <v>2853</v>
      </c>
      <c r="F52" t="s">
        <v>7338</v>
      </c>
      <c r="G52" t="s">
        <v>7338</v>
      </c>
      <c r="I52" t="s">
        <v>2801</v>
      </c>
    </row>
    <row r="53" spans="1:9" x14ac:dyDescent="0.25">
      <c r="A53" t="s">
        <v>7728</v>
      </c>
      <c r="B53" t="s">
        <v>7729</v>
      </c>
      <c r="C53" s="167">
        <v>3.4</v>
      </c>
      <c r="D53" t="s">
        <v>4633</v>
      </c>
      <c r="E53" t="s">
        <v>2853</v>
      </c>
      <c r="F53" t="s">
        <v>7338</v>
      </c>
      <c r="G53" t="s">
        <v>7338</v>
      </c>
      <c r="I53" t="s">
        <v>2801</v>
      </c>
    </row>
    <row r="54" spans="1:9" x14ac:dyDescent="0.25">
      <c r="A54" t="s">
        <v>7730</v>
      </c>
      <c r="B54" t="s">
        <v>7731</v>
      </c>
      <c r="C54" s="167">
        <v>3.8</v>
      </c>
      <c r="D54" t="s">
        <v>21</v>
      </c>
      <c r="E54" t="s">
        <v>2853</v>
      </c>
      <c r="F54" t="s">
        <v>7338</v>
      </c>
      <c r="G54" t="s">
        <v>7338</v>
      </c>
      <c r="I54" t="s">
        <v>2801</v>
      </c>
    </row>
    <row r="55" spans="1:9" x14ac:dyDescent="0.25">
      <c r="A55" t="s">
        <v>7567</v>
      </c>
      <c r="B55" t="s">
        <v>198</v>
      </c>
      <c r="C55" s="167">
        <v>5.53</v>
      </c>
      <c r="D55" t="s">
        <v>59</v>
      </c>
      <c r="E55" t="s">
        <v>2853</v>
      </c>
      <c r="F55" t="s">
        <v>7338</v>
      </c>
      <c r="G55" t="s">
        <v>7338</v>
      </c>
      <c r="I55" t="s">
        <v>2803</v>
      </c>
    </row>
    <row r="56" spans="1:9" x14ac:dyDescent="0.25">
      <c r="A56" t="s">
        <v>72</v>
      </c>
      <c r="B56" t="s">
        <v>198</v>
      </c>
      <c r="C56" s="167">
        <v>4.8600000000000003</v>
      </c>
      <c r="D56" t="s">
        <v>19</v>
      </c>
      <c r="E56" t="s">
        <v>2853</v>
      </c>
      <c r="F56" t="s">
        <v>7338</v>
      </c>
      <c r="G56" t="s">
        <v>7338</v>
      </c>
      <c r="I56" t="s">
        <v>2803</v>
      </c>
    </row>
    <row r="57" spans="1:9" x14ac:dyDescent="0.25">
      <c r="A57" t="s">
        <v>4683</v>
      </c>
      <c r="B57" t="s">
        <v>4684</v>
      </c>
      <c r="C57" s="167">
        <v>5.53</v>
      </c>
      <c r="D57" t="s">
        <v>4633</v>
      </c>
      <c r="E57" t="s">
        <v>2853</v>
      </c>
      <c r="F57" t="s">
        <v>7338</v>
      </c>
      <c r="G57" t="s">
        <v>7338</v>
      </c>
      <c r="I57" t="s">
        <v>2803</v>
      </c>
    </row>
    <row r="58" spans="1:9" x14ac:dyDescent="0.25">
      <c r="A58" t="s">
        <v>8031</v>
      </c>
      <c r="B58" t="s">
        <v>8032</v>
      </c>
      <c r="C58" s="167">
        <v>6.2</v>
      </c>
      <c r="D58" t="s">
        <v>59</v>
      </c>
      <c r="E58" t="s">
        <v>2853</v>
      </c>
      <c r="F58" t="s">
        <v>7338</v>
      </c>
      <c r="G58" t="s">
        <v>7338</v>
      </c>
      <c r="I58" t="s">
        <v>2802</v>
      </c>
    </row>
    <row r="59" spans="1:9" x14ac:dyDescent="0.25">
      <c r="A59" t="s">
        <v>8033</v>
      </c>
      <c r="B59" t="s">
        <v>8034</v>
      </c>
      <c r="C59" s="167">
        <v>6.2</v>
      </c>
      <c r="D59" t="s">
        <v>59</v>
      </c>
      <c r="E59" t="s">
        <v>2853</v>
      </c>
      <c r="F59" t="s">
        <v>7338</v>
      </c>
      <c r="G59" t="s">
        <v>7338</v>
      </c>
      <c r="I59" t="s">
        <v>2802</v>
      </c>
    </row>
    <row r="60" spans="1:9" x14ac:dyDescent="0.25">
      <c r="A60" t="s">
        <v>8025</v>
      </c>
      <c r="B60" t="s">
        <v>8026</v>
      </c>
      <c r="C60" s="167">
        <v>6.2</v>
      </c>
      <c r="D60" t="s">
        <v>59</v>
      </c>
      <c r="E60" t="s">
        <v>2853</v>
      </c>
      <c r="F60" t="s">
        <v>7338</v>
      </c>
      <c r="G60" t="s">
        <v>7338</v>
      </c>
      <c r="I60" t="s">
        <v>2802</v>
      </c>
    </row>
    <row r="61" spans="1:9" x14ac:dyDescent="0.25">
      <c r="A61" t="s">
        <v>8029</v>
      </c>
      <c r="B61" t="s">
        <v>8030</v>
      </c>
      <c r="C61" s="167">
        <v>6.2</v>
      </c>
      <c r="D61" t="s">
        <v>59</v>
      </c>
      <c r="E61" t="s">
        <v>2853</v>
      </c>
      <c r="F61" t="s">
        <v>7338</v>
      </c>
      <c r="G61" t="s">
        <v>7338</v>
      </c>
      <c r="I61" t="s">
        <v>2802</v>
      </c>
    </row>
    <row r="62" spans="1:9" x14ac:dyDescent="0.25">
      <c r="A62" t="s">
        <v>8023</v>
      </c>
      <c r="B62" t="s">
        <v>8024</v>
      </c>
      <c r="C62" s="167">
        <v>6.2</v>
      </c>
      <c r="D62" t="s">
        <v>59</v>
      </c>
      <c r="E62" t="s">
        <v>2853</v>
      </c>
      <c r="F62" t="s">
        <v>7338</v>
      </c>
      <c r="G62" t="s">
        <v>7338</v>
      </c>
      <c r="I62" t="s">
        <v>2802</v>
      </c>
    </row>
    <row r="63" spans="1:9" x14ac:dyDescent="0.25">
      <c r="A63" t="s">
        <v>8027</v>
      </c>
      <c r="B63" t="s">
        <v>8028</v>
      </c>
      <c r="C63" s="167">
        <v>6.2</v>
      </c>
      <c r="D63" t="s">
        <v>59</v>
      </c>
      <c r="E63" t="s">
        <v>2853</v>
      </c>
      <c r="F63" t="s">
        <v>7338</v>
      </c>
      <c r="G63" t="s">
        <v>7338</v>
      </c>
      <c r="I63" t="s">
        <v>2802</v>
      </c>
    </row>
    <row r="64" spans="1:9" x14ac:dyDescent="0.25">
      <c r="A64" t="s">
        <v>7575</v>
      </c>
      <c r="B64" t="s">
        <v>218</v>
      </c>
      <c r="C64" s="167">
        <v>4.34</v>
      </c>
      <c r="D64" t="s">
        <v>59</v>
      </c>
      <c r="E64" t="s">
        <v>2853</v>
      </c>
      <c r="F64" t="s">
        <v>7338</v>
      </c>
      <c r="G64" t="s">
        <v>7338</v>
      </c>
      <c r="I64" t="s">
        <v>2802</v>
      </c>
    </row>
    <row r="65" spans="1:9" x14ac:dyDescent="0.25">
      <c r="A65" t="s">
        <v>77</v>
      </c>
      <c r="B65" t="s">
        <v>218</v>
      </c>
      <c r="C65" s="167">
        <v>3.67</v>
      </c>
      <c r="D65" t="s">
        <v>19</v>
      </c>
      <c r="E65" t="s">
        <v>2853</v>
      </c>
      <c r="F65" t="s">
        <v>7338</v>
      </c>
      <c r="G65" t="s">
        <v>7338</v>
      </c>
      <c r="I65" t="s">
        <v>2802</v>
      </c>
    </row>
    <row r="66" spans="1:9" x14ac:dyDescent="0.25">
      <c r="A66" t="s">
        <v>78</v>
      </c>
      <c r="B66" t="s">
        <v>221</v>
      </c>
      <c r="C66" s="167">
        <v>13.31</v>
      </c>
      <c r="D66" t="s">
        <v>2853</v>
      </c>
      <c r="E66" t="s">
        <v>2853</v>
      </c>
      <c r="F66" t="s">
        <v>7338</v>
      </c>
      <c r="G66" t="s">
        <v>7338</v>
      </c>
      <c r="H66">
        <v>6.5</v>
      </c>
      <c r="I66" t="s">
        <v>2802</v>
      </c>
    </row>
    <row r="67" spans="1:9" x14ac:dyDescent="0.25">
      <c r="A67" t="s">
        <v>80</v>
      </c>
      <c r="B67" t="s">
        <v>218</v>
      </c>
      <c r="C67" s="167">
        <v>4.34</v>
      </c>
      <c r="D67" t="s">
        <v>21</v>
      </c>
      <c r="E67" t="s">
        <v>2853</v>
      </c>
      <c r="F67" t="s">
        <v>7338</v>
      </c>
      <c r="G67" t="s">
        <v>7338</v>
      </c>
      <c r="I67" t="s">
        <v>2802</v>
      </c>
    </row>
    <row r="68" spans="1:9" x14ac:dyDescent="0.25">
      <c r="A68" t="s">
        <v>616</v>
      </c>
      <c r="B68" t="s">
        <v>218</v>
      </c>
      <c r="C68" s="167">
        <v>5.18</v>
      </c>
      <c r="D68" t="s">
        <v>563</v>
      </c>
      <c r="E68" t="s">
        <v>2853</v>
      </c>
      <c r="F68" t="s">
        <v>7338</v>
      </c>
      <c r="G68" t="s">
        <v>7338</v>
      </c>
      <c r="I68" t="s">
        <v>2802</v>
      </c>
    </row>
    <row r="69" spans="1:9" x14ac:dyDescent="0.25">
      <c r="A69" t="s">
        <v>4692</v>
      </c>
      <c r="B69" t="s">
        <v>218</v>
      </c>
      <c r="C69" s="167">
        <v>4.34</v>
      </c>
      <c r="D69" t="s">
        <v>4633</v>
      </c>
      <c r="E69" t="s">
        <v>2853</v>
      </c>
      <c r="F69" t="s">
        <v>7338</v>
      </c>
      <c r="G69" t="s">
        <v>7338</v>
      </c>
      <c r="I69" t="s">
        <v>2802</v>
      </c>
    </row>
    <row r="70" spans="1:9" x14ac:dyDescent="0.25">
      <c r="A70" t="s">
        <v>719</v>
      </c>
      <c r="B70" t="s">
        <v>218</v>
      </c>
      <c r="C70" s="167">
        <v>5.18</v>
      </c>
      <c r="D70" t="s">
        <v>671</v>
      </c>
      <c r="E70" t="s">
        <v>2853</v>
      </c>
      <c r="F70" t="s">
        <v>7338</v>
      </c>
      <c r="G70" t="s">
        <v>7338</v>
      </c>
      <c r="I70" t="s">
        <v>2802</v>
      </c>
    </row>
    <row r="71" spans="1:9" x14ac:dyDescent="0.25">
      <c r="A71" t="s">
        <v>82</v>
      </c>
      <c r="B71" t="s">
        <v>223</v>
      </c>
      <c r="C71" s="167">
        <v>20.61</v>
      </c>
      <c r="D71" t="s">
        <v>2853</v>
      </c>
      <c r="E71" t="s">
        <v>2853</v>
      </c>
      <c r="F71" t="s">
        <v>7338</v>
      </c>
      <c r="G71" t="s">
        <v>7338</v>
      </c>
      <c r="H71">
        <v>18</v>
      </c>
      <c r="I71" t="s">
        <v>2802</v>
      </c>
    </row>
    <row r="72" spans="1:9" x14ac:dyDescent="0.25">
      <c r="A72" t="s">
        <v>224</v>
      </c>
      <c r="B72" t="s">
        <v>225</v>
      </c>
      <c r="C72" s="167">
        <v>28.04</v>
      </c>
      <c r="D72" t="s">
        <v>2853</v>
      </c>
      <c r="E72" t="s">
        <v>2853</v>
      </c>
      <c r="F72" t="s">
        <v>7338</v>
      </c>
      <c r="G72" t="s">
        <v>7338</v>
      </c>
      <c r="H72">
        <v>18</v>
      </c>
      <c r="I72" t="s">
        <v>2802</v>
      </c>
    </row>
    <row r="73" spans="1:9" x14ac:dyDescent="0.25">
      <c r="A73" t="s">
        <v>84</v>
      </c>
      <c r="B73" t="s">
        <v>226</v>
      </c>
      <c r="C73" s="167">
        <v>69.28</v>
      </c>
      <c r="D73" t="s">
        <v>2853</v>
      </c>
      <c r="E73" t="s">
        <v>2853</v>
      </c>
      <c r="F73" t="s">
        <v>7338</v>
      </c>
      <c r="G73" t="s">
        <v>7338</v>
      </c>
      <c r="I73" t="s">
        <v>2802</v>
      </c>
    </row>
    <row r="74" spans="1:9" x14ac:dyDescent="0.25">
      <c r="A74" t="s">
        <v>7514</v>
      </c>
      <c r="B74" t="s">
        <v>18</v>
      </c>
      <c r="C74" s="167">
        <v>84.07</v>
      </c>
      <c r="D74" t="s">
        <v>59</v>
      </c>
      <c r="E74" t="s">
        <v>2853</v>
      </c>
      <c r="F74" t="s">
        <v>7339</v>
      </c>
      <c r="G74" t="s">
        <v>7340</v>
      </c>
    </row>
    <row r="75" spans="1:9" x14ac:dyDescent="0.25">
      <c r="A75" t="s">
        <v>17</v>
      </c>
      <c r="B75" t="s">
        <v>18</v>
      </c>
      <c r="C75" s="167">
        <v>79.8</v>
      </c>
      <c r="D75" t="s">
        <v>19</v>
      </c>
      <c r="E75" t="s">
        <v>2853</v>
      </c>
      <c r="F75" t="s">
        <v>7339</v>
      </c>
      <c r="G75" t="s">
        <v>7340</v>
      </c>
    </row>
    <row r="76" spans="1:9" x14ac:dyDescent="0.25">
      <c r="A76" t="s">
        <v>20</v>
      </c>
      <c r="B76" t="s">
        <v>18</v>
      </c>
      <c r="C76" s="167">
        <v>79.760000000000005</v>
      </c>
      <c r="D76" t="s">
        <v>21</v>
      </c>
      <c r="E76" t="s">
        <v>2853</v>
      </c>
      <c r="F76" t="s">
        <v>7339</v>
      </c>
      <c r="G76" t="s">
        <v>7340</v>
      </c>
    </row>
    <row r="77" spans="1:9" x14ac:dyDescent="0.25">
      <c r="A77" t="s">
        <v>4632</v>
      </c>
      <c r="B77" t="s">
        <v>18</v>
      </c>
      <c r="C77" s="167">
        <v>79.760000000000005</v>
      </c>
      <c r="D77" t="s">
        <v>4633</v>
      </c>
      <c r="E77" t="s">
        <v>2853</v>
      </c>
      <c r="F77" t="s">
        <v>7339</v>
      </c>
      <c r="G77" t="s">
        <v>7340</v>
      </c>
    </row>
    <row r="78" spans="1:9" x14ac:dyDescent="0.25">
      <c r="A78" t="s">
        <v>7515</v>
      </c>
      <c r="B78" t="s">
        <v>23</v>
      </c>
      <c r="C78" s="167">
        <v>99.94</v>
      </c>
      <c r="D78" t="s">
        <v>59</v>
      </c>
      <c r="E78" t="s">
        <v>2853</v>
      </c>
      <c r="F78" t="s">
        <v>7341</v>
      </c>
      <c r="G78" t="s">
        <v>7340</v>
      </c>
    </row>
    <row r="79" spans="1:9" x14ac:dyDescent="0.25">
      <c r="A79" t="s">
        <v>22</v>
      </c>
      <c r="B79" t="s">
        <v>23</v>
      </c>
      <c r="C79" s="167">
        <v>95.66</v>
      </c>
      <c r="D79" t="s">
        <v>19</v>
      </c>
      <c r="E79" t="s">
        <v>2853</v>
      </c>
      <c r="F79" t="s">
        <v>7341</v>
      </c>
      <c r="G79" t="s">
        <v>7340</v>
      </c>
    </row>
    <row r="80" spans="1:9" x14ac:dyDescent="0.25">
      <c r="A80" t="s">
        <v>24</v>
      </c>
      <c r="B80" t="s">
        <v>23</v>
      </c>
      <c r="C80" s="167">
        <v>95.63</v>
      </c>
      <c r="D80" t="s">
        <v>21</v>
      </c>
      <c r="E80" t="s">
        <v>2853</v>
      </c>
      <c r="F80" t="s">
        <v>7341</v>
      </c>
      <c r="G80" t="s">
        <v>7340</v>
      </c>
    </row>
    <row r="81" spans="1:9" x14ac:dyDescent="0.25">
      <c r="A81" t="s">
        <v>4634</v>
      </c>
      <c r="B81" t="s">
        <v>23</v>
      </c>
      <c r="C81" s="167">
        <v>95.63</v>
      </c>
      <c r="D81" t="s">
        <v>4633</v>
      </c>
      <c r="E81" t="s">
        <v>2853</v>
      </c>
      <c r="F81" t="s">
        <v>7341</v>
      </c>
      <c r="G81" t="s">
        <v>7340</v>
      </c>
    </row>
    <row r="82" spans="1:9" x14ac:dyDescent="0.25">
      <c r="A82" t="s">
        <v>47</v>
      </c>
      <c r="B82" t="s">
        <v>48</v>
      </c>
      <c r="C82" s="167">
        <v>3.41</v>
      </c>
      <c r="D82" t="s">
        <v>59</v>
      </c>
      <c r="E82" t="s">
        <v>2853</v>
      </c>
      <c r="F82" t="s">
        <v>7338</v>
      </c>
      <c r="G82" t="s">
        <v>7340</v>
      </c>
    </row>
    <row r="83" spans="1:9" x14ac:dyDescent="0.25">
      <c r="A83" t="s">
        <v>47</v>
      </c>
      <c r="B83" t="s">
        <v>560</v>
      </c>
      <c r="C83" s="167">
        <v>3.41</v>
      </c>
      <c r="D83" t="s">
        <v>59</v>
      </c>
      <c r="E83" t="s">
        <v>2853</v>
      </c>
      <c r="F83" t="s">
        <v>7338</v>
      </c>
      <c r="G83" t="s">
        <v>7340</v>
      </c>
    </row>
    <row r="84" spans="1:9" x14ac:dyDescent="0.25">
      <c r="A84" t="s">
        <v>49</v>
      </c>
      <c r="B84" t="s">
        <v>50</v>
      </c>
      <c r="C84" s="167">
        <v>0.91</v>
      </c>
      <c r="D84" t="s">
        <v>59</v>
      </c>
      <c r="E84" t="s">
        <v>2853</v>
      </c>
      <c r="F84" t="s">
        <v>7338</v>
      </c>
      <c r="G84" t="s">
        <v>7338</v>
      </c>
    </row>
    <row r="85" spans="1:9" x14ac:dyDescent="0.25">
      <c r="A85" t="s">
        <v>52</v>
      </c>
      <c r="B85" t="s">
        <v>53</v>
      </c>
      <c r="C85" s="167">
        <v>21.44</v>
      </c>
      <c r="D85" t="s">
        <v>59</v>
      </c>
      <c r="E85" t="s">
        <v>59</v>
      </c>
      <c r="F85" t="s">
        <v>7342</v>
      </c>
      <c r="G85" t="s">
        <v>7340</v>
      </c>
      <c r="I85" t="s">
        <v>2799</v>
      </c>
    </row>
    <row r="86" spans="1:9" x14ac:dyDescent="0.25">
      <c r="A86" t="s">
        <v>55</v>
      </c>
      <c r="B86" t="s">
        <v>56</v>
      </c>
      <c r="C86" s="167">
        <v>31.84</v>
      </c>
      <c r="D86" t="s">
        <v>59</v>
      </c>
      <c r="E86" t="s">
        <v>59</v>
      </c>
      <c r="F86" t="s">
        <v>7339</v>
      </c>
      <c r="G86" t="s">
        <v>7340</v>
      </c>
      <c r="I86" t="s">
        <v>2799</v>
      </c>
    </row>
    <row r="87" spans="1:9" x14ac:dyDescent="0.25">
      <c r="A87" t="s">
        <v>57</v>
      </c>
      <c r="B87" t="s">
        <v>58</v>
      </c>
      <c r="C87" s="167">
        <v>0.28999999999999998</v>
      </c>
      <c r="D87" t="s">
        <v>59</v>
      </c>
      <c r="E87" t="s">
        <v>2853</v>
      </c>
      <c r="F87" t="s">
        <v>7338</v>
      </c>
      <c r="G87" t="s">
        <v>7338</v>
      </c>
      <c r="I87" t="s">
        <v>2800</v>
      </c>
    </row>
    <row r="88" spans="1:9" x14ac:dyDescent="0.25">
      <c r="A88" t="s">
        <v>63</v>
      </c>
      <c r="B88" t="s">
        <v>64</v>
      </c>
      <c r="C88" s="167">
        <v>4.46</v>
      </c>
      <c r="D88" t="s">
        <v>19</v>
      </c>
      <c r="E88" t="s">
        <v>2853</v>
      </c>
      <c r="F88" t="s">
        <v>7343</v>
      </c>
      <c r="G88" t="s">
        <v>7338</v>
      </c>
      <c r="I88" t="s">
        <v>2800</v>
      </c>
    </row>
    <row r="89" spans="1:9" x14ac:dyDescent="0.25">
      <c r="A89" t="s">
        <v>66</v>
      </c>
      <c r="B89" t="s">
        <v>64</v>
      </c>
      <c r="C89" s="167">
        <v>4.46</v>
      </c>
      <c r="D89" t="s">
        <v>21</v>
      </c>
      <c r="E89" t="s">
        <v>2853</v>
      </c>
      <c r="F89" t="s">
        <v>7343</v>
      </c>
      <c r="G89" t="s">
        <v>7338</v>
      </c>
      <c r="I89" t="s">
        <v>2800</v>
      </c>
    </row>
    <row r="90" spans="1:9" x14ac:dyDescent="0.25">
      <c r="A90" t="s">
        <v>7516</v>
      </c>
      <c r="B90" t="s">
        <v>26</v>
      </c>
      <c r="C90" s="167">
        <v>115.81</v>
      </c>
      <c r="D90" t="s">
        <v>59</v>
      </c>
      <c r="E90" t="s">
        <v>2853</v>
      </c>
      <c r="F90" t="s">
        <v>7344</v>
      </c>
      <c r="G90" t="s">
        <v>7340</v>
      </c>
    </row>
    <row r="91" spans="1:9" x14ac:dyDescent="0.25">
      <c r="A91" t="s">
        <v>25</v>
      </c>
      <c r="B91" t="s">
        <v>26</v>
      </c>
      <c r="C91" s="167">
        <v>111.51</v>
      </c>
      <c r="D91" t="s">
        <v>19</v>
      </c>
      <c r="E91" t="s">
        <v>2853</v>
      </c>
      <c r="F91" t="s">
        <v>7344</v>
      </c>
      <c r="G91" t="s">
        <v>7340</v>
      </c>
    </row>
    <row r="92" spans="1:9" x14ac:dyDescent="0.25">
      <c r="A92" t="s">
        <v>27</v>
      </c>
      <c r="B92" t="s">
        <v>26</v>
      </c>
      <c r="C92" s="167">
        <v>111.47</v>
      </c>
      <c r="D92" t="s">
        <v>21</v>
      </c>
      <c r="E92" t="s">
        <v>2853</v>
      </c>
      <c r="F92" t="s">
        <v>7344</v>
      </c>
      <c r="G92" t="s">
        <v>7340</v>
      </c>
    </row>
    <row r="93" spans="1:9" x14ac:dyDescent="0.25">
      <c r="A93" t="s">
        <v>4635</v>
      </c>
      <c r="B93" t="s">
        <v>26</v>
      </c>
      <c r="C93" s="167">
        <v>111.47</v>
      </c>
      <c r="D93" t="s">
        <v>4633</v>
      </c>
      <c r="E93" t="s">
        <v>2853</v>
      </c>
      <c r="F93" t="s">
        <v>7344</v>
      </c>
      <c r="G93" t="s">
        <v>7340</v>
      </c>
    </row>
    <row r="94" spans="1:9" x14ac:dyDescent="0.25">
      <c r="A94" t="s">
        <v>7518</v>
      </c>
      <c r="B94" t="s">
        <v>34</v>
      </c>
      <c r="C94" s="167">
        <v>81.64</v>
      </c>
      <c r="D94" t="s">
        <v>59</v>
      </c>
      <c r="E94" t="s">
        <v>59</v>
      </c>
      <c r="F94" t="s">
        <v>7341</v>
      </c>
      <c r="G94" t="s">
        <v>7340</v>
      </c>
      <c r="I94" t="s">
        <v>2799</v>
      </c>
    </row>
    <row r="95" spans="1:9" x14ac:dyDescent="0.25">
      <c r="A95" t="s">
        <v>33</v>
      </c>
      <c r="B95" t="s">
        <v>34</v>
      </c>
      <c r="C95" s="167">
        <v>75.3</v>
      </c>
      <c r="D95" t="s">
        <v>19</v>
      </c>
      <c r="E95" t="s">
        <v>59</v>
      </c>
      <c r="F95" t="s">
        <v>7341</v>
      </c>
      <c r="G95" t="s">
        <v>7340</v>
      </c>
      <c r="I95" t="s">
        <v>2799</v>
      </c>
    </row>
    <row r="96" spans="1:9" x14ac:dyDescent="0.25">
      <c r="A96" t="s">
        <v>35</v>
      </c>
      <c r="B96" t="s">
        <v>34</v>
      </c>
      <c r="C96" s="167">
        <v>75.28</v>
      </c>
      <c r="D96" t="s">
        <v>21</v>
      </c>
      <c r="E96" t="s">
        <v>59</v>
      </c>
      <c r="F96" t="s">
        <v>7341</v>
      </c>
      <c r="G96" t="s">
        <v>7340</v>
      </c>
      <c r="I96" t="s">
        <v>2799</v>
      </c>
    </row>
    <row r="97" spans="1:9" x14ac:dyDescent="0.25">
      <c r="A97" t="s">
        <v>4637</v>
      </c>
      <c r="B97" t="s">
        <v>34</v>
      </c>
      <c r="C97" s="167">
        <v>75.28</v>
      </c>
      <c r="D97" t="s">
        <v>4633</v>
      </c>
      <c r="E97" t="s">
        <v>59</v>
      </c>
      <c r="F97" t="s">
        <v>7341</v>
      </c>
      <c r="G97" t="s">
        <v>7340</v>
      </c>
      <c r="I97" t="s">
        <v>2799</v>
      </c>
    </row>
    <row r="98" spans="1:9" x14ac:dyDescent="0.25">
      <c r="A98" t="s">
        <v>7519</v>
      </c>
      <c r="B98" t="s">
        <v>40</v>
      </c>
      <c r="C98" s="167">
        <v>95.04</v>
      </c>
      <c r="D98" t="s">
        <v>59</v>
      </c>
      <c r="E98" t="s">
        <v>59</v>
      </c>
      <c r="F98" t="s">
        <v>7344</v>
      </c>
      <c r="G98" t="s">
        <v>7340</v>
      </c>
      <c r="I98" t="s">
        <v>2799</v>
      </c>
    </row>
    <row r="99" spans="1:9" x14ac:dyDescent="0.25">
      <c r="A99" t="s">
        <v>39</v>
      </c>
      <c r="B99" t="s">
        <v>40</v>
      </c>
      <c r="C99" s="167">
        <v>87.51</v>
      </c>
      <c r="D99" t="s">
        <v>19</v>
      </c>
      <c r="E99" t="s">
        <v>59</v>
      </c>
      <c r="F99" t="s">
        <v>7344</v>
      </c>
      <c r="G99" t="s">
        <v>7340</v>
      </c>
      <c r="I99" t="s">
        <v>2799</v>
      </c>
    </row>
    <row r="100" spans="1:9" x14ac:dyDescent="0.25">
      <c r="A100" t="s">
        <v>41</v>
      </c>
      <c r="B100" t="s">
        <v>40</v>
      </c>
      <c r="C100" s="167">
        <v>87.48</v>
      </c>
      <c r="D100" t="s">
        <v>21</v>
      </c>
      <c r="E100" t="s">
        <v>59</v>
      </c>
      <c r="F100" t="s">
        <v>7344</v>
      </c>
      <c r="G100" t="s">
        <v>7340</v>
      </c>
      <c r="I100" t="s">
        <v>2799</v>
      </c>
    </row>
    <row r="101" spans="1:9" x14ac:dyDescent="0.25">
      <c r="A101" t="s">
        <v>4638</v>
      </c>
      <c r="B101" t="s">
        <v>40</v>
      </c>
      <c r="C101" s="167">
        <v>87.48</v>
      </c>
      <c r="D101" t="s">
        <v>4633</v>
      </c>
      <c r="E101" t="s">
        <v>59</v>
      </c>
      <c r="F101" t="s">
        <v>7344</v>
      </c>
      <c r="G101" t="s">
        <v>7340</v>
      </c>
      <c r="I101" t="s">
        <v>2799</v>
      </c>
    </row>
    <row r="102" spans="1:9" x14ac:dyDescent="0.25">
      <c r="A102" t="s">
        <v>7517</v>
      </c>
      <c r="B102" t="s">
        <v>30</v>
      </c>
      <c r="C102" s="167">
        <v>69.92</v>
      </c>
      <c r="D102" t="s">
        <v>59</v>
      </c>
      <c r="E102" t="s">
        <v>59</v>
      </c>
      <c r="F102" t="s">
        <v>7339</v>
      </c>
      <c r="G102" t="s">
        <v>7340</v>
      </c>
      <c r="I102" t="s">
        <v>2799</v>
      </c>
    </row>
    <row r="103" spans="1:9" x14ac:dyDescent="0.25">
      <c r="A103" t="s">
        <v>29</v>
      </c>
      <c r="B103" t="s">
        <v>30</v>
      </c>
      <c r="C103" s="167">
        <v>65.900000000000006</v>
      </c>
      <c r="D103" t="s">
        <v>19</v>
      </c>
      <c r="E103" t="s">
        <v>59</v>
      </c>
      <c r="F103" t="s">
        <v>7339</v>
      </c>
      <c r="G103" t="s">
        <v>7340</v>
      </c>
      <c r="I103" t="s">
        <v>2799</v>
      </c>
    </row>
    <row r="104" spans="1:9" x14ac:dyDescent="0.25">
      <c r="A104" t="s">
        <v>31</v>
      </c>
      <c r="B104" t="s">
        <v>30</v>
      </c>
      <c r="C104" s="167">
        <v>65.88</v>
      </c>
      <c r="D104" t="s">
        <v>21</v>
      </c>
      <c r="E104" t="s">
        <v>59</v>
      </c>
      <c r="F104" t="s">
        <v>7339</v>
      </c>
      <c r="G104" t="s">
        <v>7340</v>
      </c>
      <c r="I104" t="s">
        <v>2799</v>
      </c>
    </row>
    <row r="105" spans="1:9" x14ac:dyDescent="0.25">
      <c r="A105" t="s">
        <v>4636</v>
      </c>
      <c r="B105" t="s">
        <v>30</v>
      </c>
      <c r="C105" s="167">
        <v>65.88</v>
      </c>
      <c r="D105" t="s">
        <v>4633</v>
      </c>
      <c r="E105" t="s">
        <v>59</v>
      </c>
      <c r="F105" t="s">
        <v>7339</v>
      </c>
      <c r="G105" t="s">
        <v>7340</v>
      </c>
      <c r="I105" t="s">
        <v>2799</v>
      </c>
    </row>
    <row r="106" spans="1:9" x14ac:dyDescent="0.25">
      <c r="A106" t="s">
        <v>7502</v>
      </c>
      <c r="B106" t="s">
        <v>43</v>
      </c>
      <c r="C106" s="167">
        <v>49.66</v>
      </c>
      <c r="D106" t="s">
        <v>59</v>
      </c>
      <c r="E106" t="s">
        <v>59</v>
      </c>
      <c r="F106" t="s">
        <v>7339</v>
      </c>
      <c r="G106" t="s">
        <v>7340</v>
      </c>
      <c r="I106" t="s">
        <v>2799</v>
      </c>
    </row>
    <row r="107" spans="1:9" x14ac:dyDescent="0.25">
      <c r="A107" t="s">
        <v>7503</v>
      </c>
      <c r="B107" t="s">
        <v>45</v>
      </c>
      <c r="C107" s="167">
        <v>58.93</v>
      </c>
      <c r="D107" t="s">
        <v>59</v>
      </c>
      <c r="E107" t="s">
        <v>59</v>
      </c>
      <c r="F107" t="s">
        <v>7341</v>
      </c>
      <c r="G107" t="s">
        <v>7340</v>
      </c>
      <c r="I107" t="s">
        <v>2799</v>
      </c>
    </row>
    <row r="108" spans="1:9" x14ac:dyDescent="0.25">
      <c r="A108" t="s">
        <v>7504</v>
      </c>
      <c r="B108" t="s">
        <v>46</v>
      </c>
      <c r="C108" s="167">
        <v>66.069999999999993</v>
      </c>
      <c r="D108" t="s">
        <v>59</v>
      </c>
      <c r="E108" t="s">
        <v>59</v>
      </c>
      <c r="F108" t="s">
        <v>7344</v>
      </c>
      <c r="G108" t="s">
        <v>7340</v>
      </c>
      <c r="I108" t="s">
        <v>2799</v>
      </c>
    </row>
    <row r="109" spans="1:9" x14ac:dyDescent="0.25">
      <c r="A109" t="s">
        <v>7543</v>
      </c>
      <c r="B109" t="s">
        <v>131</v>
      </c>
      <c r="C109" s="167">
        <v>11.68</v>
      </c>
      <c r="D109" t="s">
        <v>59</v>
      </c>
      <c r="E109" t="s">
        <v>2853</v>
      </c>
      <c r="F109" t="s">
        <v>7338</v>
      </c>
      <c r="G109" t="s">
        <v>7338</v>
      </c>
      <c r="H109">
        <v>93</v>
      </c>
      <c r="I109" t="s">
        <v>2800</v>
      </c>
    </row>
    <row r="110" spans="1:9" x14ac:dyDescent="0.25">
      <c r="A110" t="s">
        <v>130</v>
      </c>
      <c r="B110" t="s">
        <v>131</v>
      </c>
      <c r="C110" s="167">
        <v>17.97</v>
      </c>
      <c r="D110" t="s">
        <v>19</v>
      </c>
      <c r="E110" t="s">
        <v>2853</v>
      </c>
      <c r="F110" t="s">
        <v>7338</v>
      </c>
      <c r="G110" t="s">
        <v>7338</v>
      </c>
      <c r="H110">
        <v>93</v>
      </c>
      <c r="I110" t="s">
        <v>2800</v>
      </c>
    </row>
    <row r="111" spans="1:9" x14ac:dyDescent="0.25">
      <c r="A111" t="s">
        <v>132</v>
      </c>
      <c r="B111" t="s">
        <v>131</v>
      </c>
      <c r="C111" s="167">
        <v>9.89</v>
      </c>
      <c r="D111" t="s">
        <v>21</v>
      </c>
      <c r="E111" t="s">
        <v>2853</v>
      </c>
      <c r="F111" t="s">
        <v>7338</v>
      </c>
      <c r="G111" t="s">
        <v>7338</v>
      </c>
      <c r="H111">
        <v>93</v>
      </c>
      <c r="I111" t="s">
        <v>2800</v>
      </c>
    </row>
    <row r="112" spans="1:9" x14ac:dyDescent="0.25">
      <c r="A112" t="s">
        <v>587</v>
      </c>
      <c r="B112" t="s">
        <v>131</v>
      </c>
      <c r="C112" s="167">
        <v>13.01</v>
      </c>
      <c r="D112" t="s">
        <v>563</v>
      </c>
      <c r="E112" t="s">
        <v>2853</v>
      </c>
      <c r="F112" t="s">
        <v>7338</v>
      </c>
      <c r="G112" t="s">
        <v>7338</v>
      </c>
      <c r="H112">
        <v>93</v>
      </c>
      <c r="I112" t="s">
        <v>2800</v>
      </c>
    </row>
    <row r="113" spans="1:9" x14ac:dyDescent="0.25">
      <c r="A113" t="s">
        <v>7334</v>
      </c>
      <c r="B113" t="s">
        <v>131</v>
      </c>
      <c r="C113" s="167">
        <v>11.68</v>
      </c>
      <c r="D113" t="s">
        <v>4633</v>
      </c>
      <c r="E113" t="s">
        <v>2853</v>
      </c>
      <c r="F113" t="s">
        <v>7338</v>
      </c>
      <c r="G113" t="s">
        <v>7338</v>
      </c>
      <c r="H113">
        <v>93</v>
      </c>
      <c r="I113" t="s">
        <v>2800</v>
      </c>
    </row>
    <row r="114" spans="1:9" x14ac:dyDescent="0.25">
      <c r="A114" t="s">
        <v>693</v>
      </c>
      <c r="B114" t="s">
        <v>131</v>
      </c>
      <c r="C114" s="167">
        <v>13.01</v>
      </c>
      <c r="D114" t="s">
        <v>671</v>
      </c>
      <c r="E114" t="s">
        <v>2853</v>
      </c>
      <c r="F114" t="s">
        <v>7338</v>
      </c>
      <c r="G114" t="s">
        <v>7338</v>
      </c>
      <c r="H114">
        <v>93</v>
      </c>
      <c r="I114" t="s">
        <v>2800</v>
      </c>
    </row>
    <row r="115" spans="1:9" x14ac:dyDescent="0.25">
      <c r="A115" t="s">
        <v>7538</v>
      </c>
      <c r="B115" t="s">
        <v>118</v>
      </c>
      <c r="C115" s="167">
        <v>5.09</v>
      </c>
      <c r="D115" t="s">
        <v>59</v>
      </c>
      <c r="E115" t="s">
        <v>2853</v>
      </c>
      <c r="F115" t="s">
        <v>7342</v>
      </c>
      <c r="G115" t="s">
        <v>7338</v>
      </c>
      <c r="I115" t="s">
        <v>2800</v>
      </c>
    </row>
    <row r="116" spans="1:9" x14ac:dyDescent="0.25">
      <c r="A116" t="s">
        <v>117</v>
      </c>
      <c r="B116" t="s">
        <v>118</v>
      </c>
      <c r="C116" s="167">
        <v>5.55</v>
      </c>
      <c r="D116" t="s">
        <v>19</v>
      </c>
      <c r="E116" t="s">
        <v>2853</v>
      </c>
      <c r="F116" t="s">
        <v>7342</v>
      </c>
      <c r="G116" t="s">
        <v>7338</v>
      </c>
      <c r="I116" t="s">
        <v>2800</v>
      </c>
    </row>
    <row r="117" spans="1:9" x14ac:dyDescent="0.25">
      <c r="A117" t="s">
        <v>110</v>
      </c>
      <c r="B117" t="s">
        <v>118</v>
      </c>
      <c r="C117" s="167">
        <v>4.88</v>
      </c>
      <c r="D117" t="s">
        <v>13</v>
      </c>
      <c r="E117" t="s">
        <v>2853</v>
      </c>
      <c r="F117" t="s">
        <v>7342</v>
      </c>
      <c r="G117" t="s">
        <v>7338</v>
      </c>
      <c r="I117" t="s">
        <v>2800</v>
      </c>
    </row>
    <row r="118" spans="1:9" x14ac:dyDescent="0.25">
      <c r="A118" t="s">
        <v>582</v>
      </c>
      <c r="B118" t="s">
        <v>118</v>
      </c>
      <c r="C118" s="167">
        <v>5.65</v>
      </c>
      <c r="D118" t="s">
        <v>563</v>
      </c>
      <c r="E118" t="s">
        <v>2853</v>
      </c>
      <c r="F118" t="s">
        <v>7342</v>
      </c>
      <c r="G118" t="s">
        <v>7338</v>
      </c>
      <c r="I118" t="s">
        <v>2800</v>
      </c>
    </row>
    <row r="119" spans="1:9" x14ac:dyDescent="0.25">
      <c r="A119" t="s">
        <v>4655</v>
      </c>
      <c r="B119" t="s">
        <v>118</v>
      </c>
      <c r="C119" s="167">
        <v>5.09</v>
      </c>
      <c r="D119" t="s">
        <v>4633</v>
      </c>
      <c r="E119" t="s">
        <v>2853</v>
      </c>
      <c r="F119" t="s">
        <v>7342</v>
      </c>
      <c r="G119" t="s">
        <v>7338</v>
      </c>
      <c r="I119" t="s">
        <v>2800</v>
      </c>
    </row>
    <row r="120" spans="1:9" x14ac:dyDescent="0.25">
      <c r="A120" t="s">
        <v>688</v>
      </c>
      <c r="B120" t="s">
        <v>118</v>
      </c>
      <c r="C120" s="167">
        <v>5.65</v>
      </c>
      <c r="D120" t="s">
        <v>671</v>
      </c>
      <c r="E120" t="s">
        <v>2853</v>
      </c>
      <c r="F120" t="s">
        <v>7342</v>
      </c>
      <c r="G120" t="s">
        <v>7338</v>
      </c>
      <c r="I120" t="s">
        <v>2800</v>
      </c>
    </row>
    <row r="121" spans="1:9" x14ac:dyDescent="0.25">
      <c r="A121" t="s">
        <v>7539</v>
      </c>
      <c r="B121" t="s">
        <v>121</v>
      </c>
      <c r="C121" s="167">
        <v>6.59</v>
      </c>
      <c r="D121" t="s">
        <v>59</v>
      </c>
      <c r="E121" t="s">
        <v>2853</v>
      </c>
      <c r="F121" t="s">
        <v>7339</v>
      </c>
      <c r="G121" t="s">
        <v>7338</v>
      </c>
      <c r="I121" t="s">
        <v>2800</v>
      </c>
    </row>
    <row r="122" spans="1:9" x14ac:dyDescent="0.25">
      <c r="A122" t="s">
        <v>120</v>
      </c>
      <c r="B122" t="s">
        <v>121</v>
      </c>
      <c r="C122" s="167">
        <v>7.29</v>
      </c>
      <c r="D122" t="s">
        <v>19</v>
      </c>
      <c r="E122" t="s">
        <v>2853</v>
      </c>
      <c r="F122" t="s">
        <v>7339</v>
      </c>
      <c r="G122" t="s">
        <v>7338</v>
      </c>
      <c r="I122" t="s">
        <v>2800</v>
      </c>
    </row>
    <row r="123" spans="1:9" x14ac:dyDescent="0.25">
      <c r="A123" t="s">
        <v>113</v>
      </c>
      <c r="B123" t="s">
        <v>121</v>
      </c>
      <c r="C123" s="167">
        <v>6.38</v>
      </c>
      <c r="D123" t="s">
        <v>13</v>
      </c>
      <c r="E123" t="s">
        <v>2853</v>
      </c>
      <c r="F123" t="s">
        <v>7339</v>
      </c>
      <c r="G123" t="s">
        <v>7338</v>
      </c>
      <c r="I123" t="s">
        <v>2800</v>
      </c>
    </row>
    <row r="124" spans="1:9" x14ac:dyDescent="0.25">
      <c r="A124" t="s">
        <v>583</v>
      </c>
      <c r="B124" t="s">
        <v>121</v>
      </c>
      <c r="C124" s="167">
        <v>7.4</v>
      </c>
      <c r="D124" t="s">
        <v>563</v>
      </c>
      <c r="E124" t="s">
        <v>2853</v>
      </c>
      <c r="F124" t="s">
        <v>7339</v>
      </c>
      <c r="G124" t="s">
        <v>7338</v>
      </c>
      <c r="I124" t="s">
        <v>2800</v>
      </c>
    </row>
    <row r="125" spans="1:9" x14ac:dyDescent="0.25">
      <c r="A125" t="s">
        <v>4656</v>
      </c>
      <c r="B125" t="s">
        <v>121</v>
      </c>
      <c r="C125" s="167">
        <v>6.59</v>
      </c>
      <c r="D125" t="s">
        <v>4633</v>
      </c>
      <c r="E125" t="s">
        <v>2853</v>
      </c>
      <c r="F125" t="s">
        <v>7339</v>
      </c>
      <c r="G125" t="s">
        <v>7338</v>
      </c>
      <c r="I125" t="s">
        <v>2800</v>
      </c>
    </row>
    <row r="126" spans="1:9" x14ac:dyDescent="0.25">
      <c r="A126" t="s">
        <v>689</v>
      </c>
      <c r="B126" t="s">
        <v>121</v>
      </c>
      <c r="C126" s="167">
        <v>7.4</v>
      </c>
      <c r="D126" t="s">
        <v>671</v>
      </c>
      <c r="E126" t="s">
        <v>2853</v>
      </c>
      <c r="F126" t="s">
        <v>7339</v>
      </c>
      <c r="G126" t="s">
        <v>7338</v>
      </c>
      <c r="I126" t="s">
        <v>2800</v>
      </c>
    </row>
    <row r="127" spans="1:9" x14ac:dyDescent="0.25">
      <c r="A127" t="s">
        <v>7540</v>
      </c>
      <c r="B127" t="s">
        <v>123</v>
      </c>
      <c r="C127" s="167">
        <v>7.39</v>
      </c>
      <c r="D127" t="s">
        <v>59</v>
      </c>
      <c r="E127" t="s">
        <v>2853</v>
      </c>
      <c r="F127" t="s">
        <v>7341</v>
      </c>
      <c r="G127" t="s">
        <v>7338</v>
      </c>
      <c r="I127" t="s">
        <v>2800</v>
      </c>
    </row>
    <row r="128" spans="1:9" x14ac:dyDescent="0.25">
      <c r="A128" t="s">
        <v>115</v>
      </c>
      <c r="B128" t="s">
        <v>123</v>
      </c>
      <c r="C128" s="167">
        <v>8.27</v>
      </c>
      <c r="D128" t="s">
        <v>19</v>
      </c>
      <c r="E128" t="s">
        <v>2853</v>
      </c>
      <c r="F128" t="s">
        <v>7341</v>
      </c>
      <c r="G128" t="s">
        <v>7338</v>
      </c>
      <c r="I128" t="s">
        <v>2800</v>
      </c>
    </row>
    <row r="129" spans="1:9" x14ac:dyDescent="0.25">
      <c r="A129" t="s">
        <v>116</v>
      </c>
      <c r="B129" t="s">
        <v>123</v>
      </c>
      <c r="C129" s="167">
        <v>7.15</v>
      </c>
      <c r="D129" t="s">
        <v>13</v>
      </c>
      <c r="E129" t="s">
        <v>2853</v>
      </c>
      <c r="F129" t="s">
        <v>7341</v>
      </c>
      <c r="G129" t="s">
        <v>7338</v>
      </c>
      <c r="I129" t="s">
        <v>2800</v>
      </c>
    </row>
    <row r="130" spans="1:9" x14ac:dyDescent="0.25">
      <c r="A130" t="s">
        <v>584</v>
      </c>
      <c r="B130" t="s">
        <v>123</v>
      </c>
      <c r="C130" s="167">
        <v>8.33</v>
      </c>
      <c r="D130" t="s">
        <v>563</v>
      </c>
      <c r="E130" t="s">
        <v>2853</v>
      </c>
      <c r="F130" t="s">
        <v>7341</v>
      </c>
      <c r="G130" t="s">
        <v>7338</v>
      </c>
      <c r="I130" t="s">
        <v>2800</v>
      </c>
    </row>
    <row r="131" spans="1:9" x14ac:dyDescent="0.25">
      <c r="A131" t="s">
        <v>4657</v>
      </c>
      <c r="B131" t="s">
        <v>123</v>
      </c>
      <c r="C131" s="167">
        <v>7.39</v>
      </c>
      <c r="D131" t="s">
        <v>4633</v>
      </c>
      <c r="E131" t="s">
        <v>2853</v>
      </c>
      <c r="F131" t="s">
        <v>7341</v>
      </c>
      <c r="G131" t="s">
        <v>7338</v>
      </c>
      <c r="I131" t="s">
        <v>2800</v>
      </c>
    </row>
    <row r="132" spans="1:9" x14ac:dyDescent="0.25">
      <c r="A132" t="s">
        <v>690</v>
      </c>
      <c r="B132" t="s">
        <v>123</v>
      </c>
      <c r="C132" s="167">
        <v>8.33</v>
      </c>
      <c r="D132" t="s">
        <v>671</v>
      </c>
      <c r="E132" t="s">
        <v>2853</v>
      </c>
      <c r="F132" t="s">
        <v>7341</v>
      </c>
      <c r="G132" t="s">
        <v>7338</v>
      </c>
      <c r="I132" t="s">
        <v>2800</v>
      </c>
    </row>
    <row r="133" spans="1:9" x14ac:dyDescent="0.25">
      <c r="A133" t="s">
        <v>7541</v>
      </c>
      <c r="B133" t="s">
        <v>125</v>
      </c>
      <c r="C133" s="167">
        <v>8.8699999999999992</v>
      </c>
      <c r="D133" t="s">
        <v>59</v>
      </c>
      <c r="E133" t="s">
        <v>2853</v>
      </c>
      <c r="F133" t="s">
        <v>7344</v>
      </c>
      <c r="G133" t="s">
        <v>7338</v>
      </c>
      <c r="I133" t="s">
        <v>2800</v>
      </c>
    </row>
    <row r="134" spans="1:9" x14ac:dyDescent="0.25">
      <c r="A134" t="s">
        <v>119</v>
      </c>
      <c r="B134" t="s">
        <v>125</v>
      </c>
      <c r="C134" s="167">
        <v>9.94</v>
      </c>
      <c r="D134" t="s">
        <v>19</v>
      </c>
      <c r="E134" t="s">
        <v>2853</v>
      </c>
      <c r="F134" t="s">
        <v>7344</v>
      </c>
      <c r="G134" t="s">
        <v>7338</v>
      </c>
      <c r="I134" t="s">
        <v>2800</v>
      </c>
    </row>
    <row r="135" spans="1:9" x14ac:dyDescent="0.25">
      <c r="A135" t="s">
        <v>122</v>
      </c>
      <c r="B135" t="s">
        <v>125</v>
      </c>
      <c r="C135" s="167">
        <v>8.61</v>
      </c>
      <c r="D135" t="s">
        <v>13</v>
      </c>
      <c r="E135" t="s">
        <v>2853</v>
      </c>
      <c r="F135" t="s">
        <v>7344</v>
      </c>
      <c r="G135" t="s">
        <v>7338</v>
      </c>
      <c r="I135" t="s">
        <v>2800</v>
      </c>
    </row>
    <row r="136" spans="1:9" x14ac:dyDescent="0.25">
      <c r="A136" t="s">
        <v>585</v>
      </c>
      <c r="B136" t="s">
        <v>125</v>
      </c>
      <c r="C136" s="167">
        <v>9.9600000000000009</v>
      </c>
      <c r="D136" t="s">
        <v>563</v>
      </c>
      <c r="E136" t="s">
        <v>2853</v>
      </c>
      <c r="F136" t="s">
        <v>7344</v>
      </c>
      <c r="G136" t="s">
        <v>7338</v>
      </c>
      <c r="I136" t="s">
        <v>2800</v>
      </c>
    </row>
    <row r="137" spans="1:9" x14ac:dyDescent="0.25">
      <c r="A137" t="s">
        <v>4658</v>
      </c>
      <c r="B137" t="s">
        <v>125</v>
      </c>
      <c r="C137" s="167">
        <v>8.8699999999999992</v>
      </c>
      <c r="D137" t="s">
        <v>4633</v>
      </c>
      <c r="E137" t="s">
        <v>2853</v>
      </c>
      <c r="F137" t="s">
        <v>7344</v>
      </c>
      <c r="G137" t="s">
        <v>7338</v>
      </c>
      <c r="I137" t="s">
        <v>2800</v>
      </c>
    </row>
    <row r="138" spans="1:9" x14ac:dyDescent="0.25">
      <c r="A138" t="s">
        <v>691</v>
      </c>
      <c r="B138" t="s">
        <v>125</v>
      </c>
      <c r="C138" s="167">
        <v>9.9600000000000009</v>
      </c>
      <c r="D138" t="s">
        <v>671</v>
      </c>
      <c r="E138" t="s">
        <v>2853</v>
      </c>
      <c r="F138" t="s">
        <v>7344</v>
      </c>
      <c r="G138" t="s">
        <v>7338</v>
      </c>
      <c r="I138" t="s">
        <v>2800</v>
      </c>
    </row>
    <row r="139" spans="1:9" x14ac:dyDescent="0.25">
      <c r="A139" t="s">
        <v>7545</v>
      </c>
      <c r="B139" t="s">
        <v>134</v>
      </c>
      <c r="C139" s="167">
        <v>1.24</v>
      </c>
      <c r="D139" t="s">
        <v>59</v>
      </c>
      <c r="E139" t="s">
        <v>2853</v>
      </c>
      <c r="F139" t="s">
        <v>7338</v>
      </c>
      <c r="G139" t="s">
        <v>7338</v>
      </c>
      <c r="I139" t="s">
        <v>2800</v>
      </c>
    </row>
    <row r="140" spans="1:9" x14ac:dyDescent="0.25">
      <c r="A140" t="s">
        <v>124</v>
      </c>
      <c r="B140" t="s">
        <v>134</v>
      </c>
      <c r="C140" s="167">
        <v>1.18</v>
      </c>
      <c r="D140" t="s">
        <v>19</v>
      </c>
      <c r="E140" t="s">
        <v>2853</v>
      </c>
      <c r="F140" t="s">
        <v>7338</v>
      </c>
      <c r="G140" t="s">
        <v>7338</v>
      </c>
      <c r="I140" t="s">
        <v>2800</v>
      </c>
    </row>
    <row r="141" spans="1:9" x14ac:dyDescent="0.25">
      <c r="A141" t="s">
        <v>589</v>
      </c>
      <c r="B141" t="s">
        <v>134</v>
      </c>
      <c r="C141" s="167">
        <v>1.53</v>
      </c>
      <c r="D141" t="s">
        <v>563</v>
      </c>
      <c r="E141" t="s">
        <v>2853</v>
      </c>
      <c r="F141" t="s">
        <v>7338</v>
      </c>
      <c r="G141" t="s">
        <v>7338</v>
      </c>
      <c r="I141" t="s">
        <v>2800</v>
      </c>
    </row>
    <row r="142" spans="1:9" x14ac:dyDescent="0.25">
      <c r="A142" t="s">
        <v>4662</v>
      </c>
      <c r="B142" t="s">
        <v>4663</v>
      </c>
      <c r="C142" s="167">
        <v>1.24</v>
      </c>
      <c r="D142" t="s">
        <v>4633</v>
      </c>
      <c r="E142" t="s">
        <v>2853</v>
      </c>
      <c r="F142" t="s">
        <v>7338</v>
      </c>
      <c r="G142" t="s">
        <v>7338</v>
      </c>
      <c r="I142" t="s">
        <v>2800</v>
      </c>
    </row>
    <row r="143" spans="1:9" x14ac:dyDescent="0.25">
      <c r="A143" t="s">
        <v>695</v>
      </c>
      <c r="B143" t="s">
        <v>134</v>
      </c>
      <c r="C143" s="167">
        <v>1.53</v>
      </c>
      <c r="D143" t="s">
        <v>671</v>
      </c>
      <c r="E143" t="s">
        <v>2853</v>
      </c>
      <c r="F143" t="s">
        <v>7338</v>
      </c>
      <c r="G143" t="s">
        <v>7338</v>
      </c>
      <c r="I143" t="s">
        <v>2800</v>
      </c>
    </row>
    <row r="144" spans="1:9" x14ac:dyDescent="0.25">
      <c r="A144" t="s">
        <v>7544</v>
      </c>
      <c r="B144" t="s">
        <v>133</v>
      </c>
      <c r="C144" s="167">
        <v>1.05</v>
      </c>
      <c r="D144" t="s">
        <v>59</v>
      </c>
      <c r="E144" t="s">
        <v>2853</v>
      </c>
      <c r="F144" t="s">
        <v>7338</v>
      </c>
      <c r="G144" t="s">
        <v>7338</v>
      </c>
      <c r="I144" t="s">
        <v>2800</v>
      </c>
    </row>
    <row r="145" spans="1:9" x14ac:dyDescent="0.25">
      <c r="A145" t="s">
        <v>126</v>
      </c>
      <c r="B145" t="s">
        <v>133</v>
      </c>
      <c r="C145" s="167">
        <v>0.98</v>
      </c>
      <c r="D145" t="s">
        <v>19</v>
      </c>
      <c r="E145" t="s">
        <v>2853</v>
      </c>
      <c r="F145" t="s">
        <v>7338</v>
      </c>
      <c r="G145" t="s">
        <v>7338</v>
      </c>
      <c r="I145" t="s">
        <v>2800</v>
      </c>
    </row>
    <row r="146" spans="1:9" x14ac:dyDescent="0.25">
      <c r="A146" t="s">
        <v>588</v>
      </c>
      <c r="B146" t="s">
        <v>133</v>
      </c>
      <c r="C146" s="167">
        <v>1.23</v>
      </c>
      <c r="D146" t="s">
        <v>563</v>
      </c>
      <c r="E146" t="s">
        <v>2853</v>
      </c>
      <c r="F146" t="s">
        <v>7338</v>
      </c>
      <c r="G146" t="s">
        <v>7338</v>
      </c>
      <c r="I146" t="s">
        <v>2800</v>
      </c>
    </row>
    <row r="147" spans="1:9" x14ac:dyDescent="0.25">
      <c r="A147" t="s">
        <v>4660</v>
      </c>
      <c r="B147" t="s">
        <v>4661</v>
      </c>
      <c r="C147" s="167">
        <v>1.05</v>
      </c>
      <c r="D147" t="s">
        <v>4633</v>
      </c>
      <c r="E147" t="s">
        <v>2853</v>
      </c>
      <c r="F147" t="s">
        <v>7338</v>
      </c>
      <c r="G147" t="s">
        <v>7338</v>
      </c>
      <c r="I147" t="s">
        <v>2800</v>
      </c>
    </row>
    <row r="148" spans="1:9" x14ac:dyDescent="0.25">
      <c r="A148" t="s">
        <v>694</v>
      </c>
      <c r="B148" t="s">
        <v>133</v>
      </c>
      <c r="C148" s="167">
        <v>1.23</v>
      </c>
      <c r="D148" t="s">
        <v>671</v>
      </c>
      <c r="E148" t="s">
        <v>2853</v>
      </c>
      <c r="F148" t="s">
        <v>7338</v>
      </c>
      <c r="G148" t="s">
        <v>7338</v>
      </c>
      <c r="I148" t="s">
        <v>2800</v>
      </c>
    </row>
    <row r="149" spans="1:9" x14ac:dyDescent="0.25">
      <c r="A149" t="s">
        <v>7542</v>
      </c>
      <c r="B149" t="s">
        <v>128</v>
      </c>
      <c r="C149" s="167">
        <v>9.8000000000000007</v>
      </c>
      <c r="D149" t="s">
        <v>59</v>
      </c>
      <c r="E149" t="s">
        <v>2853</v>
      </c>
      <c r="F149" t="s">
        <v>7343</v>
      </c>
      <c r="G149" t="s">
        <v>7338</v>
      </c>
      <c r="I149" t="s">
        <v>2800</v>
      </c>
    </row>
    <row r="150" spans="1:9" x14ac:dyDescent="0.25">
      <c r="A150" t="s">
        <v>127</v>
      </c>
      <c r="B150" t="s">
        <v>128</v>
      </c>
      <c r="C150" s="167">
        <v>11.15</v>
      </c>
      <c r="D150" t="s">
        <v>19</v>
      </c>
      <c r="E150" t="s">
        <v>2853</v>
      </c>
      <c r="F150" t="s">
        <v>7343</v>
      </c>
      <c r="G150" t="s">
        <v>7338</v>
      </c>
      <c r="I150" t="s">
        <v>2800</v>
      </c>
    </row>
    <row r="151" spans="1:9" x14ac:dyDescent="0.25">
      <c r="A151" t="s">
        <v>129</v>
      </c>
      <c r="B151" t="s">
        <v>128</v>
      </c>
      <c r="C151" s="167">
        <v>9.48</v>
      </c>
      <c r="D151" t="s">
        <v>13</v>
      </c>
      <c r="E151" t="s">
        <v>2853</v>
      </c>
      <c r="F151" t="s">
        <v>7343</v>
      </c>
      <c r="G151" t="s">
        <v>7338</v>
      </c>
      <c r="I151" t="s">
        <v>2800</v>
      </c>
    </row>
    <row r="152" spans="1:9" x14ac:dyDescent="0.25">
      <c r="A152" t="s">
        <v>586</v>
      </c>
      <c r="B152" t="s">
        <v>128</v>
      </c>
      <c r="C152" s="167">
        <v>10.93</v>
      </c>
      <c r="D152" t="s">
        <v>563</v>
      </c>
      <c r="E152" t="s">
        <v>2853</v>
      </c>
      <c r="F152" t="s">
        <v>7343</v>
      </c>
      <c r="G152" t="s">
        <v>7338</v>
      </c>
      <c r="I152" t="s">
        <v>2800</v>
      </c>
    </row>
    <row r="153" spans="1:9" x14ac:dyDescent="0.25">
      <c r="A153" t="s">
        <v>4659</v>
      </c>
      <c r="B153" t="s">
        <v>128</v>
      </c>
      <c r="C153" s="167">
        <v>9.8000000000000007</v>
      </c>
      <c r="D153" t="s">
        <v>4633</v>
      </c>
      <c r="E153" t="s">
        <v>2853</v>
      </c>
      <c r="F153" t="s">
        <v>7343</v>
      </c>
      <c r="G153" t="s">
        <v>7338</v>
      </c>
      <c r="I153" t="s">
        <v>2800</v>
      </c>
    </row>
    <row r="154" spans="1:9" x14ac:dyDescent="0.25">
      <c r="A154" t="s">
        <v>692</v>
      </c>
      <c r="B154" t="s">
        <v>128</v>
      </c>
      <c r="C154" s="167">
        <v>10.93</v>
      </c>
      <c r="D154" t="s">
        <v>671</v>
      </c>
      <c r="E154" t="s">
        <v>2853</v>
      </c>
      <c r="F154" t="s">
        <v>7343</v>
      </c>
      <c r="G154" t="s">
        <v>7338</v>
      </c>
      <c r="I154" t="s">
        <v>2800</v>
      </c>
    </row>
    <row r="155" spans="1:9" x14ac:dyDescent="0.25">
      <c r="A155" t="s">
        <v>7546</v>
      </c>
      <c r="B155" t="s">
        <v>138</v>
      </c>
      <c r="C155" s="167">
        <v>1.83</v>
      </c>
      <c r="D155" t="s">
        <v>59</v>
      </c>
      <c r="E155" t="s">
        <v>2853</v>
      </c>
      <c r="F155" t="s">
        <v>7338</v>
      </c>
      <c r="G155" t="s">
        <v>7338</v>
      </c>
      <c r="I155" t="s">
        <v>2800</v>
      </c>
    </row>
    <row r="156" spans="1:9" x14ac:dyDescent="0.25">
      <c r="A156" t="s">
        <v>137</v>
      </c>
      <c r="B156" t="s">
        <v>138</v>
      </c>
      <c r="C156" s="167">
        <v>1.77</v>
      </c>
      <c r="D156" t="s">
        <v>19</v>
      </c>
      <c r="E156" t="s">
        <v>2853</v>
      </c>
      <c r="F156" t="s">
        <v>7338</v>
      </c>
      <c r="G156" t="s">
        <v>7338</v>
      </c>
      <c r="I156" t="s">
        <v>2800</v>
      </c>
    </row>
    <row r="157" spans="1:9" x14ac:dyDescent="0.25">
      <c r="A157" t="s">
        <v>590</v>
      </c>
      <c r="B157" t="s">
        <v>138</v>
      </c>
      <c r="C157" s="167">
        <v>2.2799999999999998</v>
      </c>
      <c r="D157" t="s">
        <v>563</v>
      </c>
      <c r="E157" t="s">
        <v>2853</v>
      </c>
      <c r="F157" t="s">
        <v>7338</v>
      </c>
      <c r="G157" t="s">
        <v>7338</v>
      </c>
      <c r="I157" t="s">
        <v>2800</v>
      </c>
    </row>
    <row r="158" spans="1:9" x14ac:dyDescent="0.25">
      <c r="A158" t="s">
        <v>7335</v>
      </c>
      <c r="B158" t="s">
        <v>138</v>
      </c>
      <c r="C158" s="167">
        <v>1.83</v>
      </c>
      <c r="D158" t="s">
        <v>4633</v>
      </c>
      <c r="E158" t="s">
        <v>2853</v>
      </c>
      <c r="F158" t="s">
        <v>7338</v>
      </c>
      <c r="G158" t="s">
        <v>7338</v>
      </c>
      <c r="I158" t="s">
        <v>2800</v>
      </c>
    </row>
    <row r="159" spans="1:9" x14ac:dyDescent="0.25">
      <c r="A159" t="s">
        <v>696</v>
      </c>
      <c r="B159" t="s">
        <v>138</v>
      </c>
      <c r="C159" s="167">
        <v>2.2799999999999998</v>
      </c>
      <c r="D159" t="s">
        <v>671</v>
      </c>
      <c r="E159" t="s">
        <v>2853</v>
      </c>
      <c r="F159" t="s">
        <v>7338</v>
      </c>
      <c r="G159" t="s">
        <v>7338</v>
      </c>
      <c r="I159" t="s">
        <v>2800</v>
      </c>
    </row>
    <row r="160" spans="1:9" x14ac:dyDescent="0.25">
      <c r="A160" t="s">
        <v>7568</v>
      </c>
      <c r="B160" t="s">
        <v>199</v>
      </c>
      <c r="C160" s="167">
        <v>15.42</v>
      </c>
      <c r="D160" t="s">
        <v>59</v>
      </c>
      <c r="E160" t="s">
        <v>2853</v>
      </c>
      <c r="F160" t="s">
        <v>7338</v>
      </c>
      <c r="G160" t="s">
        <v>7338</v>
      </c>
      <c r="I160" t="s">
        <v>2803</v>
      </c>
    </row>
    <row r="161" spans="1:9" x14ac:dyDescent="0.25">
      <c r="A161" t="s">
        <v>135</v>
      </c>
      <c r="B161" t="s">
        <v>199</v>
      </c>
      <c r="C161" s="167">
        <v>14.92</v>
      </c>
      <c r="D161" t="s">
        <v>19</v>
      </c>
      <c r="E161" t="s">
        <v>2853</v>
      </c>
      <c r="F161" t="s">
        <v>7338</v>
      </c>
      <c r="G161" t="s">
        <v>7338</v>
      </c>
      <c r="I161" t="s">
        <v>2803</v>
      </c>
    </row>
    <row r="162" spans="1:9" x14ac:dyDescent="0.25">
      <c r="A162" t="s">
        <v>136</v>
      </c>
      <c r="B162" t="s">
        <v>199</v>
      </c>
      <c r="C162" s="167">
        <v>15.46</v>
      </c>
      <c r="D162" t="s">
        <v>21</v>
      </c>
      <c r="E162" t="s">
        <v>2853</v>
      </c>
      <c r="F162" t="s">
        <v>7338</v>
      </c>
      <c r="G162" t="s">
        <v>7338</v>
      </c>
      <c r="I162" t="s">
        <v>2803</v>
      </c>
    </row>
    <row r="163" spans="1:9" x14ac:dyDescent="0.25">
      <c r="A163" t="s">
        <v>609</v>
      </c>
      <c r="B163" t="s">
        <v>199</v>
      </c>
      <c r="C163" s="167">
        <v>18.47</v>
      </c>
      <c r="D163" t="s">
        <v>563</v>
      </c>
      <c r="E163" t="s">
        <v>2853</v>
      </c>
      <c r="F163" t="s">
        <v>7338</v>
      </c>
      <c r="G163" t="s">
        <v>7338</v>
      </c>
      <c r="I163" t="s">
        <v>2803</v>
      </c>
    </row>
    <row r="164" spans="1:9" x14ac:dyDescent="0.25">
      <c r="A164" t="s">
        <v>4685</v>
      </c>
      <c r="B164" t="s">
        <v>199</v>
      </c>
      <c r="C164" s="167">
        <v>15.46</v>
      </c>
      <c r="D164" t="s">
        <v>4633</v>
      </c>
      <c r="E164" t="s">
        <v>2853</v>
      </c>
      <c r="F164" t="s">
        <v>7338</v>
      </c>
      <c r="G164" t="s">
        <v>7338</v>
      </c>
      <c r="I164" t="s">
        <v>2803</v>
      </c>
    </row>
    <row r="165" spans="1:9" x14ac:dyDescent="0.25">
      <c r="A165" t="s">
        <v>712</v>
      </c>
      <c r="B165" t="s">
        <v>199</v>
      </c>
      <c r="C165" s="167">
        <v>18.47</v>
      </c>
      <c r="D165" t="s">
        <v>671</v>
      </c>
      <c r="E165" t="s">
        <v>2853</v>
      </c>
      <c r="F165" t="s">
        <v>7338</v>
      </c>
      <c r="G165" t="s">
        <v>7338</v>
      </c>
      <c r="I165" t="s">
        <v>2803</v>
      </c>
    </row>
    <row r="166" spans="1:9" x14ac:dyDescent="0.25">
      <c r="A166" t="s">
        <v>7569</v>
      </c>
      <c r="B166" t="s">
        <v>200</v>
      </c>
      <c r="C166" s="167">
        <v>13.97</v>
      </c>
      <c r="D166" t="s">
        <v>59</v>
      </c>
      <c r="E166" t="s">
        <v>2853</v>
      </c>
      <c r="F166" t="s">
        <v>7338</v>
      </c>
      <c r="G166" t="s">
        <v>7338</v>
      </c>
      <c r="I166" t="s">
        <v>2803</v>
      </c>
    </row>
    <row r="167" spans="1:9" x14ac:dyDescent="0.25">
      <c r="A167" t="s">
        <v>140</v>
      </c>
      <c r="B167" t="s">
        <v>200</v>
      </c>
      <c r="C167" s="167">
        <v>13.51</v>
      </c>
      <c r="D167" t="s">
        <v>19</v>
      </c>
      <c r="E167" t="s">
        <v>2853</v>
      </c>
      <c r="F167" t="s">
        <v>7338</v>
      </c>
      <c r="G167" t="s">
        <v>7338</v>
      </c>
      <c r="I167" t="s">
        <v>2803</v>
      </c>
    </row>
    <row r="168" spans="1:9" x14ac:dyDescent="0.25">
      <c r="A168" t="s">
        <v>145</v>
      </c>
      <c r="B168" t="s">
        <v>200</v>
      </c>
      <c r="C168" s="167">
        <v>14.01</v>
      </c>
      <c r="D168" t="s">
        <v>21</v>
      </c>
      <c r="E168" t="s">
        <v>2853</v>
      </c>
      <c r="F168" t="s">
        <v>7338</v>
      </c>
      <c r="G168" t="s">
        <v>7338</v>
      </c>
      <c r="I168" t="s">
        <v>2803</v>
      </c>
    </row>
    <row r="169" spans="1:9" x14ac:dyDescent="0.25">
      <c r="A169" t="s">
        <v>610</v>
      </c>
      <c r="B169" t="s">
        <v>200</v>
      </c>
      <c r="C169" s="167">
        <v>16.75</v>
      </c>
      <c r="D169" t="s">
        <v>563</v>
      </c>
      <c r="E169" t="s">
        <v>2853</v>
      </c>
      <c r="F169" t="s">
        <v>7338</v>
      </c>
      <c r="G169" t="s">
        <v>7338</v>
      </c>
      <c r="I169" t="s">
        <v>2803</v>
      </c>
    </row>
    <row r="170" spans="1:9" x14ac:dyDescent="0.25">
      <c r="A170" t="s">
        <v>4686</v>
      </c>
      <c r="B170" t="s">
        <v>200</v>
      </c>
      <c r="C170" s="167">
        <v>14.01</v>
      </c>
      <c r="D170" t="s">
        <v>4633</v>
      </c>
      <c r="E170" t="s">
        <v>2853</v>
      </c>
      <c r="F170" t="s">
        <v>7338</v>
      </c>
      <c r="G170" t="s">
        <v>7338</v>
      </c>
      <c r="I170" t="s">
        <v>2803</v>
      </c>
    </row>
    <row r="171" spans="1:9" x14ac:dyDescent="0.25">
      <c r="A171" t="s">
        <v>713</v>
      </c>
      <c r="B171" t="s">
        <v>200</v>
      </c>
      <c r="C171" s="167">
        <v>16.75</v>
      </c>
      <c r="D171" t="s">
        <v>671</v>
      </c>
      <c r="E171" t="s">
        <v>2853</v>
      </c>
      <c r="F171" t="s">
        <v>7338</v>
      </c>
      <c r="G171" t="s">
        <v>7338</v>
      </c>
      <c r="I171" t="s">
        <v>2803</v>
      </c>
    </row>
    <row r="172" spans="1:9" x14ac:dyDescent="0.25">
      <c r="A172" t="s">
        <v>7570</v>
      </c>
      <c r="B172" t="s">
        <v>201</v>
      </c>
      <c r="C172" s="167">
        <v>10.51</v>
      </c>
      <c r="D172" t="s">
        <v>59</v>
      </c>
      <c r="E172" t="s">
        <v>2853</v>
      </c>
      <c r="F172" t="s">
        <v>7338</v>
      </c>
      <c r="G172" t="s">
        <v>7338</v>
      </c>
      <c r="I172" t="s">
        <v>2803</v>
      </c>
    </row>
    <row r="173" spans="1:9" x14ac:dyDescent="0.25">
      <c r="A173" t="s">
        <v>149</v>
      </c>
      <c r="B173" t="s">
        <v>201</v>
      </c>
      <c r="C173" s="167">
        <v>10.16</v>
      </c>
      <c r="D173" t="s">
        <v>19</v>
      </c>
      <c r="E173" t="s">
        <v>2853</v>
      </c>
      <c r="F173" t="s">
        <v>7338</v>
      </c>
      <c r="G173" t="s">
        <v>7338</v>
      </c>
      <c r="I173" t="s">
        <v>2803</v>
      </c>
    </row>
    <row r="174" spans="1:9" x14ac:dyDescent="0.25">
      <c r="A174" t="s">
        <v>150</v>
      </c>
      <c r="B174" t="s">
        <v>201</v>
      </c>
      <c r="C174" s="167">
        <v>10.57</v>
      </c>
      <c r="D174" t="s">
        <v>21</v>
      </c>
      <c r="E174" t="s">
        <v>2853</v>
      </c>
      <c r="F174" t="s">
        <v>7338</v>
      </c>
      <c r="G174" t="s">
        <v>7338</v>
      </c>
      <c r="I174" t="s">
        <v>2803</v>
      </c>
    </row>
    <row r="175" spans="1:9" x14ac:dyDescent="0.25">
      <c r="A175" t="s">
        <v>611</v>
      </c>
      <c r="B175" t="s">
        <v>201</v>
      </c>
      <c r="C175" s="167">
        <v>12.57</v>
      </c>
      <c r="D175" t="s">
        <v>563</v>
      </c>
      <c r="E175" t="s">
        <v>2853</v>
      </c>
      <c r="F175" t="s">
        <v>7338</v>
      </c>
      <c r="G175" t="s">
        <v>7338</v>
      </c>
      <c r="I175" t="s">
        <v>2803</v>
      </c>
    </row>
    <row r="176" spans="1:9" x14ac:dyDescent="0.25">
      <c r="A176" t="s">
        <v>4687</v>
      </c>
      <c r="B176" t="s">
        <v>201</v>
      </c>
      <c r="C176" s="167">
        <v>10.57</v>
      </c>
      <c r="D176" t="s">
        <v>4633</v>
      </c>
      <c r="E176" t="s">
        <v>2853</v>
      </c>
      <c r="F176" t="s">
        <v>7338</v>
      </c>
      <c r="G176" t="s">
        <v>7338</v>
      </c>
      <c r="I176" t="s">
        <v>2803</v>
      </c>
    </row>
    <row r="177" spans="1:9" x14ac:dyDescent="0.25">
      <c r="A177" t="s">
        <v>714</v>
      </c>
      <c r="B177" t="s">
        <v>201</v>
      </c>
      <c r="C177" s="167">
        <v>12.57</v>
      </c>
      <c r="D177" t="s">
        <v>671</v>
      </c>
      <c r="E177" t="s">
        <v>2853</v>
      </c>
      <c r="F177" t="s">
        <v>7338</v>
      </c>
      <c r="G177" t="s">
        <v>7338</v>
      </c>
      <c r="I177" t="s">
        <v>2803</v>
      </c>
    </row>
    <row r="178" spans="1:9" x14ac:dyDescent="0.25">
      <c r="A178" t="s">
        <v>7571</v>
      </c>
      <c r="B178" t="s">
        <v>204</v>
      </c>
      <c r="C178" s="167">
        <v>17.329999999999998</v>
      </c>
      <c r="D178" t="s">
        <v>59</v>
      </c>
      <c r="E178" t="s">
        <v>2853</v>
      </c>
      <c r="F178" t="s">
        <v>7338</v>
      </c>
      <c r="G178" t="s">
        <v>7338</v>
      </c>
      <c r="I178" t="s">
        <v>2803</v>
      </c>
    </row>
    <row r="179" spans="1:9" x14ac:dyDescent="0.25">
      <c r="A179" t="s">
        <v>154</v>
      </c>
      <c r="B179" t="s">
        <v>204</v>
      </c>
      <c r="C179" s="167">
        <v>16.739999999999998</v>
      </c>
      <c r="D179" t="s">
        <v>19</v>
      </c>
      <c r="E179" t="s">
        <v>2853</v>
      </c>
      <c r="F179" t="s">
        <v>7338</v>
      </c>
      <c r="G179" t="s">
        <v>7338</v>
      </c>
      <c r="I179" t="s">
        <v>2803</v>
      </c>
    </row>
    <row r="180" spans="1:9" x14ac:dyDescent="0.25">
      <c r="A180" t="s">
        <v>155</v>
      </c>
      <c r="B180" t="s">
        <v>204</v>
      </c>
      <c r="C180" s="167">
        <v>17.38</v>
      </c>
      <c r="D180" t="s">
        <v>21</v>
      </c>
      <c r="E180" t="s">
        <v>2853</v>
      </c>
      <c r="F180" t="s">
        <v>7338</v>
      </c>
      <c r="G180" t="s">
        <v>7338</v>
      </c>
      <c r="I180" t="s">
        <v>2803</v>
      </c>
    </row>
    <row r="181" spans="1:9" x14ac:dyDescent="0.25">
      <c r="A181" t="s">
        <v>612</v>
      </c>
      <c r="B181" t="s">
        <v>204</v>
      </c>
      <c r="C181" s="167">
        <v>20.82</v>
      </c>
      <c r="D181" t="s">
        <v>563</v>
      </c>
      <c r="E181" t="s">
        <v>2853</v>
      </c>
      <c r="F181" t="s">
        <v>7338</v>
      </c>
      <c r="G181" t="s">
        <v>7338</v>
      </c>
      <c r="I181" t="s">
        <v>2803</v>
      </c>
    </row>
    <row r="182" spans="1:9" x14ac:dyDescent="0.25">
      <c r="A182" t="s">
        <v>4688</v>
      </c>
      <c r="B182" t="s">
        <v>204</v>
      </c>
      <c r="C182" s="167">
        <v>17.38</v>
      </c>
      <c r="D182" t="s">
        <v>4633</v>
      </c>
      <c r="E182" t="s">
        <v>2853</v>
      </c>
      <c r="F182" t="s">
        <v>7338</v>
      </c>
      <c r="G182" t="s">
        <v>7338</v>
      </c>
      <c r="I182" t="s">
        <v>2803</v>
      </c>
    </row>
    <row r="183" spans="1:9" x14ac:dyDescent="0.25">
      <c r="A183" t="s">
        <v>715</v>
      </c>
      <c r="B183" t="s">
        <v>204</v>
      </c>
      <c r="C183" s="167">
        <v>20.82</v>
      </c>
      <c r="D183" t="s">
        <v>671</v>
      </c>
      <c r="E183" t="s">
        <v>2853</v>
      </c>
      <c r="F183" t="s">
        <v>7338</v>
      </c>
      <c r="G183" t="s">
        <v>7338</v>
      </c>
      <c r="I183" t="s">
        <v>2803</v>
      </c>
    </row>
    <row r="184" spans="1:9" x14ac:dyDescent="0.25">
      <c r="A184" t="s">
        <v>7572</v>
      </c>
      <c r="B184" t="s">
        <v>208</v>
      </c>
      <c r="C184" s="167">
        <v>15.13</v>
      </c>
      <c r="D184" t="s">
        <v>59</v>
      </c>
      <c r="E184" t="s">
        <v>2853</v>
      </c>
      <c r="F184" t="s">
        <v>7338</v>
      </c>
      <c r="G184" t="s">
        <v>7338</v>
      </c>
      <c r="I184" t="s">
        <v>2803</v>
      </c>
    </row>
    <row r="185" spans="1:9" x14ac:dyDescent="0.25">
      <c r="A185" t="s">
        <v>207</v>
      </c>
      <c r="B185" t="s">
        <v>208</v>
      </c>
      <c r="C185" s="167">
        <v>14.62</v>
      </c>
      <c r="D185" t="s">
        <v>19</v>
      </c>
      <c r="E185" t="s">
        <v>2853</v>
      </c>
      <c r="F185" t="s">
        <v>7338</v>
      </c>
      <c r="G185" t="s">
        <v>7338</v>
      </c>
      <c r="I185" t="s">
        <v>2803</v>
      </c>
    </row>
    <row r="186" spans="1:9" x14ac:dyDescent="0.25">
      <c r="A186" t="s">
        <v>210</v>
      </c>
      <c r="B186" t="s">
        <v>208</v>
      </c>
      <c r="C186" s="167">
        <v>15.15</v>
      </c>
      <c r="D186" t="s">
        <v>21</v>
      </c>
      <c r="E186" t="s">
        <v>2853</v>
      </c>
      <c r="F186" t="s">
        <v>7338</v>
      </c>
      <c r="G186" t="s">
        <v>7338</v>
      </c>
      <c r="I186" t="s">
        <v>2803</v>
      </c>
    </row>
    <row r="187" spans="1:9" x14ac:dyDescent="0.25">
      <c r="A187" t="s">
        <v>613</v>
      </c>
      <c r="B187" t="s">
        <v>208</v>
      </c>
      <c r="C187" s="167">
        <v>18.149999999999999</v>
      </c>
      <c r="D187" t="s">
        <v>563</v>
      </c>
      <c r="E187" t="s">
        <v>2853</v>
      </c>
      <c r="F187" t="s">
        <v>7338</v>
      </c>
      <c r="G187" t="s">
        <v>7338</v>
      </c>
      <c r="I187" t="s">
        <v>2803</v>
      </c>
    </row>
    <row r="188" spans="1:9" x14ac:dyDescent="0.25">
      <c r="A188" t="s">
        <v>4689</v>
      </c>
      <c r="B188" t="s">
        <v>208</v>
      </c>
      <c r="C188" s="167">
        <v>15.15</v>
      </c>
      <c r="D188" t="s">
        <v>4633</v>
      </c>
      <c r="E188" t="s">
        <v>2853</v>
      </c>
      <c r="F188" t="s">
        <v>7338</v>
      </c>
      <c r="G188" t="s">
        <v>7338</v>
      </c>
      <c r="I188" t="s">
        <v>2803</v>
      </c>
    </row>
    <row r="189" spans="1:9" x14ac:dyDescent="0.25">
      <c r="A189" t="s">
        <v>716</v>
      </c>
      <c r="B189" t="s">
        <v>208</v>
      </c>
      <c r="C189" s="167">
        <v>18.149999999999999</v>
      </c>
      <c r="D189" t="s">
        <v>671</v>
      </c>
      <c r="E189" t="s">
        <v>2853</v>
      </c>
      <c r="F189" t="s">
        <v>7338</v>
      </c>
      <c r="G189" t="s">
        <v>7338</v>
      </c>
      <c r="I189" t="s">
        <v>2803</v>
      </c>
    </row>
    <row r="190" spans="1:9" x14ac:dyDescent="0.25">
      <c r="A190" t="s">
        <v>7573</v>
      </c>
      <c r="B190" t="s">
        <v>211</v>
      </c>
      <c r="C190" s="167">
        <v>13.91</v>
      </c>
      <c r="D190" t="s">
        <v>59</v>
      </c>
      <c r="E190" t="s">
        <v>2853</v>
      </c>
      <c r="F190" t="s">
        <v>7338</v>
      </c>
      <c r="G190" t="s">
        <v>7338</v>
      </c>
      <c r="I190" t="s">
        <v>2803</v>
      </c>
    </row>
    <row r="191" spans="1:9" x14ac:dyDescent="0.25">
      <c r="A191" t="s">
        <v>167</v>
      </c>
      <c r="B191" t="s">
        <v>211</v>
      </c>
      <c r="C191" s="167">
        <v>13.46</v>
      </c>
      <c r="D191" t="s">
        <v>19</v>
      </c>
      <c r="E191" t="s">
        <v>2853</v>
      </c>
      <c r="F191" t="s">
        <v>7338</v>
      </c>
      <c r="G191" t="s">
        <v>7338</v>
      </c>
      <c r="I191" t="s">
        <v>2803</v>
      </c>
    </row>
    <row r="192" spans="1:9" x14ac:dyDescent="0.25">
      <c r="A192" t="s">
        <v>168</v>
      </c>
      <c r="B192" t="s">
        <v>211</v>
      </c>
      <c r="C192" s="167">
        <v>13.95</v>
      </c>
      <c r="D192" t="s">
        <v>21</v>
      </c>
      <c r="E192" t="s">
        <v>2853</v>
      </c>
      <c r="F192" t="s">
        <v>7338</v>
      </c>
      <c r="G192" t="s">
        <v>7338</v>
      </c>
      <c r="I192" t="s">
        <v>2803</v>
      </c>
    </row>
    <row r="193" spans="1:9" x14ac:dyDescent="0.25">
      <c r="A193" t="s">
        <v>614</v>
      </c>
      <c r="B193" t="s">
        <v>211</v>
      </c>
      <c r="C193" s="167">
        <v>16.690000000000001</v>
      </c>
      <c r="D193" t="s">
        <v>563</v>
      </c>
      <c r="E193" t="s">
        <v>2853</v>
      </c>
      <c r="F193" t="s">
        <v>7338</v>
      </c>
      <c r="G193" t="s">
        <v>7338</v>
      </c>
      <c r="I193" t="s">
        <v>2803</v>
      </c>
    </row>
    <row r="194" spans="1:9" x14ac:dyDescent="0.25">
      <c r="A194" t="s">
        <v>4690</v>
      </c>
      <c r="B194" t="s">
        <v>211</v>
      </c>
      <c r="C194" s="167">
        <v>13.95</v>
      </c>
      <c r="D194" t="s">
        <v>4633</v>
      </c>
      <c r="E194" t="s">
        <v>2853</v>
      </c>
      <c r="F194" t="s">
        <v>7338</v>
      </c>
      <c r="G194" t="s">
        <v>7338</v>
      </c>
      <c r="I194" t="s">
        <v>2803</v>
      </c>
    </row>
    <row r="195" spans="1:9" x14ac:dyDescent="0.25">
      <c r="A195" t="s">
        <v>717</v>
      </c>
      <c r="B195" t="s">
        <v>211</v>
      </c>
      <c r="C195" s="167">
        <v>16.690000000000001</v>
      </c>
      <c r="D195" t="s">
        <v>671</v>
      </c>
      <c r="E195" t="s">
        <v>2853</v>
      </c>
      <c r="F195" t="s">
        <v>7338</v>
      </c>
      <c r="G195" t="s">
        <v>7338</v>
      </c>
      <c r="I195" t="s">
        <v>2803</v>
      </c>
    </row>
    <row r="196" spans="1:9" x14ac:dyDescent="0.25">
      <c r="A196" t="s">
        <v>7574</v>
      </c>
      <c r="B196" t="s">
        <v>214</v>
      </c>
      <c r="C196" s="167">
        <v>15.13</v>
      </c>
      <c r="D196" t="s">
        <v>59</v>
      </c>
      <c r="E196" t="s">
        <v>2853</v>
      </c>
      <c r="F196" t="s">
        <v>7338</v>
      </c>
      <c r="G196" t="s">
        <v>7338</v>
      </c>
      <c r="I196" t="s">
        <v>2803</v>
      </c>
    </row>
    <row r="197" spans="1:9" x14ac:dyDescent="0.25">
      <c r="A197" t="s">
        <v>213</v>
      </c>
      <c r="B197" t="s">
        <v>214</v>
      </c>
      <c r="C197" s="167">
        <v>14.62</v>
      </c>
      <c r="D197" t="s">
        <v>19</v>
      </c>
      <c r="E197" t="s">
        <v>2853</v>
      </c>
      <c r="F197" t="s">
        <v>7338</v>
      </c>
      <c r="G197" t="s">
        <v>7338</v>
      </c>
      <c r="I197" t="s">
        <v>2803</v>
      </c>
    </row>
    <row r="198" spans="1:9" x14ac:dyDescent="0.25">
      <c r="A198" t="s">
        <v>215</v>
      </c>
      <c r="B198" t="s">
        <v>214</v>
      </c>
      <c r="C198" s="167">
        <v>15.15</v>
      </c>
      <c r="D198" t="s">
        <v>21</v>
      </c>
      <c r="E198" t="s">
        <v>2853</v>
      </c>
      <c r="F198" t="s">
        <v>7338</v>
      </c>
      <c r="G198" t="s">
        <v>7338</v>
      </c>
      <c r="I198" t="s">
        <v>2803</v>
      </c>
    </row>
    <row r="199" spans="1:9" x14ac:dyDescent="0.25">
      <c r="A199" t="s">
        <v>615</v>
      </c>
      <c r="B199" t="s">
        <v>214</v>
      </c>
      <c r="C199" s="167">
        <v>18.149999999999999</v>
      </c>
      <c r="D199" t="s">
        <v>563</v>
      </c>
      <c r="E199" t="s">
        <v>2853</v>
      </c>
      <c r="F199" t="s">
        <v>7338</v>
      </c>
      <c r="G199" t="s">
        <v>7338</v>
      </c>
      <c r="I199" t="s">
        <v>2803</v>
      </c>
    </row>
    <row r="200" spans="1:9" x14ac:dyDescent="0.25">
      <c r="A200" t="s">
        <v>4691</v>
      </c>
      <c r="B200" t="s">
        <v>214</v>
      </c>
      <c r="C200" s="167">
        <v>15.15</v>
      </c>
      <c r="D200" t="s">
        <v>4633</v>
      </c>
      <c r="E200" t="s">
        <v>2853</v>
      </c>
      <c r="F200" t="s">
        <v>7338</v>
      </c>
      <c r="G200" t="s">
        <v>7338</v>
      </c>
      <c r="I200" t="s">
        <v>2803</v>
      </c>
    </row>
    <row r="201" spans="1:9" x14ac:dyDescent="0.25">
      <c r="A201" t="s">
        <v>718</v>
      </c>
      <c r="B201" t="s">
        <v>214</v>
      </c>
      <c r="C201" s="167">
        <v>18.149999999999999</v>
      </c>
      <c r="D201" t="s">
        <v>671</v>
      </c>
      <c r="E201" t="s">
        <v>2853</v>
      </c>
      <c r="F201" t="s">
        <v>7338</v>
      </c>
      <c r="G201" t="s">
        <v>7338</v>
      </c>
      <c r="I201" t="s">
        <v>2803</v>
      </c>
    </row>
    <row r="202" spans="1:9" x14ac:dyDescent="0.25">
      <c r="A202" t="s">
        <v>7970</v>
      </c>
      <c r="B202" t="s">
        <v>7971</v>
      </c>
      <c r="C202" s="167">
        <v>22.85</v>
      </c>
      <c r="D202" t="s">
        <v>2853</v>
      </c>
      <c r="E202" t="s">
        <v>1701</v>
      </c>
      <c r="F202" t="s">
        <v>8259</v>
      </c>
      <c r="G202" t="s">
        <v>7338</v>
      </c>
      <c r="I202" t="s">
        <v>2803</v>
      </c>
    </row>
    <row r="203" spans="1:9" x14ac:dyDescent="0.25">
      <c r="A203" t="s">
        <v>7972</v>
      </c>
      <c r="B203" t="s">
        <v>7973</v>
      </c>
      <c r="C203" s="167">
        <v>22.85</v>
      </c>
      <c r="D203" t="s">
        <v>2853</v>
      </c>
      <c r="E203" t="s">
        <v>1699</v>
      </c>
      <c r="F203" t="s">
        <v>8259</v>
      </c>
      <c r="G203" t="s">
        <v>7338</v>
      </c>
      <c r="I203" t="s">
        <v>2803</v>
      </c>
    </row>
    <row r="204" spans="1:9" x14ac:dyDescent="0.25">
      <c r="A204" t="s">
        <v>7974</v>
      </c>
      <c r="B204" t="s">
        <v>7975</v>
      </c>
      <c r="C204" s="167">
        <v>22.85</v>
      </c>
      <c r="D204" t="s">
        <v>2853</v>
      </c>
      <c r="E204" t="s">
        <v>1703</v>
      </c>
      <c r="F204" t="s">
        <v>8259</v>
      </c>
      <c r="G204" t="s">
        <v>7338</v>
      </c>
      <c r="I204" t="s">
        <v>2803</v>
      </c>
    </row>
    <row r="205" spans="1:9" x14ac:dyDescent="0.25">
      <c r="A205" t="s">
        <v>7976</v>
      </c>
      <c r="B205" t="s">
        <v>7977</v>
      </c>
      <c r="C205" s="167">
        <v>4.8</v>
      </c>
      <c r="D205" t="s">
        <v>2853</v>
      </c>
      <c r="E205" t="s">
        <v>2853</v>
      </c>
      <c r="F205" t="s">
        <v>7352</v>
      </c>
      <c r="G205" t="s">
        <v>7352</v>
      </c>
      <c r="I205" t="s">
        <v>2803</v>
      </c>
    </row>
    <row r="206" spans="1:9" x14ac:dyDescent="0.25">
      <c r="A206" t="s">
        <v>7978</v>
      </c>
      <c r="B206" t="s">
        <v>7979</v>
      </c>
      <c r="C206" s="167">
        <v>4.8</v>
      </c>
      <c r="D206" t="s">
        <v>2853</v>
      </c>
      <c r="E206" t="s">
        <v>2853</v>
      </c>
      <c r="F206" t="s">
        <v>7352</v>
      </c>
      <c r="G206" t="s">
        <v>7352</v>
      </c>
      <c r="I206" t="s">
        <v>2803</v>
      </c>
    </row>
    <row r="207" spans="1:9" x14ac:dyDescent="0.25">
      <c r="A207" t="s">
        <v>7980</v>
      </c>
      <c r="B207" t="s">
        <v>7981</v>
      </c>
      <c r="C207" s="167">
        <v>4.8</v>
      </c>
      <c r="D207" t="s">
        <v>2853</v>
      </c>
      <c r="E207" t="s">
        <v>2853</v>
      </c>
      <c r="F207" t="s">
        <v>7352</v>
      </c>
      <c r="G207" t="s">
        <v>7352</v>
      </c>
      <c r="I207" t="s">
        <v>2803</v>
      </c>
    </row>
    <row r="208" spans="1:9" x14ac:dyDescent="0.25">
      <c r="A208" t="s">
        <v>7982</v>
      </c>
      <c r="B208" t="s">
        <v>7983</v>
      </c>
      <c r="C208" s="167">
        <v>4.8</v>
      </c>
      <c r="D208" t="s">
        <v>2853</v>
      </c>
      <c r="E208" t="s">
        <v>2853</v>
      </c>
      <c r="F208" t="s">
        <v>7352</v>
      </c>
      <c r="G208" t="s">
        <v>7352</v>
      </c>
      <c r="I208" t="s">
        <v>2803</v>
      </c>
    </row>
    <row r="209" spans="1:10" x14ac:dyDescent="0.25">
      <c r="A209" t="s">
        <v>7984</v>
      </c>
      <c r="B209" t="s">
        <v>7985</v>
      </c>
      <c r="C209" s="167">
        <v>4.8</v>
      </c>
      <c r="D209" t="s">
        <v>2853</v>
      </c>
      <c r="E209" t="s">
        <v>2853</v>
      </c>
      <c r="F209" t="s">
        <v>7352</v>
      </c>
      <c r="G209" t="s">
        <v>7352</v>
      </c>
      <c r="I209" t="s">
        <v>2803</v>
      </c>
    </row>
    <row r="210" spans="1:10" x14ac:dyDescent="0.25">
      <c r="A210" t="s">
        <v>7986</v>
      </c>
      <c r="B210" t="s">
        <v>7987</v>
      </c>
      <c r="C210" s="167">
        <v>4.8</v>
      </c>
      <c r="D210" t="s">
        <v>2853</v>
      </c>
      <c r="E210" t="s">
        <v>2853</v>
      </c>
      <c r="F210" t="s">
        <v>7352</v>
      </c>
      <c r="G210" t="s">
        <v>7352</v>
      </c>
      <c r="I210" t="s">
        <v>2803</v>
      </c>
    </row>
    <row r="211" spans="1:10" x14ac:dyDescent="0.25">
      <c r="A211" t="s">
        <v>7988</v>
      </c>
      <c r="B211" t="s">
        <v>7989</v>
      </c>
      <c r="C211" s="167">
        <v>35.35</v>
      </c>
      <c r="D211" t="s">
        <v>2853</v>
      </c>
      <c r="E211" t="s">
        <v>2853</v>
      </c>
      <c r="F211" t="s">
        <v>7338</v>
      </c>
      <c r="G211" t="s">
        <v>7338</v>
      </c>
      <c r="I211" t="s">
        <v>2803</v>
      </c>
    </row>
    <row r="212" spans="1:10" x14ac:dyDescent="0.25">
      <c r="A212" t="s">
        <v>172</v>
      </c>
      <c r="B212" t="s">
        <v>216</v>
      </c>
      <c r="C212" s="167">
        <v>0.16</v>
      </c>
      <c r="D212" t="s">
        <v>59</v>
      </c>
      <c r="E212" t="s">
        <v>2853</v>
      </c>
      <c r="F212" t="s">
        <v>7338</v>
      </c>
      <c r="G212" t="s">
        <v>7338</v>
      </c>
      <c r="I212" t="s">
        <v>2803</v>
      </c>
    </row>
    <row r="213" spans="1:10" x14ac:dyDescent="0.25">
      <c r="A213" t="s">
        <v>7547</v>
      </c>
      <c r="B213" t="s">
        <v>2778</v>
      </c>
      <c r="C213" s="167">
        <v>2.06</v>
      </c>
      <c r="D213" t="s">
        <v>59</v>
      </c>
      <c r="E213" t="s">
        <v>2853</v>
      </c>
      <c r="F213" t="s">
        <v>7338</v>
      </c>
      <c r="G213" t="s">
        <v>7338</v>
      </c>
      <c r="I213" t="s">
        <v>2802</v>
      </c>
    </row>
    <row r="214" spans="1:10" x14ac:dyDescent="0.25">
      <c r="A214" t="s">
        <v>141</v>
      </c>
      <c r="B214" t="s">
        <v>2778</v>
      </c>
      <c r="C214" s="167">
        <v>1.9</v>
      </c>
      <c r="D214" t="s">
        <v>19</v>
      </c>
      <c r="E214" t="s">
        <v>2853</v>
      </c>
      <c r="F214" t="s">
        <v>7338</v>
      </c>
      <c r="G214" t="s">
        <v>7338</v>
      </c>
      <c r="I214" t="s">
        <v>2802</v>
      </c>
    </row>
    <row r="215" spans="1:10" x14ac:dyDescent="0.25">
      <c r="A215" t="s">
        <v>142</v>
      </c>
      <c r="B215" t="s">
        <v>2778</v>
      </c>
      <c r="C215" s="167">
        <v>2.06</v>
      </c>
      <c r="D215" t="s">
        <v>21</v>
      </c>
      <c r="E215" t="s">
        <v>2853</v>
      </c>
      <c r="F215" t="s">
        <v>7338</v>
      </c>
      <c r="G215" t="s">
        <v>7338</v>
      </c>
      <c r="I215" t="s">
        <v>2802</v>
      </c>
    </row>
    <row r="216" spans="1:10" x14ac:dyDescent="0.25">
      <c r="A216" t="s">
        <v>591</v>
      </c>
      <c r="B216" t="s">
        <v>2778</v>
      </c>
      <c r="C216" s="167">
        <v>2.4300000000000002</v>
      </c>
      <c r="D216" t="s">
        <v>563</v>
      </c>
      <c r="E216" t="s">
        <v>2853</v>
      </c>
      <c r="F216" t="s">
        <v>7338</v>
      </c>
      <c r="G216" t="s">
        <v>7338</v>
      </c>
      <c r="I216" t="s">
        <v>2802</v>
      </c>
    </row>
    <row r="217" spans="1:10" x14ac:dyDescent="0.25">
      <c r="A217" t="s">
        <v>4672</v>
      </c>
      <c r="B217" t="s">
        <v>2778</v>
      </c>
      <c r="C217" s="167">
        <v>2.06</v>
      </c>
      <c r="D217" t="s">
        <v>4633</v>
      </c>
      <c r="E217" t="s">
        <v>2853</v>
      </c>
      <c r="F217" t="s">
        <v>7338</v>
      </c>
      <c r="G217" t="s">
        <v>7338</v>
      </c>
      <c r="I217" t="s">
        <v>2802</v>
      </c>
    </row>
    <row r="218" spans="1:10" x14ac:dyDescent="0.25">
      <c r="A218" t="s">
        <v>697</v>
      </c>
      <c r="B218" t="s">
        <v>2778</v>
      </c>
      <c r="C218" s="167">
        <v>2.4300000000000002</v>
      </c>
      <c r="D218" t="s">
        <v>671</v>
      </c>
      <c r="E218" t="s">
        <v>2853</v>
      </c>
      <c r="F218" t="s">
        <v>7338</v>
      </c>
      <c r="G218" t="s">
        <v>7338</v>
      </c>
      <c r="I218" t="s">
        <v>2802</v>
      </c>
    </row>
    <row r="219" spans="1:10" x14ac:dyDescent="0.25">
      <c r="A219" t="s">
        <v>7552</v>
      </c>
      <c r="B219" t="s">
        <v>2781</v>
      </c>
      <c r="C219" s="167">
        <v>4.21</v>
      </c>
      <c r="D219" t="s">
        <v>59</v>
      </c>
      <c r="E219" t="s">
        <v>2853</v>
      </c>
      <c r="F219" t="s">
        <v>7338</v>
      </c>
      <c r="G219" t="s">
        <v>7338</v>
      </c>
      <c r="H219">
        <v>6.3</v>
      </c>
      <c r="I219" t="s">
        <v>2802</v>
      </c>
      <c r="J219">
        <v>160</v>
      </c>
    </row>
    <row r="220" spans="1:10" x14ac:dyDescent="0.25">
      <c r="A220" t="s">
        <v>158</v>
      </c>
      <c r="B220" t="s">
        <v>2781</v>
      </c>
      <c r="C220" s="167">
        <v>3.81</v>
      </c>
      <c r="D220" t="s">
        <v>19</v>
      </c>
      <c r="E220" t="s">
        <v>2853</v>
      </c>
      <c r="F220" t="s">
        <v>7338</v>
      </c>
      <c r="G220" t="s">
        <v>7338</v>
      </c>
      <c r="H220">
        <v>6.3</v>
      </c>
      <c r="I220" t="s">
        <v>2802</v>
      </c>
      <c r="J220">
        <v>160</v>
      </c>
    </row>
    <row r="221" spans="1:10" x14ac:dyDescent="0.25">
      <c r="A221" t="s">
        <v>159</v>
      </c>
      <c r="B221" t="s">
        <v>2781</v>
      </c>
      <c r="C221" s="167">
        <v>4.21</v>
      </c>
      <c r="D221" t="s">
        <v>21</v>
      </c>
      <c r="E221" t="s">
        <v>2853</v>
      </c>
      <c r="F221" t="s">
        <v>7338</v>
      </c>
      <c r="G221" t="s">
        <v>7338</v>
      </c>
      <c r="H221">
        <v>6.3</v>
      </c>
      <c r="I221" t="s">
        <v>2802</v>
      </c>
      <c r="J221">
        <v>160</v>
      </c>
    </row>
    <row r="222" spans="1:10" x14ac:dyDescent="0.25">
      <c r="A222" t="s">
        <v>598</v>
      </c>
      <c r="B222" t="s">
        <v>2781</v>
      </c>
      <c r="C222" s="167">
        <v>4.96</v>
      </c>
      <c r="D222" t="s">
        <v>563</v>
      </c>
      <c r="E222" t="s">
        <v>2853</v>
      </c>
      <c r="F222" t="s">
        <v>7338</v>
      </c>
      <c r="G222" t="s">
        <v>7338</v>
      </c>
      <c r="H222">
        <v>6.3</v>
      </c>
      <c r="I222" t="s">
        <v>2802</v>
      </c>
      <c r="J222">
        <v>160</v>
      </c>
    </row>
    <row r="223" spans="1:10" x14ac:dyDescent="0.25">
      <c r="A223" t="s">
        <v>4674</v>
      </c>
      <c r="B223" t="s">
        <v>2781</v>
      </c>
      <c r="C223" s="167">
        <v>4.21</v>
      </c>
      <c r="D223" t="s">
        <v>4633</v>
      </c>
      <c r="E223" t="s">
        <v>2853</v>
      </c>
      <c r="F223" t="s">
        <v>7338</v>
      </c>
      <c r="G223" t="s">
        <v>7338</v>
      </c>
      <c r="H223">
        <v>6.3</v>
      </c>
      <c r="I223" t="s">
        <v>2802</v>
      </c>
      <c r="J223">
        <v>160</v>
      </c>
    </row>
    <row r="224" spans="1:10" x14ac:dyDescent="0.25">
      <c r="A224" t="s">
        <v>704</v>
      </c>
      <c r="B224" t="s">
        <v>2781</v>
      </c>
      <c r="C224" s="167">
        <v>4.96</v>
      </c>
      <c r="D224" t="s">
        <v>671</v>
      </c>
      <c r="E224" t="s">
        <v>2853</v>
      </c>
      <c r="F224" t="s">
        <v>7338</v>
      </c>
      <c r="G224" t="s">
        <v>7338</v>
      </c>
      <c r="H224">
        <v>6.3</v>
      </c>
      <c r="I224" t="s">
        <v>2802</v>
      </c>
      <c r="J224">
        <v>160</v>
      </c>
    </row>
    <row r="225" spans="1:10" x14ac:dyDescent="0.25">
      <c r="A225" t="s">
        <v>7548</v>
      </c>
      <c r="B225" t="s">
        <v>2779</v>
      </c>
      <c r="C225" s="167">
        <v>1.9</v>
      </c>
      <c r="D225" t="s">
        <v>59</v>
      </c>
      <c r="E225" t="s">
        <v>2853</v>
      </c>
      <c r="F225" t="s">
        <v>7338</v>
      </c>
      <c r="G225" t="s">
        <v>7338</v>
      </c>
      <c r="H225">
        <v>0.63</v>
      </c>
      <c r="I225" t="s">
        <v>2802</v>
      </c>
      <c r="J225">
        <v>16</v>
      </c>
    </row>
    <row r="226" spans="1:10" x14ac:dyDescent="0.25">
      <c r="A226" t="s">
        <v>143</v>
      </c>
      <c r="B226" t="s">
        <v>2779</v>
      </c>
      <c r="C226" s="167">
        <v>1.76</v>
      </c>
      <c r="D226" t="s">
        <v>19</v>
      </c>
      <c r="E226" t="s">
        <v>2853</v>
      </c>
      <c r="F226" t="s">
        <v>7338</v>
      </c>
      <c r="G226" t="s">
        <v>7338</v>
      </c>
      <c r="H226">
        <v>0.63</v>
      </c>
      <c r="I226" t="s">
        <v>2802</v>
      </c>
      <c r="J226">
        <v>16</v>
      </c>
    </row>
    <row r="227" spans="1:10" x14ac:dyDescent="0.25">
      <c r="A227" t="s">
        <v>144</v>
      </c>
      <c r="B227" t="s">
        <v>2779</v>
      </c>
      <c r="C227" s="167">
        <v>1.9</v>
      </c>
      <c r="D227" t="s">
        <v>21</v>
      </c>
      <c r="E227" t="s">
        <v>2853</v>
      </c>
      <c r="F227" t="s">
        <v>7338</v>
      </c>
      <c r="G227" t="s">
        <v>7338</v>
      </c>
      <c r="H227">
        <v>0.63</v>
      </c>
      <c r="I227" t="s">
        <v>2802</v>
      </c>
      <c r="J227">
        <v>16</v>
      </c>
    </row>
    <row r="228" spans="1:10" x14ac:dyDescent="0.25">
      <c r="A228" t="s">
        <v>592</v>
      </c>
      <c r="B228" t="s">
        <v>2779</v>
      </c>
      <c r="C228" s="167">
        <v>2.2999999999999998</v>
      </c>
      <c r="D228" t="s">
        <v>563</v>
      </c>
      <c r="E228" t="s">
        <v>2853</v>
      </c>
      <c r="F228" t="s">
        <v>7338</v>
      </c>
      <c r="G228" t="s">
        <v>7338</v>
      </c>
      <c r="H228">
        <v>0.63</v>
      </c>
      <c r="I228" t="s">
        <v>2802</v>
      </c>
      <c r="J228">
        <v>16</v>
      </c>
    </row>
    <row r="229" spans="1:10" x14ac:dyDescent="0.25">
      <c r="A229" t="s">
        <v>4673</v>
      </c>
      <c r="B229" t="s">
        <v>2779</v>
      </c>
      <c r="C229" s="167">
        <v>1.9</v>
      </c>
      <c r="D229" t="s">
        <v>4633</v>
      </c>
      <c r="E229" t="s">
        <v>2853</v>
      </c>
      <c r="F229" t="s">
        <v>7338</v>
      </c>
      <c r="G229" t="s">
        <v>7338</v>
      </c>
      <c r="H229">
        <v>0.63</v>
      </c>
      <c r="I229" t="s">
        <v>2802</v>
      </c>
      <c r="J229">
        <v>16</v>
      </c>
    </row>
    <row r="230" spans="1:10" x14ac:dyDescent="0.25">
      <c r="A230" t="s">
        <v>698</v>
      </c>
      <c r="B230" t="s">
        <v>2779</v>
      </c>
      <c r="C230" s="167">
        <v>2.2999999999999998</v>
      </c>
      <c r="D230" t="s">
        <v>671</v>
      </c>
      <c r="E230" t="s">
        <v>2853</v>
      </c>
      <c r="F230" t="s">
        <v>7338</v>
      </c>
      <c r="G230" t="s">
        <v>7338</v>
      </c>
      <c r="H230">
        <v>0.63</v>
      </c>
      <c r="I230" t="s">
        <v>2802</v>
      </c>
      <c r="J230">
        <v>16</v>
      </c>
    </row>
    <row r="231" spans="1:10" x14ac:dyDescent="0.25">
      <c r="A231" t="s">
        <v>7553</v>
      </c>
      <c r="B231" t="s">
        <v>2782</v>
      </c>
      <c r="C231" s="167">
        <v>3.81</v>
      </c>
      <c r="D231" t="s">
        <v>59</v>
      </c>
      <c r="E231" t="s">
        <v>2853</v>
      </c>
      <c r="F231" t="s">
        <v>7338</v>
      </c>
      <c r="G231" t="s">
        <v>7338</v>
      </c>
      <c r="H231">
        <v>6.3</v>
      </c>
      <c r="I231" t="s">
        <v>2802</v>
      </c>
      <c r="J231">
        <v>160</v>
      </c>
    </row>
    <row r="232" spans="1:10" x14ac:dyDescent="0.25">
      <c r="A232" t="s">
        <v>160</v>
      </c>
      <c r="B232" t="s">
        <v>2782</v>
      </c>
      <c r="C232" s="167">
        <v>3.51</v>
      </c>
      <c r="D232" t="s">
        <v>19</v>
      </c>
      <c r="E232" t="s">
        <v>2853</v>
      </c>
      <c r="F232" t="s">
        <v>7338</v>
      </c>
      <c r="G232" t="s">
        <v>7338</v>
      </c>
      <c r="H232">
        <v>6.3</v>
      </c>
      <c r="I232" t="s">
        <v>2802</v>
      </c>
      <c r="J232">
        <v>160</v>
      </c>
    </row>
    <row r="233" spans="1:10" x14ac:dyDescent="0.25">
      <c r="A233" t="s">
        <v>161</v>
      </c>
      <c r="B233" t="s">
        <v>2782</v>
      </c>
      <c r="C233" s="167">
        <v>3.81</v>
      </c>
      <c r="D233" t="s">
        <v>21</v>
      </c>
      <c r="E233" t="s">
        <v>2853</v>
      </c>
      <c r="F233" t="s">
        <v>7338</v>
      </c>
      <c r="G233" t="s">
        <v>7338</v>
      </c>
      <c r="H233">
        <v>6.3</v>
      </c>
      <c r="I233" t="s">
        <v>2802</v>
      </c>
      <c r="J233">
        <v>160</v>
      </c>
    </row>
    <row r="234" spans="1:10" x14ac:dyDescent="0.25">
      <c r="A234" t="s">
        <v>599</v>
      </c>
      <c r="B234" t="s">
        <v>2782</v>
      </c>
      <c r="C234" s="167">
        <v>4.57</v>
      </c>
      <c r="D234" t="s">
        <v>563</v>
      </c>
      <c r="E234" t="s">
        <v>2853</v>
      </c>
      <c r="F234" t="s">
        <v>7338</v>
      </c>
      <c r="G234" t="s">
        <v>7338</v>
      </c>
      <c r="H234">
        <v>6.3</v>
      </c>
      <c r="I234" t="s">
        <v>2802</v>
      </c>
      <c r="J234">
        <v>160</v>
      </c>
    </row>
    <row r="235" spans="1:10" x14ac:dyDescent="0.25">
      <c r="A235" t="s">
        <v>4675</v>
      </c>
      <c r="B235" t="s">
        <v>2782</v>
      </c>
      <c r="C235" s="167">
        <v>3.81</v>
      </c>
      <c r="D235" t="s">
        <v>4633</v>
      </c>
      <c r="E235" t="s">
        <v>2853</v>
      </c>
      <c r="F235" t="s">
        <v>7338</v>
      </c>
      <c r="G235" t="s">
        <v>7338</v>
      </c>
      <c r="H235">
        <v>6.3</v>
      </c>
      <c r="I235" t="s">
        <v>2802</v>
      </c>
      <c r="J235">
        <v>160</v>
      </c>
    </row>
    <row r="236" spans="1:10" x14ac:dyDescent="0.25">
      <c r="A236" t="s">
        <v>705</v>
      </c>
      <c r="B236" t="s">
        <v>2782</v>
      </c>
      <c r="C236" s="167">
        <v>4.57</v>
      </c>
      <c r="D236" t="s">
        <v>671</v>
      </c>
      <c r="E236" t="s">
        <v>2853</v>
      </c>
      <c r="F236" t="s">
        <v>7338</v>
      </c>
      <c r="G236" t="s">
        <v>7338</v>
      </c>
      <c r="H236">
        <v>6.3</v>
      </c>
      <c r="I236" t="s">
        <v>2802</v>
      </c>
      <c r="J236">
        <v>160</v>
      </c>
    </row>
    <row r="237" spans="1:10" x14ac:dyDescent="0.25">
      <c r="A237" t="s">
        <v>7549</v>
      </c>
      <c r="B237" t="s">
        <v>700</v>
      </c>
      <c r="C237" s="167">
        <v>1.57</v>
      </c>
      <c r="D237" t="s">
        <v>59</v>
      </c>
      <c r="E237" t="s">
        <v>2853</v>
      </c>
      <c r="F237" t="s">
        <v>7338</v>
      </c>
      <c r="G237" t="s">
        <v>7338</v>
      </c>
      <c r="I237" t="s">
        <v>2802</v>
      </c>
    </row>
    <row r="238" spans="1:10" x14ac:dyDescent="0.25">
      <c r="A238" t="s">
        <v>146</v>
      </c>
      <c r="B238" t="s">
        <v>700</v>
      </c>
      <c r="C238" s="167">
        <v>1.51</v>
      </c>
      <c r="D238" t="s">
        <v>19</v>
      </c>
      <c r="E238" t="s">
        <v>2853</v>
      </c>
      <c r="F238" t="s">
        <v>7338</v>
      </c>
      <c r="G238" t="s">
        <v>7338</v>
      </c>
      <c r="I238" t="s">
        <v>2802</v>
      </c>
    </row>
    <row r="239" spans="1:10" x14ac:dyDescent="0.25">
      <c r="A239" t="s">
        <v>148</v>
      </c>
      <c r="B239" t="s">
        <v>700</v>
      </c>
      <c r="C239" s="167">
        <v>1.57</v>
      </c>
      <c r="D239" t="s">
        <v>21</v>
      </c>
      <c r="E239" t="s">
        <v>2853</v>
      </c>
      <c r="F239" t="s">
        <v>7338</v>
      </c>
      <c r="G239" t="s">
        <v>7338</v>
      </c>
      <c r="I239" t="s">
        <v>2802</v>
      </c>
    </row>
    <row r="240" spans="1:10" x14ac:dyDescent="0.25">
      <c r="A240" t="s">
        <v>593</v>
      </c>
      <c r="B240" t="s">
        <v>700</v>
      </c>
      <c r="C240" s="167">
        <v>1.98</v>
      </c>
      <c r="D240" t="s">
        <v>563</v>
      </c>
      <c r="E240" t="s">
        <v>2853</v>
      </c>
      <c r="F240" t="s">
        <v>7338</v>
      </c>
      <c r="G240" t="s">
        <v>7338</v>
      </c>
      <c r="I240" t="s">
        <v>2802</v>
      </c>
    </row>
    <row r="241" spans="1:10" x14ac:dyDescent="0.25">
      <c r="A241" t="s">
        <v>4667</v>
      </c>
      <c r="B241" t="s">
        <v>2840</v>
      </c>
      <c r="C241" s="167">
        <v>1.57</v>
      </c>
      <c r="D241" t="s">
        <v>4633</v>
      </c>
      <c r="E241" t="s">
        <v>2853</v>
      </c>
      <c r="F241" t="s">
        <v>7338</v>
      </c>
      <c r="G241" t="s">
        <v>7338</v>
      </c>
      <c r="I241" t="s">
        <v>2802</v>
      </c>
    </row>
    <row r="242" spans="1:10" x14ac:dyDescent="0.25">
      <c r="A242" t="s">
        <v>699</v>
      </c>
      <c r="B242" t="s">
        <v>700</v>
      </c>
      <c r="C242" s="167">
        <v>1.98</v>
      </c>
      <c r="D242" t="s">
        <v>671</v>
      </c>
      <c r="E242" t="s">
        <v>2853</v>
      </c>
      <c r="F242" t="s">
        <v>7338</v>
      </c>
      <c r="G242" t="s">
        <v>7338</v>
      </c>
      <c r="I242" t="s">
        <v>2802</v>
      </c>
    </row>
    <row r="243" spans="1:10" x14ac:dyDescent="0.25">
      <c r="A243" t="s">
        <v>7554</v>
      </c>
      <c r="B243" t="s">
        <v>2783</v>
      </c>
      <c r="C243" s="167">
        <v>3.51</v>
      </c>
      <c r="D243" t="s">
        <v>59</v>
      </c>
      <c r="E243" t="s">
        <v>2853</v>
      </c>
      <c r="F243" t="s">
        <v>7338</v>
      </c>
      <c r="G243" t="s">
        <v>7338</v>
      </c>
      <c r="H243">
        <v>5</v>
      </c>
      <c r="I243" t="s">
        <v>2802</v>
      </c>
      <c r="J243">
        <v>128</v>
      </c>
    </row>
    <row r="244" spans="1:10" x14ac:dyDescent="0.25">
      <c r="A244" t="s">
        <v>162</v>
      </c>
      <c r="B244" t="s">
        <v>2783</v>
      </c>
      <c r="C244" s="167">
        <v>3.21</v>
      </c>
      <c r="D244" t="s">
        <v>19</v>
      </c>
      <c r="E244" t="s">
        <v>2853</v>
      </c>
      <c r="F244" t="s">
        <v>7338</v>
      </c>
      <c r="G244" t="s">
        <v>7338</v>
      </c>
      <c r="H244">
        <v>5</v>
      </c>
      <c r="I244" t="s">
        <v>2802</v>
      </c>
      <c r="J244">
        <v>128</v>
      </c>
    </row>
    <row r="245" spans="1:10" x14ac:dyDescent="0.25">
      <c r="A245" t="s">
        <v>163</v>
      </c>
      <c r="B245" t="s">
        <v>2783</v>
      </c>
      <c r="C245" s="167">
        <v>3.51</v>
      </c>
      <c r="D245" t="s">
        <v>21</v>
      </c>
      <c r="E245" t="s">
        <v>2853</v>
      </c>
      <c r="F245" t="s">
        <v>7338</v>
      </c>
      <c r="G245" t="s">
        <v>7338</v>
      </c>
      <c r="H245">
        <v>5</v>
      </c>
      <c r="I245" t="s">
        <v>2802</v>
      </c>
      <c r="J245">
        <v>128</v>
      </c>
    </row>
    <row r="246" spans="1:10" x14ac:dyDescent="0.25">
      <c r="A246" t="s">
        <v>600</v>
      </c>
      <c r="B246" t="s">
        <v>2783</v>
      </c>
      <c r="C246" s="167">
        <v>4.1100000000000003</v>
      </c>
      <c r="D246" t="s">
        <v>563</v>
      </c>
      <c r="E246" t="s">
        <v>2853</v>
      </c>
      <c r="F246" t="s">
        <v>7338</v>
      </c>
      <c r="G246" t="s">
        <v>7338</v>
      </c>
      <c r="H246">
        <v>5</v>
      </c>
      <c r="I246" t="s">
        <v>2802</v>
      </c>
      <c r="J246">
        <v>128</v>
      </c>
    </row>
    <row r="247" spans="1:10" x14ac:dyDescent="0.25">
      <c r="A247" t="s">
        <v>4676</v>
      </c>
      <c r="B247" t="s">
        <v>2783</v>
      </c>
      <c r="C247" s="167">
        <v>3.51</v>
      </c>
      <c r="D247" t="s">
        <v>4633</v>
      </c>
      <c r="E247" t="s">
        <v>2853</v>
      </c>
      <c r="F247" t="s">
        <v>7338</v>
      </c>
      <c r="G247" t="s">
        <v>7338</v>
      </c>
      <c r="H247">
        <v>5</v>
      </c>
      <c r="I247" t="s">
        <v>2802</v>
      </c>
      <c r="J247">
        <v>128</v>
      </c>
    </row>
    <row r="248" spans="1:10" x14ac:dyDescent="0.25">
      <c r="A248" t="s">
        <v>706</v>
      </c>
      <c r="B248" t="s">
        <v>2783</v>
      </c>
      <c r="C248" s="167">
        <v>4.1100000000000003</v>
      </c>
      <c r="D248" t="s">
        <v>671</v>
      </c>
      <c r="E248" t="s">
        <v>2853</v>
      </c>
      <c r="F248" t="s">
        <v>7338</v>
      </c>
      <c r="G248" t="s">
        <v>7338</v>
      </c>
      <c r="H248">
        <v>5</v>
      </c>
      <c r="I248" t="s">
        <v>2802</v>
      </c>
      <c r="J248">
        <v>128</v>
      </c>
    </row>
    <row r="249" spans="1:10" x14ac:dyDescent="0.25">
      <c r="A249" t="s">
        <v>7550</v>
      </c>
      <c r="B249" t="s">
        <v>702</v>
      </c>
      <c r="C249" s="167">
        <v>2.4</v>
      </c>
      <c r="D249" t="s">
        <v>59</v>
      </c>
      <c r="E249" t="s">
        <v>2853</v>
      </c>
      <c r="F249" t="s">
        <v>7338</v>
      </c>
      <c r="G249" t="s">
        <v>7338</v>
      </c>
      <c r="I249" t="s">
        <v>2802</v>
      </c>
    </row>
    <row r="250" spans="1:10" x14ac:dyDescent="0.25">
      <c r="A250" t="s">
        <v>151</v>
      </c>
      <c r="B250" t="s">
        <v>702</v>
      </c>
      <c r="C250" s="167">
        <v>2.23</v>
      </c>
      <c r="D250" t="s">
        <v>19</v>
      </c>
      <c r="E250" t="s">
        <v>2853</v>
      </c>
      <c r="F250" t="s">
        <v>7338</v>
      </c>
      <c r="G250" t="s">
        <v>7338</v>
      </c>
      <c r="I250" t="s">
        <v>2802</v>
      </c>
    </row>
    <row r="251" spans="1:10" x14ac:dyDescent="0.25">
      <c r="A251" t="s">
        <v>153</v>
      </c>
      <c r="B251" t="s">
        <v>702</v>
      </c>
      <c r="C251" s="167">
        <v>2.4</v>
      </c>
      <c r="D251" t="s">
        <v>21</v>
      </c>
      <c r="E251" t="s">
        <v>2853</v>
      </c>
      <c r="F251" t="s">
        <v>7338</v>
      </c>
      <c r="G251" t="s">
        <v>7338</v>
      </c>
      <c r="I251" t="s">
        <v>2802</v>
      </c>
    </row>
    <row r="252" spans="1:10" x14ac:dyDescent="0.25">
      <c r="A252" t="s">
        <v>595</v>
      </c>
      <c r="B252" t="s">
        <v>702</v>
      </c>
      <c r="C252" s="167">
        <v>2.99</v>
      </c>
      <c r="D252" t="s">
        <v>563</v>
      </c>
      <c r="E252" t="s">
        <v>2853</v>
      </c>
      <c r="F252" t="s">
        <v>7338</v>
      </c>
      <c r="G252" t="s">
        <v>7338</v>
      </c>
      <c r="I252" t="s">
        <v>2802</v>
      </c>
    </row>
    <row r="253" spans="1:10" x14ac:dyDescent="0.25">
      <c r="A253" t="s">
        <v>4668</v>
      </c>
      <c r="B253" t="s">
        <v>2841</v>
      </c>
      <c r="C253" s="167">
        <v>2.4</v>
      </c>
      <c r="D253" t="s">
        <v>4633</v>
      </c>
      <c r="E253" t="s">
        <v>2853</v>
      </c>
      <c r="F253" t="s">
        <v>7338</v>
      </c>
      <c r="G253" t="s">
        <v>7338</v>
      </c>
      <c r="I253" t="s">
        <v>2802</v>
      </c>
    </row>
    <row r="254" spans="1:10" x14ac:dyDescent="0.25">
      <c r="A254" t="s">
        <v>701</v>
      </c>
      <c r="B254" t="s">
        <v>702</v>
      </c>
      <c r="C254" s="167">
        <v>2.99</v>
      </c>
      <c r="D254" t="s">
        <v>671</v>
      </c>
      <c r="E254" t="s">
        <v>2853</v>
      </c>
      <c r="F254" t="s">
        <v>7338</v>
      </c>
      <c r="G254" t="s">
        <v>7338</v>
      </c>
      <c r="I254" t="s">
        <v>2802</v>
      </c>
    </row>
    <row r="255" spans="1:10" x14ac:dyDescent="0.25">
      <c r="A255" t="s">
        <v>7555</v>
      </c>
      <c r="B255" t="s">
        <v>602</v>
      </c>
      <c r="C255" s="167">
        <v>2.62</v>
      </c>
      <c r="D255" t="s">
        <v>59</v>
      </c>
      <c r="E255" t="s">
        <v>2853</v>
      </c>
      <c r="F255" t="s">
        <v>7338</v>
      </c>
      <c r="G255" t="s">
        <v>7338</v>
      </c>
      <c r="H255">
        <v>3.8</v>
      </c>
      <c r="I255" t="s">
        <v>2802</v>
      </c>
      <c r="J255">
        <v>96</v>
      </c>
    </row>
    <row r="256" spans="1:10" x14ac:dyDescent="0.25">
      <c r="A256" t="s">
        <v>164</v>
      </c>
      <c r="B256" t="s">
        <v>602</v>
      </c>
      <c r="C256" s="167">
        <v>2.33</v>
      </c>
      <c r="D256" t="s">
        <v>19</v>
      </c>
      <c r="E256" t="s">
        <v>2853</v>
      </c>
      <c r="F256" t="s">
        <v>7338</v>
      </c>
      <c r="G256" t="s">
        <v>7338</v>
      </c>
      <c r="H256">
        <v>3.8</v>
      </c>
      <c r="I256" t="s">
        <v>2802</v>
      </c>
      <c r="J256">
        <v>96</v>
      </c>
    </row>
    <row r="257" spans="1:10" x14ac:dyDescent="0.25">
      <c r="A257" t="s">
        <v>166</v>
      </c>
      <c r="B257" t="s">
        <v>602</v>
      </c>
      <c r="C257" s="167">
        <v>2.64</v>
      </c>
      <c r="D257" t="s">
        <v>21</v>
      </c>
      <c r="E257" t="s">
        <v>2853</v>
      </c>
      <c r="F257" t="s">
        <v>7338</v>
      </c>
      <c r="G257" t="s">
        <v>7338</v>
      </c>
      <c r="H257">
        <v>3.8</v>
      </c>
      <c r="I257" t="s">
        <v>2802</v>
      </c>
      <c r="J257">
        <v>96</v>
      </c>
    </row>
    <row r="258" spans="1:10" x14ac:dyDescent="0.25">
      <c r="A258" t="s">
        <v>601</v>
      </c>
      <c r="B258" t="s">
        <v>602</v>
      </c>
      <c r="C258" s="167">
        <v>3.25</v>
      </c>
      <c r="D258" t="s">
        <v>563</v>
      </c>
      <c r="E258" t="s">
        <v>2853</v>
      </c>
      <c r="F258" t="s">
        <v>7338</v>
      </c>
      <c r="G258" t="s">
        <v>7338</v>
      </c>
      <c r="H258">
        <v>3.8</v>
      </c>
      <c r="I258" t="s">
        <v>2802</v>
      </c>
      <c r="J258">
        <v>96</v>
      </c>
    </row>
    <row r="259" spans="1:10" x14ac:dyDescent="0.25">
      <c r="A259" t="s">
        <v>4664</v>
      </c>
      <c r="B259" t="s">
        <v>602</v>
      </c>
      <c r="C259" s="167">
        <v>2.62</v>
      </c>
      <c r="D259" t="s">
        <v>4633</v>
      </c>
      <c r="E259" t="s">
        <v>2853</v>
      </c>
      <c r="F259" t="s">
        <v>7338</v>
      </c>
      <c r="G259" t="s">
        <v>7338</v>
      </c>
      <c r="H259">
        <v>3.8</v>
      </c>
      <c r="I259" t="s">
        <v>2802</v>
      </c>
      <c r="J259">
        <v>96</v>
      </c>
    </row>
    <row r="260" spans="1:10" x14ac:dyDescent="0.25">
      <c r="A260" t="s">
        <v>707</v>
      </c>
      <c r="B260" t="s">
        <v>602</v>
      </c>
      <c r="C260" s="167">
        <v>3.25</v>
      </c>
      <c r="D260" t="s">
        <v>671</v>
      </c>
      <c r="E260" t="s">
        <v>2853</v>
      </c>
      <c r="F260" t="s">
        <v>7338</v>
      </c>
      <c r="G260" t="s">
        <v>7338</v>
      </c>
      <c r="H260">
        <v>3.8</v>
      </c>
      <c r="I260" t="s">
        <v>2802</v>
      </c>
      <c r="J260">
        <v>96</v>
      </c>
    </row>
    <row r="261" spans="1:10" x14ac:dyDescent="0.25">
      <c r="A261" t="s">
        <v>7556</v>
      </c>
      <c r="B261" t="s">
        <v>604</v>
      </c>
      <c r="C261" s="167">
        <v>2.86</v>
      </c>
      <c r="D261" t="s">
        <v>59</v>
      </c>
      <c r="E261" t="s">
        <v>2853</v>
      </c>
      <c r="F261" t="s">
        <v>7338</v>
      </c>
      <c r="G261" t="s">
        <v>7338</v>
      </c>
      <c r="H261">
        <v>5</v>
      </c>
      <c r="I261" t="s">
        <v>2802</v>
      </c>
      <c r="J261">
        <v>128</v>
      </c>
    </row>
    <row r="262" spans="1:10" x14ac:dyDescent="0.25">
      <c r="A262" t="s">
        <v>169</v>
      </c>
      <c r="B262" t="s">
        <v>604</v>
      </c>
      <c r="C262" s="167">
        <v>2.56</v>
      </c>
      <c r="D262" t="s">
        <v>19</v>
      </c>
      <c r="E262" t="s">
        <v>2853</v>
      </c>
      <c r="F262" t="s">
        <v>7338</v>
      </c>
      <c r="G262" t="s">
        <v>7338</v>
      </c>
      <c r="H262">
        <v>5</v>
      </c>
      <c r="I262" t="s">
        <v>2802</v>
      </c>
      <c r="J262">
        <v>128</v>
      </c>
    </row>
    <row r="263" spans="1:10" x14ac:dyDescent="0.25">
      <c r="A263" t="s">
        <v>171</v>
      </c>
      <c r="B263" t="s">
        <v>604</v>
      </c>
      <c r="C263" s="167">
        <v>2.86</v>
      </c>
      <c r="D263" t="s">
        <v>21</v>
      </c>
      <c r="E263" t="s">
        <v>2853</v>
      </c>
      <c r="F263" t="s">
        <v>7338</v>
      </c>
      <c r="G263" t="s">
        <v>7338</v>
      </c>
      <c r="H263">
        <v>5</v>
      </c>
      <c r="I263" t="s">
        <v>2802</v>
      </c>
      <c r="J263">
        <v>128</v>
      </c>
    </row>
    <row r="264" spans="1:10" x14ac:dyDescent="0.25">
      <c r="A264" t="s">
        <v>603</v>
      </c>
      <c r="B264" t="s">
        <v>604</v>
      </c>
      <c r="C264" s="167">
        <v>3.54</v>
      </c>
      <c r="D264" t="s">
        <v>563</v>
      </c>
      <c r="E264" t="s">
        <v>2853</v>
      </c>
      <c r="F264" t="s">
        <v>7338</v>
      </c>
      <c r="G264" t="s">
        <v>7338</v>
      </c>
      <c r="H264">
        <v>5</v>
      </c>
      <c r="I264" t="s">
        <v>2802</v>
      </c>
      <c r="J264">
        <v>128</v>
      </c>
    </row>
    <row r="265" spans="1:10" x14ac:dyDescent="0.25">
      <c r="A265" t="s">
        <v>4665</v>
      </c>
      <c r="B265" t="s">
        <v>604</v>
      </c>
      <c r="C265" s="167">
        <v>2.86</v>
      </c>
      <c r="D265" t="s">
        <v>4633</v>
      </c>
      <c r="E265" t="s">
        <v>2853</v>
      </c>
      <c r="F265" t="s">
        <v>7338</v>
      </c>
      <c r="G265" t="s">
        <v>7338</v>
      </c>
      <c r="H265">
        <v>5</v>
      </c>
      <c r="I265" t="s">
        <v>2802</v>
      </c>
      <c r="J265">
        <v>128</v>
      </c>
    </row>
    <row r="266" spans="1:10" x14ac:dyDescent="0.25">
      <c r="A266" t="s">
        <v>708</v>
      </c>
      <c r="B266" t="s">
        <v>604</v>
      </c>
      <c r="C266" s="167">
        <v>3.54</v>
      </c>
      <c r="D266" t="s">
        <v>671</v>
      </c>
      <c r="E266" t="s">
        <v>2853</v>
      </c>
      <c r="F266" t="s">
        <v>7338</v>
      </c>
      <c r="G266" t="s">
        <v>7338</v>
      </c>
      <c r="H266">
        <v>5</v>
      </c>
      <c r="I266" t="s">
        <v>2802</v>
      </c>
      <c r="J266">
        <v>128</v>
      </c>
    </row>
    <row r="267" spans="1:10" x14ac:dyDescent="0.25">
      <c r="A267" t="s">
        <v>7557</v>
      </c>
      <c r="B267" t="s">
        <v>606</v>
      </c>
      <c r="C267" s="167">
        <v>4.0199999999999996</v>
      </c>
      <c r="D267" t="s">
        <v>59</v>
      </c>
      <c r="E267" t="s">
        <v>2853</v>
      </c>
      <c r="F267" t="s">
        <v>7338</v>
      </c>
      <c r="G267" t="s">
        <v>7338</v>
      </c>
      <c r="H267">
        <v>7.6</v>
      </c>
      <c r="I267" t="s">
        <v>2802</v>
      </c>
      <c r="J267">
        <v>192</v>
      </c>
    </row>
    <row r="268" spans="1:10" x14ac:dyDescent="0.25">
      <c r="A268" t="s">
        <v>173</v>
      </c>
      <c r="B268" t="s">
        <v>606</v>
      </c>
      <c r="C268" s="167">
        <v>3.64</v>
      </c>
      <c r="D268" t="s">
        <v>19</v>
      </c>
      <c r="E268" t="s">
        <v>2853</v>
      </c>
      <c r="F268" t="s">
        <v>7338</v>
      </c>
      <c r="G268" t="s">
        <v>7338</v>
      </c>
      <c r="H268">
        <v>7.6</v>
      </c>
      <c r="I268" t="s">
        <v>2802</v>
      </c>
      <c r="J268">
        <v>192</v>
      </c>
    </row>
    <row r="269" spans="1:10" x14ac:dyDescent="0.25">
      <c r="A269" t="s">
        <v>175</v>
      </c>
      <c r="B269" t="s">
        <v>606</v>
      </c>
      <c r="C269" s="167">
        <v>4.0199999999999996</v>
      </c>
      <c r="D269" t="s">
        <v>21</v>
      </c>
      <c r="E269" t="s">
        <v>2853</v>
      </c>
      <c r="F269" t="s">
        <v>7338</v>
      </c>
      <c r="G269" t="s">
        <v>7338</v>
      </c>
      <c r="H269">
        <v>7.6</v>
      </c>
      <c r="I269" t="s">
        <v>2802</v>
      </c>
      <c r="J269">
        <v>192</v>
      </c>
    </row>
    <row r="270" spans="1:10" x14ac:dyDescent="0.25">
      <c r="A270" t="s">
        <v>605</v>
      </c>
      <c r="B270" t="s">
        <v>606</v>
      </c>
      <c r="C270" s="167">
        <v>5.0599999999999996</v>
      </c>
      <c r="D270" t="s">
        <v>563</v>
      </c>
      <c r="E270" t="s">
        <v>2853</v>
      </c>
      <c r="F270" t="s">
        <v>7338</v>
      </c>
      <c r="G270" t="s">
        <v>7338</v>
      </c>
      <c r="H270">
        <v>7.6</v>
      </c>
      <c r="I270" t="s">
        <v>2802</v>
      </c>
      <c r="J270">
        <v>192</v>
      </c>
    </row>
    <row r="271" spans="1:10" x14ac:dyDescent="0.25">
      <c r="A271" t="s">
        <v>4666</v>
      </c>
      <c r="B271" t="s">
        <v>606</v>
      </c>
      <c r="C271" s="167">
        <v>4.0199999999999996</v>
      </c>
      <c r="D271" t="s">
        <v>4633</v>
      </c>
      <c r="E271" t="s">
        <v>2853</v>
      </c>
      <c r="F271" t="s">
        <v>7338</v>
      </c>
      <c r="G271" t="s">
        <v>7338</v>
      </c>
      <c r="H271">
        <v>7.6</v>
      </c>
      <c r="I271" t="s">
        <v>2802</v>
      </c>
      <c r="J271">
        <v>192</v>
      </c>
    </row>
    <row r="272" spans="1:10" x14ac:dyDescent="0.25">
      <c r="A272" t="s">
        <v>709</v>
      </c>
      <c r="B272" t="s">
        <v>606</v>
      </c>
      <c r="C272" s="167">
        <v>5.0599999999999996</v>
      </c>
      <c r="D272" t="s">
        <v>671</v>
      </c>
      <c r="E272" t="s">
        <v>2853</v>
      </c>
      <c r="F272" t="s">
        <v>7338</v>
      </c>
      <c r="G272" t="s">
        <v>7338</v>
      </c>
      <c r="H272">
        <v>7.6</v>
      </c>
      <c r="I272" t="s">
        <v>2802</v>
      </c>
      <c r="J272">
        <v>192</v>
      </c>
    </row>
    <row r="273" spans="1:10" x14ac:dyDescent="0.25">
      <c r="A273" t="s">
        <v>7558</v>
      </c>
      <c r="B273" t="s">
        <v>7559</v>
      </c>
      <c r="C273" s="167">
        <v>4.5199999999999996</v>
      </c>
      <c r="D273" t="s">
        <v>59</v>
      </c>
      <c r="E273" t="s">
        <v>2853</v>
      </c>
      <c r="F273" t="s">
        <v>7338</v>
      </c>
      <c r="G273" t="s">
        <v>7338</v>
      </c>
      <c r="H273">
        <v>5</v>
      </c>
      <c r="I273" t="s">
        <v>2802</v>
      </c>
      <c r="J273">
        <v>128</v>
      </c>
    </row>
    <row r="274" spans="1:10" x14ac:dyDescent="0.25">
      <c r="A274" t="s">
        <v>176</v>
      </c>
      <c r="B274" t="s">
        <v>7369</v>
      </c>
      <c r="C274" s="167">
        <v>4.1100000000000003</v>
      </c>
      <c r="D274" t="s">
        <v>19</v>
      </c>
      <c r="E274" t="s">
        <v>2853</v>
      </c>
      <c r="F274" t="s">
        <v>7338</v>
      </c>
      <c r="G274" t="s">
        <v>7338</v>
      </c>
      <c r="H274">
        <v>5</v>
      </c>
      <c r="I274" t="s">
        <v>2802</v>
      </c>
      <c r="J274">
        <v>128</v>
      </c>
    </row>
    <row r="275" spans="1:10" x14ac:dyDescent="0.25">
      <c r="A275" t="s">
        <v>177</v>
      </c>
      <c r="B275" t="s">
        <v>7369</v>
      </c>
      <c r="C275" s="167">
        <v>4.5199999999999996</v>
      </c>
      <c r="D275" t="s">
        <v>21</v>
      </c>
      <c r="E275" t="s">
        <v>2853</v>
      </c>
      <c r="F275" t="s">
        <v>7338</v>
      </c>
      <c r="G275" t="s">
        <v>7338</v>
      </c>
      <c r="H275">
        <v>5</v>
      </c>
      <c r="I275" t="s">
        <v>2802</v>
      </c>
      <c r="J275">
        <v>128</v>
      </c>
    </row>
    <row r="276" spans="1:10" x14ac:dyDescent="0.25">
      <c r="A276" t="s">
        <v>607</v>
      </c>
      <c r="B276" t="s">
        <v>7369</v>
      </c>
      <c r="C276" s="167">
        <v>5.43</v>
      </c>
      <c r="D276" t="s">
        <v>563</v>
      </c>
      <c r="E276" t="s">
        <v>2853</v>
      </c>
      <c r="F276" t="s">
        <v>7338</v>
      </c>
      <c r="G276" t="s">
        <v>7338</v>
      </c>
      <c r="H276">
        <v>5</v>
      </c>
      <c r="I276" t="s">
        <v>2802</v>
      </c>
      <c r="J276">
        <v>128</v>
      </c>
    </row>
    <row r="277" spans="1:10" x14ac:dyDescent="0.25">
      <c r="A277" t="s">
        <v>4670</v>
      </c>
      <c r="B277" t="s">
        <v>7369</v>
      </c>
      <c r="C277" s="167">
        <v>4.5199999999999996</v>
      </c>
      <c r="D277" t="s">
        <v>4633</v>
      </c>
      <c r="E277" t="s">
        <v>2853</v>
      </c>
      <c r="F277" t="s">
        <v>7338</v>
      </c>
      <c r="G277" t="s">
        <v>7338</v>
      </c>
      <c r="H277">
        <v>5</v>
      </c>
      <c r="I277" t="s">
        <v>2802</v>
      </c>
      <c r="J277">
        <v>128</v>
      </c>
    </row>
    <row r="278" spans="1:10" x14ac:dyDescent="0.25">
      <c r="A278" t="s">
        <v>710</v>
      </c>
      <c r="B278" t="s">
        <v>7369</v>
      </c>
      <c r="C278" s="167">
        <v>5.43</v>
      </c>
      <c r="D278" t="s">
        <v>671</v>
      </c>
      <c r="E278" t="s">
        <v>2853</v>
      </c>
      <c r="F278" t="s">
        <v>7338</v>
      </c>
      <c r="G278" t="s">
        <v>7338</v>
      </c>
      <c r="H278">
        <v>5</v>
      </c>
      <c r="I278" t="s">
        <v>2802</v>
      </c>
      <c r="J278">
        <v>128</v>
      </c>
    </row>
    <row r="279" spans="1:10" x14ac:dyDescent="0.25">
      <c r="A279" t="s">
        <v>7640</v>
      </c>
      <c r="B279" t="s">
        <v>7377</v>
      </c>
      <c r="C279" s="167">
        <v>10.16</v>
      </c>
      <c r="D279" t="s">
        <v>59</v>
      </c>
      <c r="E279" t="s">
        <v>2853</v>
      </c>
      <c r="F279" t="s">
        <v>7338</v>
      </c>
      <c r="G279" t="s">
        <v>7338</v>
      </c>
      <c r="H279">
        <v>5</v>
      </c>
      <c r="I279" t="s">
        <v>2802</v>
      </c>
      <c r="J279">
        <v>128</v>
      </c>
    </row>
    <row r="280" spans="1:10" x14ac:dyDescent="0.25">
      <c r="A280" t="s">
        <v>7371</v>
      </c>
      <c r="B280" t="s">
        <v>7377</v>
      </c>
      <c r="C280" s="167">
        <v>9.19</v>
      </c>
      <c r="D280" t="s">
        <v>19</v>
      </c>
      <c r="E280" t="s">
        <v>2853</v>
      </c>
      <c r="F280" t="s">
        <v>7338</v>
      </c>
      <c r="G280" t="s">
        <v>7338</v>
      </c>
      <c r="H280">
        <v>10</v>
      </c>
      <c r="I280" t="s">
        <v>2802</v>
      </c>
      <c r="J280">
        <v>256</v>
      </c>
    </row>
    <row r="281" spans="1:10" x14ac:dyDescent="0.25">
      <c r="A281" t="s">
        <v>7373</v>
      </c>
      <c r="B281" t="s">
        <v>7377</v>
      </c>
      <c r="C281" s="167">
        <v>10.16</v>
      </c>
      <c r="D281" t="s">
        <v>21</v>
      </c>
      <c r="E281" t="s">
        <v>2853</v>
      </c>
      <c r="F281" t="s">
        <v>7338</v>
      </c>
      <c r="G281" t="s">
        <v>7338</v>
      </c>
      <c r="H281">
        <v>10</v>
      </c>
      <c r="I281" t="s">
        <v>2802</v>
      </c>
      <c r="J281">
        <v>256</v>
      </c>
    </row>
    <row r="282" spans="1:10" x14ac:dyDescent="0.25">
      <c r="A282" t="s">
        <v>7375</v>
      </c>
      <c r="B282" t="s">
        <v>7377</v>
      </c>
      <c r="C282" s="167">
        <v>11.9</v>
      </c>
      <c r="D282" t="s">
        <v>563</v>
      </c>
      <c r="E282" t="s">
        <v>2853</v>
      </c>
      <c r="F282" t="s">
        <v>7338</v>
      </c>
      <c r="G282" t="s">
        <v>7338</v>
      </c>
      <c r="H282">
        <v>10</v>
      </c>
      <c r="I282" t="s">
        <v>2802</v>
      </c>
      <c r="J282">
        <v>256</v>
      </c>
    </row>
    <row r="283" spans="1:10" x14ac:dyDescent="0.25">
      <c r="A283" t="s">
        <v>7374</v>
      </c>
      <c r="B283" t="s">
        <v>7377</v>
      </c>
      <c r="C283" s="167">
        <v>10.16</v>
      </c>
      <c r="D283" t="s">
        <v>4633</v>
      </c>
      <c r="E283" t="s">
        <v>2853</v>
      </c>
      <c r="F283" t="s">
        <v>7338</v>
      </c>
      <c r="G283" t="s">
        <v>7338</v>
      </c>
      <c r="H283">
        <v>10</v>
      </c>
      <c r="I283" t="s">
        <v>2802</v>
      </c>
      <c r="J283">
        <v>256</v>
      </c>
    </row>
    <row r="284" spans="1:10" x14ac:dyDescent="0.25">
      <c r="A284" t="s">
        <v>7376</v>
      </c>
      <c r="B284" t="s">
        <v>7377</v>
      </c>
      <c r="C284" s="167">
        <v>11.9</v>
      </c>
      <c r="D284" t="s">
        <v>671</v>
      </c>
      <c r="E284" t="s">
        <v>2853</v>
      </c>
      <c r="F284" t="s">
        <v>7338</v>
      </c>
      <c r="G284" t="s">
        <v>7338</v>
      </c>
      <c r="H284">
        <v>10</v>
      </c>
      <c r="I284" t="s">
        <v>2802</v>
      </c>
      <c r="J284">
        <v>256</v>
      </c>
    </row>
    <row r="285" spans="1:10" x14ac:dyDescent="0.25">
      <c r="A285" t="s">
        <v>7551</v>
      </c>
      <c r="B285" t="s">
        <v>2780</v>
      </c>
      <c r="C285" s="167">
        <v>2.6</v>
      </c>
      <c r="D285" t="s">
        <v>59</v>
      </c>
      <c r="E285" t="s">
        <v>2853</v>
      </c>
      <c r="F285" t="s">
        <v>7338</v>
      </c>
      <c r="G285" t="s">
        <v>7338</v>
      </c>
      <c r="H285">
        <v>0.63</v>
      </c>
      <c r="I285" t="s">
        <v>2802</v>
      </c>
      <c r="J285">
        <v>16</v>
      </c>
    </row>
    <row r="286" spans="1:10" x14ac:dyDescent="0.25">
      <c r="A286" t="s">
        <v>156</v>
      </c>
      <c r="B286" t="s">
        <v>2780</v>
      </c>
      <c r="C286" s="167">
        <v>2.38</v>
      </c>
      <c r="D286" t="s">
        <v>19</v>
      </c>
      <c r="E286" t="s">
        <v>2853</v>
      </c>
      <c r="F286" t="s">
        <v>7338</v>
      </c>
      <c r="G286" t="s">
        <v>7338</v>
      </c>
      <c r="H286">
        <v>0.63</v>
      </c>
      <c r="I286" t="s">
        <v>2802</v>
      </c>
      <c r="J286">
        <v>16</v>
      </c>
    </row>
    <row r="287" spans="1:10" x14ac:dyDescent="0.25">
      <c r="A287" t="s">
        <v>157</v>
      </c>
      <c r="B287" t="s">
        <v>2780</v>
      </c>
      <c r="C287" s="167">
        <v>2.6</v>
      </c>
      <c r="D287" t="s">
        <v>21</v>
      </c>
      <c r="E287" t="s">
        <v>2853</v>
      </c>
      <c r="F287" t="s">
        <v>7338</v>
      </c>
      <c r="G287" t="s">
        <v>7338</v>
      </c>
      <c r="H287">
        <v>0.63</v>
      </c>
      <c r="I287" t="s">
        <v>2802</v>
      </c>
      <c r="J287">
        <v>16</v>
      </c>
    </row>
    <row r="288" spans="1:10" x14ac:dyDescent="0.25">
      <c r="A288" t="s">
        <v>597</v>
      </c>
      <c r="B288" t="s">
        <v>2780</v>
      </c>
      <c r="C288" s="167">
        <v>3.06</v>
      </c>
      <c r="D288" t="s">
        <v>563</v>
      </c>
      <c r="E288" t="s">
        <v>2853</v>
      </c>
      <c r="F288" t="s">
        <v>7338</v>
      </c>
      <c r="G288" t="s">
        <v>7338</v>
      </c>
      <c r="H288">
        <v>0.63</v>
      </c>
      <c r="I288" t="s">
        <v>2802</v>
      </c>
      <c r="J288">
        <v>16</v>
      </c>
    </row>
    <row r="289" spans="1:10" x14ac:dyDescent="0.25">
      <c r="A289" t="s">
        <v>4669</v>
      </c>
      <c r="B289" t="s">
        <v>2780</v>
      </c>
      <c r="C289" s="167">
        <v>2.6</v>
      </c>
      <c r="D289" t="s">
        <v>4633</v>
      </c>
      <c r="E289" t="s">
        <v>2853</v>
      </c>
      <c r="F289" t="s">
        <v>7338</v>
      </c>
      <c r="G289" t="s">
        <v>7338</v>
      </c>
      <c r="H289">
        <v>0.63</v>
      </c>
      <c r="I289" t="s">
        <v>2802</v>
      </c>
      <c r="J289">
        <v>16</v>
      </c>
    </row>
    <row r="290" spans="1:10" x14ac:dyDescent="0.25">
      <c r="A290" t="s">
        <v>703</v>
      </c>
      <c r="B290" t="s">
        <v>2780</v>
      </c>
      <c r="C290" s="167">
        <v>3.06</v>
      </c>
      <c r="D290" t="s">
        <v>671</v>
      </c>
      <c r="E290" t="s">
        <v>2853</v>
      </c>
      <c r="F290" t="s">
        <v>7338</v>
      </c>
      <c r="G290" t="s">
        <v>7338</v>
      </c>
      <c r="H290">
        <v>0.63</v>
      </c>
      <c r="I290" t="s">
        <v>2802</v>
      </c>
      <c r="J290">
        <v>16</v>
      </c>
    </row>
    <row r="291" spans="1:10" x14ac:dyDescent="0.25">
      <c r="A291" t="s">
        <v>7560</v>
      </c>
      <c r="B291" t="s">
        <v>2785</v>
      </c>
      <c r="C291" s="167">
        <v>5.04</v>
      </c>
      <c r="D291" t="s">
        <v>59</v>
      </c>
      <c r="E291" t="s">
        <v>2853</v>
      </c>
      <c r="F291" t="s">
        <v>7338</v>
      </c>
      <c r="G291" t="s">
        <v>7338</v>
      </c>
      <c r="H291">
        <v>5</v>
      </c>
      <c r="I291" t="s">
        <v>2802</v>
      </c>
      <c r="J291">
        <v>128</v>
      </c>
    </row>
    <row r="292" spans="1:10" x14ac:dyDescent="0.25">
      <c r="A292" t="s">
        <v>178</v>
      </c>
      <c r="B292" t="s">
        <v>2785</v>
      </c>
      <c r="C292" s="167">
        <v>4.57</v>
      </c>
      <c r="D292" t="s">
        <v>19</v>
      </c>
      <c r="E292" t="s">
        <v>2853</v>
      </c>
      <c r="F292" t="s">
        <v>7338</v>
      </c>
      <c r="G292" t="s">
        <v>7338</v>
      </c>
      <c r="H292">
        <v>5</v>
      </c>
      <c r="I292" t="s">
        <v>2802</v>
      </c>
      <c r="J292">
        <v>128</v>
      </c>
    </row>
    <row r="293" spans="1:10" x14ac:dyDescent="0.25">
      <c r="A293" t="s">
        <v>179</v>
      </c>
      <c r="B293" t="s">
        <v>2785</v>
      </c>
      <c r="C293" s="167">
        <v>5.04</v>
      </c>
      <c r="D293" t="s">
        <v>21</v>
      </c>
      <c r="E293" t="s">
        <v>2853</v>
      </c>
      <c r="F293" t="s">
        <v>7338</v>
      </c>
      <c r="G293" t="s">
        <v>7338</v>
      </c>
      <c r="H293">
        <v>5</v>
      </c>
      <c r="I293" t="s">
        <v>2802</v>
      </c>
      <c r="J293">
        <v>128</v>
      </c>
    </row>
    <row r="294" spans="1:10" x14ac:dyDescent="0.25">
      <c r="A294" t="s">
        <v>608</v>
      </c>
      <c r="B294" t="s">
        <v>2785</v>
      </c>
      <c r="C294" s="167">
        <v>5.95</v>
      </c>
      <c r="D294" t="s">
        <v>563</v>
      </c>
      <c r="E294" t="s">
        <v>2853</v>
      </c>
      <c r="F294" t="s">
        <v>7338</v>
      </c>
      <c r="G294" t="s">
        <v>7338</v>
      </c>
      <c r="H294">
        <v>5</v>
      </c>
      <c r="I294" t="s">
        <v>2802</v>
      </c>
      <c r="J294">
        <v>128</v>
      </c>
    </row>
    <row r="295" spans="1:10" x14ac:dyDescent="0.25">
      <c r="A295" t="s">
        <v>4671</v>
      </c>
      <c r="B295" t="s">
        <v>2785</v>
      </c>
      <c r="C295" s="167">
        <v>5.04</v>
      </c>
      <c r="D295" t="s">
        <v>4633</v>
      </c>
      <c r="E295" t="s">
        <v>2853</v>
      </c>
      <c r="F295" t="s">
        <v>7338</v>
      </c>
      <c r="G295" t="s">
        <v>7338</v>
      </c>
      <c r="H295">
        <v>5</v>
      </c>
      <c r="I295" t="s">
        <v>2802</v>
      </c>
      <c r="J295">
        <v>128</v>
      </c>
    </row>
    <row r="296" spans="1:10" x14ac:dyDescent="0.25">
      <c r="A296" t="s">
        <v>711</v>
      </c>
      <c r="B296" t="s">
        <v>2785</v>
      </c>
      <c r="C296" s="167">
        <v>5.95</v>
      </c>
      <c r="D296" t="s">
        <v>671</v>
      </c>
      <c r="E296" t="s">
        <v>2853</v>
      </c>
      <c r="F296" t="s">
        <v>7338</v>
      </c>
      <c r="G296" t="s">
        <v>7338</v>
      </c>
      <c r="H296">
        <v>5</v>
      </c>
      <c r="I296" t="s">
        <v>2802</v>
      </c>
      <c r="J296">
        <v>128</v>
      </c>
    </row>
    <row r="297" spans="1:10" x14ac:dyDescent="0.25">
      <c r="A297" t="s">
        <v>7666</v>
      </c>
      <c r="B297" t="s">
        <v>7667</v>
      </c>
      <c r="C297" s="167">
        <v>2.52</v>
      </c>
      <c r="D297" t="s">
        <v>19</v>
      </c>
      <c r="E297" t="s">
        <v>2853</v>
      </c>
      <c r="F297" t="s">
        <v>7338</v>
      </c>
      <c r="G297" t="s">
        <v>7338</v>
      </c>
      <c r="I297" t="s">
        <v>2802</v>
      </c>
    </row>
    <row r="298" spans="1:10" x14ac:dyDescent="0.25">
      <c r="A298" t="s">
        <v>7668</v>
      </c>
      <c r="B298" t="s">
        <v>7669</v>
      </c>
      <c r="C298" s="167">
        <v>2.2999999999999998</v>
      </c>
      <c r="D298" t="s">
        <v>19</v>
      </c>
      <c r="E298" t="s">
        <v>2853</v>
      </c>
      <c r="F298" t="s">
        <v>7338</v>
      </c>
      <c r="G298" t="s">
        <v>7338</v>
      </c>
      <c r="I298" t="s">
        <v>2802</v>
      </c>
    </row>
    <row r="299" spans="1:10" x14ac:dyDescent="0.25">
      <c r="A299" t="s">
        <v>7670</v>
      </c>
      <c r="B299" t="s">
        <v>7671</v>
      </c>
      <c r="C299" s="167">
        <v>2.52</v>
      </c>
      <c r="D299" t="s">
        <v>21</v>
      </c>
      <c r="E299" t="s">
        <v>2853</v>
      </c>
      <c r="F299" t="s">
        <v>7338</v>
      </c>
      <c r="G299" t="s">
        <v>7338</v>
      </c>
      <c r="I299" t="s">
        <v>2802</v>
      </c>
    </row>
    <row r="300" spans="1:10" x14ac:dyDescent="0.25">
      <c r="A300" t="s">
        <v>7672</v>
      </c>
      <c r="B300" t="s">
        <v>7673</v>
      </c>
      <c r="C300" s="167">
        <v>2.97</v>
      </c>
      <c r="D300" t="s">
        <v>563</v>
      </c>
      <c r="E300" t="s">
        <v>2853</v>
      </c>
      <c r="F300" t="s">
        <v>7338</v>
      </c>
      <c r="G300" t="s">
        <v>7338</v>
      </c>
      <c r="I300" t="s">
        <v>2802</v>
      </c>
    </row>
    <row r="301" spans="1:10" x14ac:dyDescent="0.25">
      <c r="A301" t="s">
        <v>7674</v>
      </c>
      <c r="B301" t="s">
        <v>7675</v>
      </c>
      <c r="C301" s="167">
        <v>2.52</v>
      </c>
      <c r="D301" t="s">
        <v>4633</v>
      </c>
      <c r="E301" t="s">
        <v>2853</v>
      </c>
      <c r="F301" t="s">
        <v>7338</v>
      </c>
      <c r="G301" t="s">
        <v>7338</v>
      </c>
      <c r="I301" t="s">
        <v>2802</v>
      </c>
    </row>
    <row r="302" spans="1:10" x14ac:dyDescent="0.25">
      <c r="A302" t="s">
        <v>7676</v>
      </c>
      <c r="B302" t="s">
        <v>7677</v>
      </c>
      <c r="C302" s="167">
        <v>2.97</v>
      </c>
      <c r="D302" t="s">
        <v>671</v>
      </c>
      <c r="E302" t="s">
        <v>2853</v>
      </c>
      <c r="F302" t="s">
        <v>7338</v>
      </c>
      <c r="G302" t="s">
        <v>7338</v>
      </c>
      <c r="I302" t="s">
        <v>2802</v>
      </c>
    </row>
    <row r="303" spans="1:10" x14ac:dyDescent="0.25">
      <c r="A303" t="s">
        <v>7686</v>
      </c>
      <c r="B303" t="s">
        <v>7687</v>
      </c>
      <c r="C303" s="167">
        <v>5.51</v>
      </c>
      <c r="D303" t="s">
        <v>59</v>
      </c>
      <c r="E303" t="s">
        <v>2853</v>
      </c>
      <c r="F303" t="s">
        <v>7338</v>
      </c>
      <c r="G303" t="s">
        <v>7338</v>
      </c>
      <c r="H303">
        <v>5</v>
      </c>
      <c r="I303" t="s">
        <v>2802</v>
      </c>
      <c r="J303">
        <v>128</v>
      </c>
    </row>
    <row r="304" spans="1:10" x14ac:dyDescent="0.25">
      <c r="A304" t="s">
        <v>7678</v>
      </c>
      <c r="B304" t="s">
        <v>7679</v>
      </c>
      <c r="C304" s="167">
        <v>5.0199999999999996</v>
      </c>
      <c r="D304" t="s">
        <v>19</v>
      </c>
      <c r="E304" t="s">
        <v>2853</v>
      </c>
      <c r="F304" t="s">
        <v>7338</v>
      </c>
      <c r="G304" t="s">
        <v>7338</v>
      </c>
      <c r="H304">
        <v>5</v>
      </c>
      <c r="I304" t="s">
        <v>2802</v>
      </c>
      <c r="J304">
        <v>128</v>
      </c>
    </row>
    <row r="305" spans="1:10" x14ac:dyDescent="0.25">
      <c r="A305" t="s">
        <v>7680</v>
      </c>
      <c r="B305" t="s">
        <v>7681</v>
      </c>
      <c r="C305" s="167">
        <v>5.51</v>
      </c>
      <c r="D305" t="s">
        <v>21</v>
      </c>
      <c r="E305" t="s">
        <v>2853</v>
      </c>
      <c r="F305" t="s">
        <v>7338</v>
      </c>
      <c r="G305" t="s">
        <v>7338</v>
      </c>
      <c r="H305">
        <v>5</v>
      </c>
      <c r="I305" t="s">
        <v>2802</v>
      </c>
      <c r="J305">
        <v>128</v>
      </c>
    </row>
    <row r="306" spans="1:10" x14ac:dyDescent="0.25">
      <c r="A306" t="s">
        <v>7682</v>
      </c>
      <c r="B306" t="s">
        <v>7683</v>
      </c>
      <c r="C306" s="167">
        <v>6.63</v>
      </c>
      <c r="D306" t="s">
        <v>563</v>
      </c>
      <c r="E306" t="s">
        <v>2853</v>
      </c>
      <c r="F306" t="s">
        <v>7338</v>
      </c>
      <c r="G306" t="s">
        <v>7338</v>
      </c>
      <c r="H306">
        <v>5</v>
      </c>
      <c r="I306" t="s">
        <v>2802</v>
      </c>
      <c r="J306">
        <v>128</v>
      </c>
    </row>
    <row r="307" spans="1:10" x14ac:dyDescent="0.25">
      <c r="A307" t="s">
        <v>7684</v>
      </c>
      <c r="B307" t="s">
        <v>7685</v>
      </c>
      <c r="C307" s="167">
        <v>5.51</v>
      </c>
      <c r="D307" t="s">
        <v>4633</v>
      </c>
      <c r="E307" t="s">
        <v>2853</v>
      </c>
      <c r="F307" t="s">
        <v>7338</v>
      </c>
      <c r="G307" t="s">
        <v>7338</v>
      </c>
      <c r="H307">
        <v>5</v>
      </c>
      <c r="I307" t="s">
        <v>2802</v>
      </c>
      <c r="J307">
        <v>128</v>
      </c>
    </row>
    <row r="308" spans="1:10" x14ac:dyDescent="0.25">
      <c r="A308" t="s">
        <v>7688</v>
      </c>
      <c r="B308" t="s">
        <v>7689</v>
      </c>
      <c r="C308" s="167">
        <v>6.63</v>
      </c>
      <c r="D308" t="s">
        <v>671</v>
      </c>
      <c r="E308" t="s">
        <v>2853</v>
      </c>
      <c r="F308" t="s">
        <v>7338</v>
      </c>
      <c r="G308" t="s">
        <v>7338</v>
      </c>
      <c r="H308">
        <v>5</v>
      </c>
      <c r="I308" t="s">
        <v>2802</v>
      </c>
      <c r="J308">
        <v>128</v>
      </c>
    </row>
    <row r="309" spans="1:10" x14ac:dyDescent="0.25">
      <c r="A309" t="s">
        <v>7698</v>
      </c>
      <c r="B309" t="s">
        <v>7699</v>
      </c>
      <c r="C309" s="167">
        <v>11.97</v>
      </c>
      <c r="D309" t="s">
        <v>59</v>
      </c>
      <c r="E309" t="s">
        <v>2853</v>
      </c>
      <c r="F309" t="s">
        <v>7338</v>
      </c>
      <c r="G309" t="s">
        <v>7338</v>
      </c>
      <c r="H309">
        <v>10</v>
      </c>
      <c r="I309" t="s">
        <v>2802</v>
      </c>
      <c r="J309">
        <v>256</v>
      </c>
    </row>
    <row r="310" spans="1:10" x14ac:dyDescent="0.25">
      <c r="A310" t="s">
        <v>7690</v>
      </c>
      <c r="B310" t="s">
        <v>7691</v>
      </c>
      <c r="C310" s="167">
        <v>10.84</v>
      </c>
      <c r="D310" t="s">
        <v>19</v>
      </c>
      <c r="E310" t="s">
        <v>2853</v>
      </c>
      <c r="F310" t="s">
        <v>7338</v>
      </c>
      <c r="G310" t="s">
        <v>7338</v>
      </c>
      <c r="H310">
        <v>10</v>
      </c>
      <c r="I310" t="s">
        <v>2802</v>
      </c>
      <c r="J310">
        <v>256</v>
      </c>
    </row>
    <row r="311" spans="1:10" x14ac:dyDescent="0.25">
      <c r="A311" t="s">
        <v>7692</v>
      </c>
      <c r="B311" t="s">
        <v>7693</v>
      </c>
      <c r="C311" s="167">
        <v>11.97</v>
      </c>
      <c r="D311" t="s">
        <v>21</v>
      </c>
      <c r="E311" t="s">
        <v>2853</v>
      </c>
      <c r="F311" t="s">
        <v>7338</v>
      </c>
      <c r="G311" t="s">
        <v>7338</v>
      </c>
      <c r="H311">
        <v>10</v>
      </c>
      <c r="I311" t="s">
        <v>2802</v>
      </c>
      <c r="J311">
        <v>256</v>
      </c>
    </row>
    <row r="312" spans="1:10" x14ac:dyDescent="0.25">
      <c r="A312" t="s">
        <v>7694</v>
      </c>
      <c r="B312" t="s">
        <v>7695</v>
      </c>
      <c r="C312" s="167">
        <v>14.03</v>
      </c>
      <c r="D312" t="s">
        <v>563</v>
      </c>
      <c r="E312" t="s">
        <v>2853</v>
      </c>
      <c r="F312" t="s">
        <v>7338</v>
      </c>
      <c r="G312" t="s">
        <v>7338</v>
      </c>
      <c r="H312">
        <v>10</v>
      </c>
      <c r="I312" t="s">
        <v>2802</v>
      </c>
      <c r="J312">
        <v>256</v>
      </c>
    </row>
    <row r="313" spans="1:10" x14ac:dyDescent="0.25">
      <c r="A313" t="s">
        <v>7696</v>
      </c>
      <c r="B313" t="s">
        <v>7697</v>
      </c>
      <c r="C313" s="167">
        <v>11.97</v>
      </c>
      <c r="D313" t="s">
        <v>4633</v>
      </c>
      <c r="E313" t="s">
        <v>2853</v>
      </c>
      <c r="F313" t="s">
        <v>7338</v>
      </c>
      <c r="G313" t="s">
        <v>7338</v>
      </c>
      <c r="H313">
        <v>10</v>
      </c>
      <c r="I313" t="s">
        <v>2802</v>
      </c>
      <c r="J313">
        <v>256</v>
      </c>
    </row>
    <row r="314" spans="1:10" x14ac:dyDescent="0.25">
      <c r="A314" t="s">
        <v>7700</v>
      </c>
      <c r="B314" t="s">
        <v>7701</v>
      </c>
      <c r="C314" s="167">
        <v>14.03</v>
      </c>
      <c r="D314" t="s">
        <v>671</v>
      </c>
      <c r="E314" t="s">
        <v>2853</v>
      </c>
      <c r="F314" t="s">
        <v>7338</v>
      </c>
      <c r="G314" t="s">
        <v>7338</v>
      </c>
      <c r="H314">
        <v>10</v>
      </c>
      <c r="I314" t="s">
        <v>2802</v>
      </c>
      <c r="J314">
        <v>256</v>
      </c>
    </row>
    <row r="315" spans="1:10" x14ac:dyDescent="0.25">
      <c r="A315" t="s">
        <v>7710</v>
      </c>
      <c r="B315" t="s">
        <v>7711</v>
      </c>
      <c r="C315" s="167">
        <v>16.46</v>
      </c>
      <c r="D315" t="s">
        <v>59</v>
      </c>
      <c r="E315" t="s">
        <v>2853</v>
      </c>
      <c r="F315" t="s">
        <v>7338</v>
      </c>
      <c r="G315" t="s">
        <v>7338</v>
      </c>
      <c r="H315">
        <v>14</v>
      </c>
      <c r="I315" t="s">
        <v>2802</v>
      </c>
      <c r="J315">
        <v>352</v>
      </c>
    </row>
    <row r="316" spans="1:10" x14ac:dyDescent="0.25">
      <c r="A316" t="s">
        <v>7702</v>
      </c>
      <c r="B316" t="s">
        <v>7703</v>
      </c>
      <c r="C316" s="167">
        <v>14.91</v>
      </c>
      <c r="D316" t="s">
        <v>19</v>
      </c>
      <c r="E316" t="s">
        <v>2853</v>
      </c>
      <c r="F316" t="s">
        <v>7338</v>
      </c>
      <c r="G316" t="s">
        <v>7338</v>
      </c>
      <c r="H316">
        <v>14</v>
      </c>
      <c r="I316" t="s">
        <v>2802</v>
      </c>
      <c r="J316">
        <v>352</v>
      </c>
    </row>
    <row r="317" spans="1:10" x14ac:dyDescent="0.25">
      <c r="A317" t="s">
        <v>7704</v>
      </c>
      <c r="B317" t="s">
        <v>7705</v>
      </c>
      <c r="C317" s="167">
        <v>16.46</v>
      </c>
      <c r="D317" t="s">
        <v>21</v>
      </c>
      <c r="E317" t="s">
        <v>2853</v>
      </c>
      <c r="F317" t="s">
        <v>7338</v>
      </c>
      <c r="G317" t="s">
        <v>7338</v>
      </c>
      <c r="H317">
        <v>14</v>
      </c>
      <c r="I317" t="s">
        <v>2802</v>
      </c>
      <c r="J317">
        <v>352</v>
      </c>
    </row>
    <row r="318" spans="1:10" x14ac:dyDescent="0.25">
      <c r="A318" t="s">
        <v>7706</v>
      </c>
      <c r="B318" t="s">
        <v>7707</v>
      </c>
      <c r="C318" s="167">
        <v>19.29</v>
      </c>
      <c r="D318" t="s">
        <v>563</v>
      </c>
      <c r="E318" t="s">
        <v>2853</v>
      </c>
      <c r="F318" t="s">
        <v>7338</v>
      </c>
      <c r="G318" t="s">
        <v>7338</v>
      </c>
      <c r="H318">
        <v>14</v>
      </c>
      <c r="I318" t="s">
        <v>2802</v>
      </c>
      <c r="J318">
        <v>352</v>
      </c>
    </row>
    <row r="319" spans="1:10" x14ac:dyDescent="0.25">
      <c r="A319" t="s">
        <v>7708</v>
      </c>
      <c r="B319" t="s">
        <v>7709</v>
      </c>
      <c r="C319" s="167">
        <v>16.46</v>
      </c>
      <c r="D319" t="s">
        <v>4633</v>
      </c>
      <c r="E319" t="s">
        <v>2853</v>
      </c>
      <c r="F319" t="s">
        <v>7338</v>
      </c>
      <c r="G319" t="s">
        <v>7338</v>
      </c>
      <c r="H319">
        <v>14</v>
      </c>
      <c r="I319" t="s">
        <v>2802</v>
      </c>
      <c r="J319">
        <v>352</v>
      </c>
    </row>
    <row r="320" spans="1:10" x14ac:dyDescent="0.25">
      <c r="A320" t="s">
        <v>7712</v>
      </c>
      <c r="B320" t="s">
        <v>7713</v>
      </c>
      <c r="C320" s="167">
        <v>19.29</v>
      </c>
      <c r="D320" t="s">
        <v>671</v>
      </c>
      <c r="E320" t="s">
        <v>2853</v>
      </c>
      <c r="F320" t="s">
        <v>7338</v>
      </c>
      <c r="G320" t="s">
        <v>7338</v>
      </c>
      <c r="H320">
        <v>14</v>
      </c>
      <c r="I320" t="s">
        <v>2802</v>
      </c>
      <c r="J320">
        <v>352</v>
      </c>
    </row>
    <row r="321" spans="1:10" x14ac:dyDescent="0.25">
      <c r="A321" t="s">
        <v>8039</v>
      </c>
      <c r="B321" t="s">
        <v>8040</v>
      </c>
      <c r="C321" s="167">
        <v>13</v>
      </c>
      <c r="D321" t="s">
        <v>59</v>
      </c>
      <c r="E321" t="s">
        <v>1701</v>
      </c>
      <c r="F321" t="s">
        <v>7352</v>
      </c>
      <c r="G321" t="s">
        <v>7338</v>
      </c>
      <c r="H321">
        <v>5</v>
      </c>
      <c r="I321" t="s">
        <v>2802</v>
      </c>
      <c r="J321">
        <v>128</v>
      </c>
    </row>
    <row r="322" spans="1:10" x14ac:dyDescent="0.25">
      <c r="A322" t="s">
        <v>8048</v>
      </c>
      <c r="B322" t="s">
        <v>8049</v>
      </c>
      <c r="C322" s="167">
        <v>13</v>
      </c>
      <c r="D322" t="s">
        <v>19</v>
      </c>
      <c r="E322" t="s">
        <v>1701</v>
      </c>
      <c r="F322" t="s">
        <v>7352</v>
      </c>
      <c r="G322" t="s">
        <v>7338</v>
      </c>
      <c r="H322">
        <v>5</v>
      </c>
      <c r="I322" t="s">
        <v>2802</v>
      </c>
      <c r="J322">
        <v>128</v>
      </c>
    </row>
    <row r="323" spans="1:10" x14ac:dyDescent="0.25">
      <c r="A323" t="s">
        <v>8057</v>
      </c>
      <c r="B323" t="s">
        <v>8058</v>
      </c>
      <c r="C323" s="167">
        <v>13</v>
      </c>
      <c r="D323" t="s">
        <v>21</v>
      </c>
      <c r="E323" t="s">
        <v>1701</v>
      </c>
      <c r="F323" t="s">
        <v>7352</v>
      </c>
      <c r="G323" t="s">
        <v>7338</v>
      </c>
      <c r="H323">
        <v>5</v>
      </c>
      <c r="I323" t="s">
        <v>2802</v>
      </c>
      <c r="J323">
        <v>128</v>
      </c>
    </row>
    <row r="324" spans="1:10" x14ac:dyDescent="0.25">
      <c r="A324" t="s">
        <v>8066</v>
      </c>
      <c r="B324" t="s">
        <v>8067</v>
      </c>
      <c r="C324" s="167">
        <v>13</v>
      </c>
      <c r="D324" t="s">
        <v>563</v>
      </c>
      <c r="E324" t="s">
        <v>1701</v>
      </c>
      <c r="F324" t="s">
        <v>7352</v>
      </c>
      <c r="G324" t="s">
        <v>7338</v>
      </c>
      <c r="H324">
        <v>5</v>
      </c>
      <c r="I324" t="s">
        <v>2802</v>
      </c>
      <c r="J324">
        <v>128</v>
      </c>
    </row>
    <row r="325" spans="1:10" x14ac:dyDescent="0.25">
      <c r="A325" t="s">
        <v>8075</v>
      </c>
      <c r="B325" t="s">
        <v>8076</v>
      </c>
      <c r="C325" s="167">
        <v>13</v>
      </c>
      <c r="D325" t="s">
        <v>4633</v>
      </c>
      <c r="E325" t="s">
        <v>1701</v>
      </c>
      <c r="F325" t="s">
        <v>7352</v>
      </c>
      <c r="G325" t="s">
        <v>7338</v>
      </c>
      <c r="H325">
        <v>5</v>
      </c>
      <c r="I325" t="s">
        <v>2802</v>
      </c>
      <c r="J325">
        <v>128</v>
      </c>
    </row>
    <row r="326" spans="1:10" x14ac:dyDescent="0.25">
      <c r="A326" t="s">
        <v>8084</v>
      </c>
      <c r="B326" t="s">
        <v>8085</v>
      </c>
      <c r="C326" s="167">
        <v>13</v>
      </c>
      <c r="D326" t="s">
        <v>671</v>
      </c>
      <c r="E326" t="s">
        <v>1701</v>
      </c>
      <c r="F326" t="s">
        <v>7352</v>
      </c>
      <c r="G326" t="s">
        <v>7338</v>
      </c>
      <c r="H326">
        <v>5</v>
      </c>
      <c r="I326" t="s">
        <v>2802</v>
      </c>
      <c r="J326">
        <v>128</v>
      </c>
    </row>
    <row r="327" spans="1:10" x14ac:dyDescent="0.25">
      <c r="A327" t="s">
        <v>8042</v>
      </c>
      <c r="B327" t="s">
        <v>8043</v>
      </c>
      <c r="C327" s="167">
        <v>13</v>
      </c>
      <c r="D327" t="s">
        <v>59</v>
      </c>
      <c r="E327" t="s">
        <v>1699</v>
      </c>
      <c r="F327" t="s">
        <v>7352</v>
      </c>
      <c r="G327" t="s">
        <v>7338</v>
      </c>
      <c r="H327">
        <v>5</v>
      </c>
      <c r="I327" t="s">
        <v>2802</v>
      </c>
      <c r="J327">
        <v>128</v>
      </c>
    </row>
    <row r="328" spans="1:10" x14ac:dyDescent="0.25">
      <c r="A328" t="s">
        <v>8051</v>
      </c>
      <c r="B328" t="s">
        <v>8052</v>
      </c>
      <c r="C328" s="167">
        <v>13</v>
      </c>
      <c r="D328" t="s">
        <v>19</v>
      </c>
      <c r="E328" t="s">
        <v>1699</v>
      </c>
      <c r="F328" t="s">
        <v>7352</v>
      </c>
      <c r="G328" t="s">
        <v>7338</v>
      </c>
      <c r="H328">
        <v>5</v>
      </c>
      <c r="I328" t="s">
        <v>2802</v>
      </c>
      <c r="J328">
        <v>128</v>
      </c>
    </row>
    <row r="329" spans="1:10" x14ac:dyDescent="0.25">
      <c r="A329" t="s">
        <v>8060</v>
      </c>
      <c r="B329" t="s">
        <v>8061</v>
      </c>
      <c r="C329" s="167">
        <v>13</v>
      </c>
      <c r="D329" t="s">
        <v>21</v>
      </c>
      <c r="E329" t="s">
        <v>1699</v>
      </c>
      <c r="F329" t="s">
        <v>7352</v>
      </c>
      <c r="G329" t="s">
        <v>7338</v>
      </c>
      <c r="H329">
        <v>5</v>
      </c>
      <c r="I329" t="s">
        <v>2802</v>
      </c>
      <c r="J329">
        <v>128</v>
      </c>
    </row>
    <row r="330" spans="1:10" x14ac:dyDescent="0.25">
      <c r="A330" t="s">
        <v>8069</v>
      </c>
      <c r="B330" t="s">
        <v>8070</v>
      </c>
      <c r="C330" s="167">
        <v>13</v>
      </c>
      <c r="D330" t="s">
        <v>563</v>
      </c>
      <c r="E330" t="s">
        <v>1699</v>
      </c>
      <c r="F330" t="s">
        <v>7352</v>
      </c>
      <c r="G330" t="s">
        <v>7338</v>
      </c>
      <c r="H330">
        <v>5</v>
      </c>
      <c r="I330" t="s">
        <v>2802</v>
      </c>
      <c r="J330">
        <v>128</v>
      </c>
    </row>
    <row r="331" spans="1:10" x14ac:dyDescent="0.25">
      <c r="A331" t="s">
        <v>8078</v>
      </c>
      <c r="B331" t="s">
        <v>8079</v>
      </c>
      <c r="C331" s="167">
        <v>13</v>
      </c>
      <c r="D331" t="s">
        <v>4633</v>
      </c>
      <c r="E331" t="s">
        <v>1699</v>
      </c>
      <c r="F331" t="s">
        <v>7352</v>
      </c>
      <c r="G331" t="s">
        <v>7338</v>
      </c>
      <c r="H331">
        <v>5</v>
      </c>
      <c r="I331" t="s">
        <v>2802</v>
      </c>
      <c r="J331">
        <v>128</v>
      </c>
    </row>
    <row r="332" spans="1:10" x14ac:dyDescent="0.25">
      <c r="A332" t="s">
        <v>8087</v>
      </c>
      <c r="B332" t="s">
        <v>8088</v>
      </c>
      <c r="C332" s="167">
        <v>13</v>
      </c>
      <c r="D332" t="s">
        <v>671</v>
      </c>
      <c r="E332" t="s">
        <v>1699</v>
      </c>
      <c r="F332" t="s">
        <v>7352</v>
      </c>
      <c r="G332" t="s">
        <v>7338</v>
      </c>
      <c r="H332">
        <v>5</v>
      </c>
      <c r="I332" t="s">
        <v>2802</v>
      </c>
      <c r="J332">
        <v>128</v>
      </c>
    </row>
    <row r="333" spans="1:10" x14ac:dyDescent="0.25">
      <c r="A333" t="s">
        <v>8036</v>
      </c>
      <c r="B333" t="s">
        <v>8037</v>
      </c>
      <c r="C333" s="167">
        <v>13</v>
      </c>
      <c r="D333" t="s">
        <v>59</v>
      </c>
      <c r="E333" t="s">
        <v>1703</v>
      </c>
      <c r="F333" t="s">
        <v>7352</v>
      </c>
      <c r="G333" t="s">
        <v>7338</v>
      </c>
      <c r="H333">
        <v>5</v>
      </c>
      <c r="I333" t="s">
        <v>2802</v>
      </c>
      <c r="J333">
        <v>128</v>
      </c>
    </row>
    <row r="334" spans="1:10" x14ac:dyDescent="0.25">
      <c r="A334" t="s">
        <v>8045</v>
      </c>
      <c r="B334" t="s">
        <v>8046</v>
      </c>
      <c r="C334" s="167">
        <v>13</v>
      </c>
      <c r="D334" t="s">
        <v>19</v>
      </c>
      <c r="E334" t="s">
        <v>1703</v>
      </c>
      <c r="F334" t="s">
        <v>7352</v>
      </c>
      <c r="G334" t="s">
        <v>7338</v>
      </c>
      <c r="H334">
        <v>5</v>
      </c>
      <c r="I334" t="s">
        <v>2802</v>
      </c>
      <c r="J334">
        <v>128</v>
      </c>
    </row>
    <row r="335" spans="1:10" x14ac:dyDescent="0.25">
      <c r="A335" t="s">
        <v>8054</v>
      </c>
      <c r="B335" t="s">
        <v>8055</v>
      </c>
      <c r="C335" s="167">
        <v>13</v>
      </c>
      <c r="D335" t="s">
        <v>21</v>
      </c>
      <c r="E335" t="s">
        <v>1703</v>
      </c>
      <c r="F335" t="s">
        <v>7352</v>
      </c>
      <c r="G335" t="s">
        <v>7338</v>
      </c>
      <c r="H335">
        <v>5</v>
      </c>
      <c r="I335" t="s">
        <v>2802</v>
      </c>
      <c r="J335">
        <v>128</v>
      </c>
    </row>
    <row r="336" spans="1:10" x14ac:dyDescent="0.25">
      <c r="A336" t="s">
        <v>8063</v>
      </c>
      <c r="B336" t="s">
        <v>8064</v>
      </c>
      <c r="C336" s="167">
        <v>13</v>
      </c>
      <c r="D336" t="s">
        <v>563</v>
      </c>
      <c r="E336" t="s">
        <v>1703</v>
      </c>
      <c r="F336" t="s">
        <v>7352</v>
      </c>
      <c r="G336" t="s">
        <v>7338</v>
      </c>
      <c r="H336">
        <v>5</v>
      </c>
      <c r="I336" t="s">
        <v>2802</v>
      </c>
      <c r="J336">
        <v>128</v>
      </c>
    </row>
    <row r="337" spans="1:10" x14ac:dyDescent="0.25">
      <c r="A337" t="s">
        <v>8072</v>
      </c>
      <c r="B337" t="s">
        <v>8073</v>
      </c>
      <c r="C337" s="167">
        <v>13</v>
      </c>
      <c r="D337" t="s">
        <v>4633</v>
      </c>
      <c r="E337" t="s">
        <v>1703</v>
      </c>
      <c r="F337" t="s">
        <v>7352</v>
      </c>
      <c r="G337" t="s">
        <v>7338</v>
      </c>
      <c r="H337">
        <v>5</v>
      </c>
      <c r="I337" t="s">
        <v>2802</v>
      </c>
      <c r="J337">
        <v>128</v>
      </c>
    </row>
    <row r="338" spans="1:10" x14ac:dyDescent="0.25">
      <c r="A338" t="s">
        <v>8081</v>
      </c>
      <c r="B338" t="s">
        <v>8082</v>
      </c>
      <c r="C338" s="167">
        <v>13</v>
      </c>
      <c r="D338" t="s">
        <v>671</v>
      </c>
      <c r="E338" t="s">
        <v>1703</v>
      </c>
      <c r="F338" t="s">
        <v>7352</v>
      </c>
      <c r="G338" t="s">
        <v>7338</v>
      </c>
      <c r="H338">
        <v>5</v>
      </c>
      <c r="I338" t="s">
        <v>2802</v>
      </c>
      <c r="J338">
        <v>128</v>
      </c>
    </row>
    <row r="339" spans="1:10" x14ac:dyDescent="0.25">
      <c r="A339" t="s">
        <v>8092</v>
      </c>
      <c r="B339" t="s">
        <v>8093</v>
      </c>
      <c r="C339" s="167">
        <v>19</v>
      </c>
      <c r="D339" t="s">
        <v>59</v>
      </c>
      <c r="E339" t="s">
        <v>1701</v>
      </c>
      <c r="F339" t="s">
        <v>7352</v>
      </c>
      <c r="G339" t="s">
        <v>7338</v>
      </c>
      <c r="H339">
        <v>10</v>
      </c>
      <c r="I339" t="s">
        <v>2802</v>
      </c>
      <c r="J339">
        <v>256</v>
      </c>
    </row>
    <row r="340" spans="1:10" x14ac:dyDescent="0.25">
      <c r="A340" t="s">
        <v>8098</v>
      </c>
      <c r="B340" t="s">
        <v>8099</v>
      </c>
      <c r="C340" s="167">
        <v>19</v>
      </c>
      <c r="D340" t="s">
        <v>19</v>
      </c>
      <c r="E340" t="s">
        <v>1701</v>
      </c>
      <c r="F340" t="s">
        <v>7352</v>
      </c>
      <c r="G340" t="s">
        <v>7338</v>
      </c>
      <c r="H340">
        <v>10</v>
      </c>
      <c r="I340" t="s">
        <v>2802</v>
      </c>
      <c r="J340">
        <v>256</v>
      </c>
    </row>
    <row r="341" spans="1:10" x14ac:dyDescent="0.25">
      <c r="A341" t="s">
        <v>8105</v>
      </c>
      <c r="B341" t="s">
        <v>8106</v>
      </c>
      <c r="C341" s="167">
        <v>19</v>
      </c>
      <c r="D341" t="s">
        <v>21</v>
      </c>
      <c r="E341" t="s">
        <v>1701</v>
      </c>
      <c r="F341" t="s">
        <v>7352</v>
      </c>
      <c r="G341" t="s">
        <v>7338</v>
      </c>
      <c r="H341">
        <v>10</v>
      </c>
      <c r="I341" t="s">
        <v>2802</v>
      </c>
      <c r="J341">
        <v>256</v>
      </c>
    </row>
    <row r="342" spans="1:10" x14ac:dyDescent="0.25">
      <c r="A342" t="s">
        <v>8111</v>
      </c>
      <c r="B342" t="s">
        <v>8112</v>
      </c>
      <c r="C342" s="167">
        <v>19</v>
      </c>
      <c r="D342" t="s">
        <v>563</v>
      </c>
      <c r="E342" t="s">
        <v>1701</v>
      </c>
      <c r="F342" t="s">
        <v>7352</v>
      </c>
      <c r="G342" t="s">
        <v>7338</v>
      </c>
      <c r="H342">
        <v>10</v>
      </c>
      <c r="I342" t="s">
        <v>2802</v>
      </c>
      <c r="J342">
        <v>256</v>
      </c>
    </row>
    <row r="343" spans="1:10" x14ac:dyDescent="0.25">
      <c r="A343" t="s">
        <v>8117</v>
      </c>
      <c r="B343" t="s">
        <v>8118</v>
      </c>
      <c r="C343" s="167">
        <v>19</v>
      </c>
      <c r="D343" t="s">
        <v>4633</v>
      </c>
      <c r="E343" t="s">
        <v>1701</v>
      </c>
      <c r="F343" t="s">
        <v>7352</v>
      </c>
      <c r="G343" t="s">
        <v>7338</v>
      </c>
      <c r="H343">
        <v>10</v>
      </c>
      <c r="I343" t="s">
        <v>2802</v>
      </c>
      <c r="J343">
        <v>256</v>
      </c>
    </row>
    <row r="344" spans="1:10" x14ac:dyDescent="0.25">
      <c r="A344" t="s">
        <v>8123</v>
      </c>
      <c r="B344" t="s">
        <v>8124</v>
      </c>
      <c r="C344" s="167">
        <v>19</v>
      </c>
      <c r="D344" t="s">
        <v>671</v>
      </c>
      <c r="E344" t="s">
        <v>1701</v>
      </c>
      <c r="F344" t="s">
        <v>7352</v>
      </c>
      <c r="G344" t="s">
        <v>7338</v>
      </c>
      <c r="H344">
        <v>10</v>
      </c>
      <c r="I344" t="s">
        <v>2802</v>
      </c>
      <c r="J344">
        <v>256</v>
      </c>
    </row>
    <row r="345" spans="1:10" x14ac:dyDescent="0.25">
      <c r="A345" t="s">
        <v>8094</v>
      </c>
      <c r="B345" t="s">
        <v>8095</v>
      </c>
      <c r="C345" s="167">
        <v>19</v>
      </c>
      <c r="D345" t="s">
        <v>59</v>
      </c>
      <c r="E345" t="s">
        <v>1699</v>
      </c>
      <c r="F345" t="s">
        <v>7352</v>
      </c>
      <c r="G345" t="s">
        <v>7338</v>
      </c>
      <c r="H345">
        <v>10</v>
      </c>
      <c r="I345" t="s">
        <v>2802</v>
      </c>
      <c r="J345">
        <v>256</v>
      </c>
    </row>
    <row r="346" spans="1:10" x14ac:dyDescent="0.25">
      <c r="A346" t="s">
        <v>8100</v>
      </c>
      <c r="B346" t="s">
        <v>8101</v>
      </c>
      <c r="C346" s="167">
        <v>19</v>
      </c>
      <c r="D346" t="s">
        <v>19</v>
      </c>
      <c r="E346" t="s">
        <v>1699</v>
      </c>
      <c r="F346" t="s">
        <v>7352</v>
      </c>
      <c r="G346" t="s">
        <v>7338</v>
      </c>
      <c r="H346">
        <v>10</v>
      </c>
      <c r="I346" t="s">
        <v>2802</v>
      </c>
      <c r="J346">
        <v>256</v>
      </c>
    </row>
    <row r="347" spans="1:10" x14ac:dyDescent="0.25">
      <c r="A347" t="s">
        <v>8107</v>
      </c>
      <c r="B347" t="s">
        <v>8108</v>
      </c>
      <c r="C347" s="167">
        <v>19</v>
      </c>
      <c r="D347" t="s">
        <v>21</v>
      </c>
      <c r="E347" t="s">
        <v>1699</v>
      </c>
      <c r="F347" t="s">
        <v>7352</v>
      </c>
      <c r="G347" t="s">
        <v>7338</v>
      </c>
      <c r="H347">
        <v>10</v>
      </c>
      <c r="I347" t="s">
        <v>2802</v>
      </c>
      <c r="J347">
        <v>256</v>
      </c>
    </row>
    <row r="348" spans="1:10" x14ac:dyDescent="0.25">
      <c r="A348" t="s">
        <v>8113</v>
      </c>
      <c r="B348" t="s">
        <v>8114</v>
      </c>
      <c r="C348" s="167">
        <v>19</v>
      </c>
      <c r="D348" t="s">
        <v>563</v>
      </c>
      <c r="E348" t="s">
        <v>1699</v>
      </c>
      <c r="F348" t="s">
        <v>7352</v>
      </c>
      <c r="G348" t="s">
        <v>7338</v>
      </c>
      <c r="H348">
        <v>10</v>
      </c>
      <c r="I348" t="s">
        <v>2802</v>
      </c>
      <c r="J348">
        <v>256</v>
      </c>
    </row>
    <row r="349" spans="1:10" x14ac:dyDescent="0.25">
      <c r="A349" t="s">
        <v>8119</v>
      </c>
      <c r="B349" t="s">
        <v>8120</v>
      </c>
      <c r="C349" s="167">
        <v>19</v>
      </c>
      <c r="D349" t="s">
        <v>4633</v>
      </c>
      <c r="E349" t="s">
        <v>1699</v>
      </c>
      <c r="F349" t="s">
        <v>7352</v>
      </c>
      <c r="G349" t="s">
        <v>7338</v>
      </c>
      <c r="H349">
        <v>10</v>
      </c>
      <c r="I349" t="s">
        <v>2802</v>
      </c>
      <c r="J349">
        <v>256</v>
      </c>
    </row>
    <row r="350" spans="1:10" x14ac:dyDescent="0.25">
      <c r="A350" t="s">
        <v>8125</v>
      </c>
      <c r="B350" t="s">
        <v>8126</v>
      </c>
      <c r="C350" s="167">
        <v>19</v>
      </c>
      <c r="D350" t="s">
        <v>671</v>
      </c>
      <c r="E350" t="s">
        <v>1699</v>
      </c>
      <c r="F350" t="s">
        <v>7352</v>
      </c>
      <c r="G350" t="s">
        <v>7338</v>
      </c>
      <c r="H350">
        <v>10</v>
      </c>
      <c r="I350" t="s">
        <v>2802</v>
      </c>
      <c r="J350">
        <v>256</v>
      </c>
    </row>
    <row r="351" spans="1:10" x14ac:dyDescent="0.25">
      <c r="A351" t="s">
        <v>8090</v>
      </c>
      <c r="B351" t="s">
        <v>8091</v>
      </c>
      <c r="C351" s="167">
        <v>19</v>
      </c>
      <c r="D351" t="s">
        <v>59</v>
      </c>
      <c r="E351" t="s">
        <v>1703</v>
      </c>
      <c r="F351" t="s">
        <v>7352</v>
      </c>
      <c r="G351" t="s">
        <v>7338</v>
      </c>
      <c r="H351">
        <v>10</v>
      </c>
      <c r="I351" t="s">
        <v>2802</v>
      </c>
      <c r="J351">
        <v>256</v>
      </c>
    </row>
    <row r="352" spans="1:10" x14ac:dyDescent="0.25">
      <c r="A352" t="s">
        <v>8096</v>
      </c>
      <c r="B352" t="s">
        <v>8097</v>
      </c>
      <c r="C352" s="167">
        <v>19</v>
      </c>
      <c r="D352" t="s">
        <v>19</v>
      </c>
      <c r="E352" t="s">
        <v>1703</v>
      </c>
      <c r="F352" t="s">
        <v>7352</v>
      </c>
      <c r="G352" t="s">
        <v>7338</v>
      </c>
      <c r="H352">
        <v>10</v>
      </c>
      <c r="I352" t="s">
        <v>2802</v>
      </c>
      <c r="J352">
        <v>256</v>
      </c>
    </row>
    <row r="353" spans="1:10" x14ac:dyDescent="0.25">
      <c r="A353" t="s">
        <v>8103</v>
      </c>
      <c r="B353" t="s">
        <v>8104</v>
      </c>
      <c r="C353" s="167">
        <v>19</v>
      </c>
      <c r="D353" t="s">
        <v>21</v>
      </c>
      <c r="E353" t="s">
        <v>1703</v>
      </c>
      <c r="F353" t="s">
        <v>7352</v>
      </c>
      <c r="G353" t="s">
        <v>7338</v>
      </c>
      <c r="H353">
        <v>10</v>
      </c>
      <c r="I353" t="s">
        <v>2802</v>
      </c>
      <c r="J353">
        <v>256</v>
      </c>
    </row>
    <row r="354" spans="1:10" x14ac:dyDescent="0.25">
      <c r="A354" t="s">
        <v>8109</v>
      </c>
      <c r="B354" t="s">
        <v>8110</v>
      </c>
      <c r="C354" s="167">
        <v>19</v>
      </c>
      <c r="D354" t="s">
        <v>563</v>
      </c>
      <c r="E354" t="s">
        <v>1703</v>
      </c>
      <c r="F354" t="s">
        <v>7352</v>
      </c>
      <c r="G354" t="s">
        <v>7338</v>
      </c>
      <c r="H354">
        <v>10</v>
      </c>
      <c r="I354" t="s">
        <v>2802</v>
      </c>
      <c r="J354">
        <v>256</v>
      </c>
    </row>
    <row r="355" spans="1:10" x14ac:dyDescent="0.25">
      <c r="A355" t="s">
        <v>8115</v>
      </c>
      <c r="B355" t="s">
        <v>8116</v>
      </c>
      <c r="C355" s="167">
        <v>19</v>
      </c>
      <c r="D355" t="s">
        <v>4633</v>
      </c>
      <c r="E355" t="s">
        <v>1703</v>
      </c>
      <c r="F355" t="s">
        <v>7352</v>
      </c>
      <c r="G355" t="s">
        <v>7338</v>
      </c>
      <c r="H355">
        <v>10</v>
      </c>
      <c r="I355" t="s">
        <v>2802</v>
      </c>
      <c r="J355">
        <v>256</v>
      </c>
    </row>
    <row r="356" spans="1:10" x14ac:dyDescent="0.25">
      <c r="A356" t="s">
        <v>8121</v>
      </c>
      <c r="B356" t="s">
        <v>8122</v>
      </c>
      <c r="C356" s="167">
        <v>19</v>
      </c>
      <c r="D356" t="s">
        <v>671</v>
      </c>
      <c r="E356" t="s">
        <v>1703</v>
      </c>
      <c r="F356" t="s">
        <v>7352</v>
      </c>
      <c r="G356" t="s">
        <v>7338</v>
      </c>
      <c r="H356">
        <v>10</v>
      </c>
      <c r="I356" t="s">
        <v>2802</v>
      </c>
      <c r="J356">
        <v>256</v>
      </c>
    </row>
    <row r="357" spans="1:10" x14ac:dyDescent="0.25">
      <c r="A357" t="s">
        <v>8189</v>
      </c>
      <c r="B357" t="s">
        <v>8190</v>
      </c>
      <c r="C357" s="167">
        <v>13</v>
      </c>
      <c r="D357" t="s">
        <v>59</v>
      </c>
      <c r="E357" t="s">
        <v>1701</v>
      </c>
      <c r="F357" t="s">
        <v>7352</v>
      </c>
      <c r="G357" t="s">
        <v>7338</v>
      </c>
      <c r="H357">
        <v>5</v>
      </c>
      <c r="I357" t="s">
        <v>2802</v>
      </c>
      <c r="J357">
        <v>128</v>
      </c>
    </row>
    <row r="358" spans="1:10" x14ac:dyDescent="0.25">
      <c r="A358" t="s">
        <v>8195</v>
      </c>
      <c r="B358" t="s">
        <v>8196</v>
      </c>
      <c r="C358" s="167">
        <v>13</v>
      </c>
      <c r="D358" t="s">
        <v>19</v>
      </c>
      <c r="E358" t="s">
        <v>1701</v>
      </c>
      <c r="F358" t="s">
        <v>7352</v>
      </c>
      <c r="G358" t="s">
        <v>7338</v>
      </c>
      <c r="H358">
        <v>5</v>
      </c>
      <c r="I358" t="s">
        <v>2802</v>
      </c>
      <c r="J358">
        <v>128</v>
      </c>
    </row>
    <row r="359" spans="1:10" x14ac:dyDescent="0.25">
      <c r="A359" t="s">
        <v>8201</v>
      </c>
      <c r="B359" t="s">
        <v>8202</v>
      </c>
      <c r="C359" s="167">
        <v>13</v>
      </c>
      <c r="D359" t="s">
        <v>21</v>
      </c>
      <c r="E359" t="s">
        <v>1701</v>
      </c>
      <c r="F359" t="s">
        <v>7352</v>
      </c>
      <c r="G359" t="s">
        <v>7338</v>
      </c>
      <c r="H359">
        <v>5</v>
      </c>
      <c r="I359" t="s">
        <v>2802</v>
      </c>
      <c r="J359">
        <v>128</v>
      </c>
    </row>
    <row r="360" spans="1:10" x14ac:dyDescent="0.25">
      <c r="A360" t="s">
        <v>8207</v>
      </c>
      <c r="B360" t="s">
        <v>8208</v>
      </c>
      <c r="C360" s="167">
        <v>13</v>
      </c>
      <c r="D360" t="s">
        <v>563</v>
      </c>
      <c r="E360" t="s">
        <v>1701</v>
      </c>
      <c r="F360" t="s">
        <v>7352</v>
      </c>
      <c r="G360" t="s">
        <v>7338</v>
      </c>
      <c r="H360">
        <v>5</v>
      </c>
      <c r="I360" t="s">
        <v>2802</v>
      </c>
      <c r="J360">
        <v>128</v>
      </c>
    </row>
    <row r="361" spans="1:10" x14ac:dyDescent="0.25">
      <c r="A361" t="s">
        <v>8213</v>
      </c>
      <c r="B361" t="s">
        <v>8214</v>
      </c>
      <c r="C361" s="167">
        <v>13</v>
      </c>
      <c r="D361" t="s">
        <v>4633</v>
      </c>
      <c r="E361" t="s">
        <v>1701</v>
      </c>
      <c r="F361" t="s">
        <v>7352</v>
      </c>
      <c r="G361" t="s">
        <v>7338</v>
      </c>
      <c r="H361">
        <v>5</v>
      </c>
      <c r="I361" t="s">
        <v>2802</v>
      </c>
      <c r="J361">
        <v>128</v>
      </c>
    </row>
    <row r="362" spans="1:10" x14ac:dyDescent="0.25">
      <c r="A362" t="s">
        <v>8219</v>
      </c>
      <c r="B362" t="s">
        <v>8220</v>
      </c>
      <c r="C362" s="167">
        <v>13</v>
      </c>
      <c r="D362" t="s">
        <v>671</v>
      </c>
      <c r="E362" t="s">
        <v>1701</v>
      </c>
      <c r="F362" t="s">
        <v>7352</v>
      </c>
      <c r="G362" t="s">
        <v>7338</v>
      </c>
      <c r="H362">
        <v>5</v>
      </c>
      <c r="I362" t="s">
        <v>2802</v>
      </c>
      <c r="J362">
        <v>128</v>
      </c>
    </row>
    <row r="363" spans="1:10" x14ac:dyDescent="0.25">
      <c r="A363" t="s">
        <v>8191</v>
      </c>
      <c r="B363" t="s">
        <v>8192</v>
      </c>
      <c r="C363" s="167">
        <v>13</v>
      </c>
      <c r="D363" t="s">
        <v>59</v>
      </c>
      <c r="E363" t="s">
        <v>1699</v>
      </c>
      <c r="F363" t="s">
        <v>7352</v>
      </c>
      <c r="G363" t="s">
        <v>7338</v>
      </c>
      <c r="H363">
        <v>5</v>
      </c>
      <c r="I363" t="s">
        <v>2802</v>
      </c>
      <c r="J363">
        <v>128</v>
      </c>
    </row>
    <row r="364" spans="1:10" x14ac:dyDescent="0.25">
      <c r="A364" t="s">
        <v>8197</v>
      </c>
      <c r="B364" t="s">
        <v>8198</v>
      </c>
      <c r="C364" s="167">
        <v>13</v>
      </c>
      <c r="D364" t="s">
        <v>19</v>
      </c>
      <c r="E364" t="s">
        <v>1699</v>
      </c>
      <c r="F364" t="s">
        <v>7352</v>
      </c>
      <c r="G364" t="s">
        <v>7338</v>
      </c>
      <c r="H364">
        <v>5</v>
      </c>
      <c r="I364" t="s">
        <v>2802</v>
      </c>
      <c r="J364">
        <v>128</v>
      </c>
    </row>
    <row r="365" spans="1:10" x14ac:dyDescent="0.25">
      <c r="A365" t="s">
        <v>8203</v>
      </c>
      <c r="B365" t="s">
        <v>8204</v>
      </c>
      <c r="C365" s="167">
        <v>13</v>
      </c>
      <c r="D365" t="s">
        <v>21</v>
      </c>
      <c r="E365" t="s">
        <v>1699</v>
      </c>
      <c r="F365" t="s">
        <v>7352</v>
      </c>
      <c r="G365" t="s">
        <v>7338</v>
      </c>
      <c r="H365">
        <v>5</v>
      </c>
      <c r="I365" t="s">
        <v>2802</v>
      </c>
      <c r="J365">
        <v>128</v>
      </c>
    </row>
    <row r="366" spans="1:10" x14ac:dyDescent="0.25">
      <c r="A366" t="s">
        <v>8209</v>
      </c>
      <c r="B366" t="s">
        <v>8210</v>
      </c>
      <c r="C366" s="167">
        <v>13</v>
      </c>
      <c r="D366" t="s">
        <v>563</v>
      </c>
      <c r="E366" t="s">
        <v>1699</v>
      </c>
      <c r="F366" t="s">
        <v>7352</v>
      </c>
      <c r="G366" t="s">
        <v>7338</v>
      </c>
      <c r="H366">
        <v>5</v>
      </c>
      <c r="I366" t="s">
        <v>2802</v>
      </c>
      <c r="J366">
        <v>128</v>
      </c>
    </row>
    <row r="367" spans="1:10" x14ac:dyDescent="0.25">
      <c r="A367" t="s">
        <v>8215</v>
      </c>
      <c r="B367" t="s">
        <v>8216</v>
      </c>
      <c r="C367" s="167">
        <v>13</v>
      </c>
      <c r="D367" t="s">
        <v>4633</v>
      </c>
      <c r="E367" t="s">
        <v>1699</v>
      </c>
      <c r="F367" t="s">
        <v>7352</v>
      </c>
      <c r="G367" t="s">
        <v>7338</v>
      </c>
      <c r="H367">
        <v>5</v>
      </c>
      <c r="I367" t="s">
        <v>2802</v>
      </c>
      <c r="J367">
        <v>128</v>
      </c>
    </row>
    <row r="368" spans="1:10" x14ac:dyDescent="0.25">
      <c r="A368" t="s">
        <v>8221</v>
      </c>
      <c r="B368" t="s">
        <v>8222</v>
      </c>
      <c r="C368" s="167">
        <v>13</v>
      </c>
      <c r="D368" t="s">
        <v>671</v>
      </c>
      <c r="E368" t="s">
        <v>1699</v>
      </c>
      <c r="F368" t="s">
        <v>7352</v>
      </c>
      <c r="G368" t="s">
        <v>7338</v>
      </c>
      <c r="H368">
        <v>5</v>
      </c>
      <c r="I368" t="s">
        <v>2802</v>
      </c>
      <c r="J368">
        <v>128</v>
      </c>
    </row>
    <row r="369" spans="1:10" x14ac:dyDescent="0.25">
      <c r="A369" t="s">
        <v>8187</v>
      </c>
      <c r="B369" t="s">
        <v>8188</v>
      </c>
      <c r="C369" s="167">
        <v>13</v>
      </c>
      <c r="D369" t="s">
        <v>59</v>
      </c>
      <c r="E369" t="s">
        <v>1703</v>
      </c>
      <c r="F369" t="s">
        <v>7352</v>
      </c>
      <c r="G369" t="s">
        <v>7338</v>
      </c>
      <c r="H369">
        <v>5</v>
      </c>
      <c r="I369" t="s">
        <v>2802</v>
      </c>
      <c r="J369">
        <v>128</v>
      </c>
    </row>
    <row r="370" spans="1:10" x14ac:dyDescent="0.25">
      <c r="A370" t="s">
        <v>8193</v>
      </c>
      <c r="B370" t="s">
        <v>8194</v>
      </c>
      <c r="C370" s="167">
        <v>13</v>
      </c>
      <c r="D370" t="s">
        <v>19</v>
      </c>
      <c r="E370" t="s">
        <v>1703</v>
      </c>
      <c r="F370" t="s">
        <v>7352</v>
      </c>
      <c r="G370" t="s">
        <v>7338</v>
      </c>
      <c r="H370">
        <v>5</v>
      </c>
      <c r="I370" t="s">
        <v>2802</v>
      </c>
      <c r="J370">
        <v>128</v>
      </c>
    </row>
    <row r="371" spans="1:10" x14ac:dyDescent="0.25">
      <c r="A371" t="s">
        <v>8199</v>
      </c>
      <c r="B371" t="s">
        <v>8200</v>
      </c>
      <c r="C371" s="167">
        <v>13</v>
      </c>
      <c r="D371" t="s">
        <v>21</v>
      </c>
      <c r="E371" t="s">
        <v>1703</v>
      </c>
      <c r="F371" t="s">
        <v>7352</v>
      </c>
      <c r="G371" t="s">
        <v>7338</v>
      </c>
      <c r="H371">
        <v>5</v>
      </c>
      <c r="I371" t="s">
        <v>2802</v>
      </c>
      <c r="J371">
        <v>128</v>
      </c>
    </row>
    <row r="372" spans="1:10" x14ac:dyDescent="0.25">
      <c r="A372" t="s">
        <v>8205</v>
      </c>
      <c r="B372" t="s">
        <v>8206</v>
      </c>
      <c r="C372" s="167">
        <v>13</v>
      </c>
      <c r="D372" t="s">
        <v>563</v>
      </c>
      <c r="E372" t="s">
        <v>1703</v>
      </c>
      <c r="F372" t="s">
        <v>7352</v>
      </c>
      <c r="G372" t="s">
        <v>7338</v>
      </c>
      <c r="H372">
        <v>5</v>
      </c>
      <c r="I372" t="s">
        <v>2802</v>
      </c>
      <c r="J372">
        <v>128</v>
      </c>
    </row>
    <row r="373" spans="1:10" x14ac:dyDescent="0.25">
      <c r="A373" t="s">
        <v>8211</v>
      </c>
      <c r="B373" t="s">
        <v>8212</v>
      </c>
      <c r="C373" s="167">
        <v>13</v>
      </c>
      <c r="D373" t="s">
        <v>4633</v>
      </c>
      <c r="E373" t="s">
        <v>1703</v>
      </c>
      <c r="F373" t="s">
        <v>7352</v>
      </c>
      <c r="G373" t="s">
        <v>7338</v>
      </c>
      <c r="H373">
        <v>5</v>
      </c>
      <c r="I373" t="s">
        <v>2802</v>
      </c>
      <c r="J373">
        <v>128</v>
      </c>
    </row>
    <row r="374" spans="1:10" x14ac:dyDescent="0.25">
      <c r="A374" t="s">
        <v>8217</v>
      </c>
      <c r="B374" t="s">
        <v>8218</v>
      </c>
      <c r="C374" s="167">
        <v>13</v>
      </c>
      <c r="D374" t="s">
        <v>671</v>
      </c>
      <c r="E374" t="s">
        <v>1703</v>
      </c>
      <c r="F374" t="s">
        <v>7352</v>
      </c>
      <c r="G374" t="s">
        <v>7338</v>
      </c>
      <c r="H374">
        <v>5</v>
      </c>
      <c r="I374" t="s">
        <v>2802</v>
      </c>
      <c r="J374">
        <v>128</v>
      </c>
    </row>
    <row r="375" spans="1:10" x14ac:dyDescent="0.25">
      <c r="A375" t="s">
        <v>8225</v>
      </c>
      <c r="B375" t="s">
        <v>8226</v>
      </c>
      <c r="C375" s="167">
        <v>19</v>
      </c>
      <c r="D375" t="s">
        <v>59</v>
      </c>
      <c r="E375" t="s">
        <v>1701</v>
      </c>
      <c r="F375" t="s">
        <v>7352</v>
      </c>
      <c r="G375" t="s">
        <v>7338</v>
      </c>
      <c r="H375">
        <v>10</v>
      </c>
      <c r="I375" t="s">
        <v>2802</v>
      </c>
      <c r="J375">
        <v>256</v>
      </c>
    </row>
    <row r="376" spans="1:10" x14ac:dyDescent="0.25">
      <c r="A376" t="s">
        <v>8231</v>
      </c>
      <c r="B376" t="s">
        <v>8232</v>
      </c>
      <c r="C376" s="167">
        <v>19</v>
      </c>
      <c r="D376" t="s">
        <v>19</v>
      </c>
      <c r="E376" t="s">
        <v>1701</v>
      </c>
      <c r="F376" t="s">
        <v>7352</v>
      </c>
      <c r="G376" t="s">
        <v>7338</v>
      </c>
      <c r="H376">
        <v>10</v>
      </c>
      <c r="I376" t="s">
        <v>2802</v>
      </c>
      <c r="J376">
        <v>256</v>
      </c>
    </row>
    <row r="377" spans="1:10" x14ac:dyDescent="0.25">
      <c r="A377" t="s">
        <v>8237</v>
      </c>
      <c r="B377" t="s">
        <v>8238</v>
      </c>
      <c r="C377" s="167">
        <v>19</v>
      </c>
      <c r="D377" t="s">
        <v>21</v>
      </c>
      <c r="E377" t="s">
        <v>1701</v>
      </c>
      <c r="F377" t="s">
        <v>7352</v>
      </c>
      <c r="G377" t="s">
        <v>7338</v>
      </c>
      <c r="H377">
        <v>10</v>
      </c>
      <c r="I377" t="s">
        <v>2802</v>
      </c>
      <c r="J377">
        <v>256</v>
      </c>
    </row>
    <row r="378" spans="1:10" x14ac:dyDescent="0.25">
      <c r="A378" t="s">
        <v>8243</v>
      </c>
      <c r="B378" t="s">
        <v>8244</v>
      </c>
      <c r="C378" s="167">
        <v>19</v>
      </c>
      <c r="D378" t="s">
        <v>563</v>
      </c>
      <c r="E378" t="s">
        <v>1701</v>
      </c>
      <c r="F378" t="s">
        <v>7352</v>
      </c>
      <c r="G378" t="s">
        <v>7338</v>
      </c>
      <c r="H378">
        <v>10</v>
      </c>
      <c r="I378" t="s">
        <v>2802</v>
      </c>
      <c r="J378">
        <v>256</v>
      </c>
    </row>
    <row r="379" spans="1:10" x14ac:dyDescent="0.25">
      <c r="A379" t="s">
        <v>8249</v>
      </c>
      <c r="B379" t="s">
        <v>8250</v>
      </c>
      <c r="C379" s="167">
        <v>19</v>
      </c>
      <c r="D379" t="s">
        <v>4633</v>
      </c>
      <c r="E379" t="s">
        <v>1701</v>
      </c>
      <c r="F379" t="s">
        <v>7352</v>
      </c>
      <c r="G379" t="s">
        <v>7338</v>
      </c>
      <c r="H379">
        <v>10</v>
      </c>
      <c r="I379" t="s">
        <v>2802</v>
      </c>
      <c r="J379">
        <v>256</v>
      </c>
    </row>
    <row r="380" spans="1:10" x14ac:dyDescent="0.25">
      <c r="A380" t="s">
        <v>8255</v>
      </c>
      <c r="B380" t="s">
        <v>8256</v>
      </c>
      <c r="C380" s="167">
        <v>19</v>
      </c>
      <c r="D380" t="s">
        <v>671</v>
      </c>
      <c r="E380" t="s">
        <v>1701</v>
      </c>
      <c r="F380" t="s">
        <v>7352</v>
      </c>
      <c r="G380" t="s">
        <v>7338</v>
      </c>
      <c r="H380">
        <v>10</v>
      </c>
      <c r="I380" t="s">
        <v>2802</v>
      </c>
      <c r="J380">
        <v>256</v>
      </c>
    </row>
    <row r="381" spans="1:10" x14ac:dyDescent="0.25">
      <c r="A381" t="s">
        <v>8227</v>
      </c>
      <c r="B381" t="s">
        <v>8228</v>
      </c>
      <c r="C381" s="167">
        <v>19</v>
      </c>
      <c r="D381" t="s">
        <v>59</v>
      </c>
      <c r="E381" t="s">
        <v>1699</v>
      </c>
      <c r="F381" t="s">
        <v>7352</v>
      </c>
      <c r="G381" t="s">
        <v>7338</v>
      </c>
      <c r="H381">
        <v>10</v>
      </c>
      <c r="I381" t="s">
        <v>2802</v>
      </c>
      <c r="J381">
        <v>256</v>
      </c>
    </row>
    <row r="382" spans="1:10" x14ac:dyDescent="0.25">
      <c r="A382" t="s">
        <v>8233</v>
      </c>
      <c r="B382" t="s">
        <v>8234</v>
      </c>
      <c r="C382" s="167">
        <v>19</v>
      </c>
      <c r="D382" t="s">
        <v>19</v>
      </c>
      <c r="E382" t="s">
        <v>1699</v>
      </c>
      <c r="F382" t="s">
        <v>7352</v>
      </c>
      <c r="G382" t="s">
        <v>7338</v>
      </c>
      <c r="H382">
        <v>10</v>
      </c>
      <c r="I382" t="s">
        <v>2802</v>
      </c>
      <c r="J382">
        <v>256</v>
      </c>
    </row>
    <row r="383" spans="1:10" x14ac:dyDescent="0.25">
      <c r="A383" t="s">
        <v>8239</v>
      </c>
      <c r="B383" t="s">
        <v>8240</v>
      </c>
      <c r="C383" s="167">
        <v>19</v>
      </c>
      <c r="D383" t="s">
        <v>21</v>
      </c>
      <c r="E383" t="s">
        <v>1699</v>
      </c>
      <c r="F383" t="s">
        <v>7352</v>
      </c>
      <c r="G383" t="s">
        <v>7338</v>
      </c>
      <c r="H383">
        <v>10</v>
      </c>
      <c r="I383" t="s">
        <v>2802</v>
      </c>
      <c r="J383">
        <v>256</v>
      </c>
    </row>
    <row r="384" spans="1:10" x14ac:dyDescent="0.25">
      <c r="A384" t="s">
        <v>8245</v>
      </c>
      <c r="B384" t="s">
        <v>8246</v>
      </c>
      <c r="C384" s="167">
        <v>19</v>
      </c>
      <c r="D384" t="s">
        <v>563</v>
      </c>
      <c r="E384" t="s">
        <v>1699</v>
      </c>
      <c r="F384" t="s">
        <v>7352</v>
      </c>
      <c r="G384" t="s">
        <v>7338</v>
      </c>
      <c r="H384">
        <v>10</v>
      </c>
      <c r="I384" t="s">
        <v>2802</v>
      </c>
      <c r="J384">
        <v>256</v>
      </c>
    </row>
    <row r="385" spans="1:10" x14ac:dyDescent="0.25">
      <c r="A385" t="s">
        <v>8251</v>
      </c>
      <c r="B385" t="s">
        <v>8252</v>
      </c>
      <c r="C385" s="167">
        <v>19</v>
      </c>
      <c r="D385" t="s">
        <v>4633</v>
      </c>
      <c r="E385" t="s">
        <v>1699</v>
      </c>
      <c r="F385" t="s">
        <v>7352</v>
      </c>
      <c r="G385" t="s">
        <v>7338</v>
      </c>
      <c r="H385">
        <v>10</v>
      </c>
      <c r="I385" t="s">
        <v>2802</v>
      </c>
      <c r="J385">
        <v>256</v>
      </c>
    </row>
    <row r="386" spans="1:10" x14ac:dyDescent="0.25">
      <c r="A386" t="s">
        <v>8257</v>
      </c>
      <c r="B386" t="s">
        <v>8258</v>
      </c>
      <c r="C386" s="167">
        <v>19</v>
      </c>
      <c r="D386" t="s">
        <v>671</v>
      </c>
      <c r="E386" t="s">
        <v>1699</v>
      </c>
      <c r="F386" t="s">
        <v>7352</v>
      </c>
      <c r="G386" t="s">
        <v>7338</v>
      </c>
      <c r="H386">
        <v>10</v>
      </c>
      <c r="I386" t="s">
        <v>2802</v>
      </c>
      <c r="J386">
        <v>256</v>
      </c>
    </row>
    <row r="387" spans="1:10" x14ac:dyDescent="0.25">
      <c r="A387" t="s">
        <v>8223</v>
      </c>
      <c r="B387" t="s">
        <v>8224</v>
      </c>
      <c r="C387" s="167">
        <v>19</v>
      </c>
      <c r="D387" t="s">
        <v>59</v>
      </c>
      <c r="E387" t="s">
        <v>1703</v>
      </c>
      <c r="F387" t="s">
        <v>7352</v>
      </c>
      <c r="G387" t="s">
        <v>7338</v>
      </c>
      <c r="H387">
        <v>10</v>
      </c>
      <c r="I387" t="s">
        <v>2802</v>
      </c>
      <c r="J387">
        <v>256</v>
      </c>
    </row>
    <row r="388" spans="1:10" x14ac:dyDescent="0.25">
      <c r="A388" t="s">
        <v>8229</v>
      </c>
      <c r="B388" t="s">
        <v>8230</v>
      </c>
      <c r="C388" s="167">
        <v>19</v>
      </c>
      <c r="D388" t="s">
        <v>19</v>
      </c>
      <c r="E388" t="s">
        <v>1703</v>
      </c>
      <c r="F388" t="s">
        <v>7352</v>
      </c>
      <c r="G388" t="s">
        <v>7338</v>
      </c>
      <c r="H388">
        <v>10</v>
      </c>
      <c r="I388" t="s">
        <v>2802</v>
      </c>
      <c r="J388">
        <v>256</v>
      </c>
    </row>
    <row r="389" spans="1:10" x14ac:dyDescent="0.25">
      <c r="A389" t="s">
        <v>8235</v>
      </c>
      <c r="B389" t="s">
        <v>8236</v>
      </c>
      <c r="C389" s="167">
        <v>19</v>
      </c>
      <c r="D389" t="s">
        <v>21</v>
      </c>
      <c r="E389" t="s">
        <v>1703</v>
      </c>
      <c r="F389" t="s">
        <v>7352</v>
      </c>
      <c r="G389" t="s">
        <v>7338</v>
      </c>
      <c r="H389">
        <v>10</v>
      </c>
      <c r="I389" t="s">
        <v>2802</v>
      </c>
      <c r="J389">
        <v>256</v>
      </c>
    </row>
    <row r="390" spans="1:10" x14ac:dyDescent="0.25">
      <c r="A390" t="s">
        <v>8241</v>
      </c>
      <c r="B390" t="s">
        <v>8242</v>
      </c>
      <c r="C390" s="167">
        <v>19</v>
      </c>
      <c r="D390" t="s">
        <v>563</v>
      </c>
      <c r="E390" t="s">
        <v>1703</v>
      </c>
      <c r="F390" t="s">
        <v>7352</v>
      </c>
      <c r="G390" t="s">
        <v>7338</v>
      </c>
      <c r="H390">
        <v>10</v>
      </c>
      <c r="I390" t="s">
        <v>2802</v>
      </c>
      <c r="J390">
        <v>256</v>
      </c>
    </row>
    <row r="391" spans="1:10" x14ac:dyDescent="0.25">
      <c r="A391" t="s">
        <v>8247</v>
      </c>
      <c r="B391" t="s">
        <v>8248</v>
      </c>
      <c r="C391" s="167">
        <v>19</v>
      </c>
      <c r="D391" t="s">
        <v>4633</v>
      </c>
      <c r="E391" t="s">
        <v>1703</v>
      </c>
      <c r="F391" t="s">
        <v>7352</v>
      </c>
      <c r="G391" t="s">
        <v>7338</v>
      </c>
      <c r="H391">
        <v>10</v>
      </c>
      <c r="I391" t="s">
        <v>2802</v>
      </c>
      <c r="J391">
        <v>256</v>
      </c>
    </row>
    <row r="392" spans="1:10" x14ac:dyDescent="0.25">
      <c r="A392" t="s">
        <v>8253</v>
      </c>
      <c r="B392" t="s">
        <v>8254</v>
      </c>
      <c r="C392" s="167">
        <v>19</v>
      </c>
      <c r="D392" t="s">
        <v>671</v>
      </c>
      <c r="E392" t="s">
        <v>1703</v>
      </c>
      <c r="F392" t="s">
        <v>7352</v>
      </c>
      <c r="G392" t="s">
        <v>7338</v>
      </c>
      <c r="H392">
        <v>10</v>
      </c>
      <c r="I392" t="s">
        <v>2802</v>
      </c>
      <c r="J392">
        <v>256</v>
      </c>
    </row>
    <row r="393" spans="1:10" x14ac:dyDescent="0.25">
      <c r="A393" t="s">
        <v>8129</v>
      </c>
      <c r="B393" t="s">
        <v>8130</v>
      </c>
      <c r="C393" s="167">
        <v>13</v>
      </c>
      <c r="D393" t="s">
        <v>59</v>
      </c>
      <c r="E393" t="s">
        <v>1701</v>
      </c>
      <c r="F393" t="s">
        <v>7352</v>
      </c>
      <c r="G393" t="s">
        <v>7338</v>
      </c>
      <c r="H393">
        <v>5</v>
      </c>
      <c r="I393" t="s">
        <v>2802</v>
      </c>
      <c r="J393">
        <v>128</v>
      </c>
    </row>
    <row r="394" spans="1:10" x14ac:dyDescent="0.25">
      <c r="A394" t="s">
        <v>8135</v>
      </c>
      <c r="B394" t="s">
        <v>8136</v>
      </c>
      <c r="C394" s="167">
        <v>13</v>
      </c>
      <c r="D394" t="s">
        <v>19</v>
      </c>
      <c r="E394" t="s">
        <v>1701</v>
      </c>
      <c r="F394" t="s">
        <v>7352</v>
      </c>
      <c r="G394" t="s">
        <v>7338</v>
      </c>
      <c r="H394">
        <v>5</v>
      </c>
      <c r="I394" t="s">
        <v>2802</v>
      </c>
      <c r="J394">
        <v>128</v>
      </c>
    </row>
    <row r="395" spans="1:10" x14ac:dyDescent="0.25">
      <c r="A395" t="s">
        <v>8141</v>
      </c>
      <c r="B395" t="s">
        <v>8142</v>
      </c>
      <c r="C395" s="167">
        <v>13</v>
      </c>
      <c r="D395" t="s">
        <v>21</v>
      </c>
      <c r="E395" t="s">
        <v>1701</v>
      </c>
      <c r="F395" t="s">
        <v>7352</v>
      </c>
      <c r="G395" t="s">
        <v>7338</v>
      </c>
      <c r="H395">
        <v>5</v>
      </c>
      <c r="I395" t="s">
        <v>2802</v>
      </c>
      <c r="J395">
        <v>128</v>
      </c>
    </row>
    <row r="396" spans="1:10" x14ac:dyDescent="0.25">
      <c r="A396" t="s">
        <v>8147</v>
      </c>
      <c r="B396" t="s">
        <v>8148</v>
      </c>
      <c r="C396" s="167">
        <v>13</v>
      </c>
      <c r="D396" t="s">
        <v>563</v>
      </c>
      <c r="E396" t="s">
        <v>1701</v>
      </c>
      <c r="F396" t="s">
        <v>7352</v>
      </c>
      <c r="G396" t="s">
        <v>7338</v>
      </c>
      <c r="H396">
        <v>5</v>
      </c>
      <c r="I396" t="s">
        <v>2802</v>
      </c>
      <c r="J396">
        <v>128</v>
      </c>
    </row>
    <row r="397" spans="1:10" x14ac:dyDescent="0.25">
      <c r="A397" t="s">
        <v>8153</v>
      </c>
      <c r="B397" t="s">
        <v>8154</v>
      </c>
      <c r="C397" s="167">
        <v>13</v>
      </c>
      <c r="D397" t="s">
        <v>4633</v>
      </c>
      <c r="E397" t="s">
        <v>1701</v>
      </c>
      <c r="F397" t="s">
        <v>7352</v>
      </c>
      <c r="G397" t="s">
        <v>7338</v>
      </c>
      <c r="H397">
        <v>5</v>
      </c>
      <c r="I397" t="s">
        <v>2802</v>
      </c>
      <c r="J397">
        <v>128</v>
      </c>
    </row>
    <row r="398" spans="1:10" x14ac:dyDescent="0.25">
      <c r="A398" t="s">
        <v>8131</v>
      </c>
      <c r="B398" t="s">
        <v>8132</v>
      </c>
      <c r="C398" s="167">
        <v>13</v>
      </c>
      <c r="D398" t="s">
        <v>59</v>
      </c>
      <c r="E398" t="s">
        <v>1699</v>
      </c>
      <c r="F398" t="s">
        <v>7352</v>
      </c>
      <c r="G398" t="s">
        <v>7338</v>
      </c>
      <c r="H398">
        <v>5</v>
      </c>
      <c r="I398" t="s">
        <v>2802</v>
      </c>
      <c r="J398">
        <v>128</v>
      </c>
    </row>
    <row r="399" spans="1:10" x14ac:dyDescent="0.25">
      <c r="A399" t="s">
        <v>8137</v>
      </c>
      <c r="B399" t="s">
        <v>8138</v>
      </c>
      <c r="C399" s="167">
        <v>13</v>
      </c>
      <c r="D399" t="s">
        <v>19</v>
      </c>
      <c r="E399" t="s">
        <v>1699</v>
      </c>
      <c r="F399" t="s">
        <v>7352</v>
      </c>
      <c r="G399" t="s">
        <v>7338</v>
      </c>
      <c r="H399">
        <v>5</v>
      </c>
      <c r="I399" t="s">
        <v>2802</v>
      </c>
      <c r="J399">
        <v>128</v>
      </c>
    </row>
    <row r="400" spans="1:10" x14ac:dyDescent="0.25">
      <c r="A400" t="s">
        <v>8143</v>
      </c>
      <c r="B400" t="s">
        <v>8144</v>
      </c>
      <c r="C400" s="167">
        <v>13</v>
      </c>
      <c r="D400" t="s">
        <v>21</v>
      </c>
      <c r="E400" t="s">
        <v>1699</v>
      </c>
      <c r="F400" t="s">
        <v>7352</v>
      </c>
      <c r="G400" t="s">
        <v>7338</v>
      </c>
      <c r="H400">
        <v>5</v>
      </c>
      <c r="I400" t="s">
        <v>2802</v>
      </c>
      <c r="J400">
        <v>128</v>
      </c>
    </row>
    <row r="401" spans="1:10" x14ac:dyDescent="0.25">
      <c r="A401" t="s">
        <v>8149</v>
      </c>
      <c r="B401" t="s">
        <v>8150</v>
      </c>
      <c r="C401" s="167">
        <v>13</v>
      </c>
      <c r="D401" t="s">
        <v>563</v>
      </c>
      <c r="E401" t="s">
        <v>1699</v>
      </c>
      <c r="F401" t="s">
        <v>7352</v>
      </c>
      <c r="G401" t="s">
        <v>7338</v>
      </c>
      <c r="H401">
        <v>5</v>
      </c>
      <c r="I401" t="s">
        <v>2802</v>
      </c>
      <c r="J401">
        <v>128</v>
      </c>
    </row>
    <row r="402" spans="1:10" x14ac:dyDescent="0.25">
      <c r="A402" t="s">
        <v>8155</v>
      </c>
      <c r="B402" t="s">
        <v>8156</v>
      </c>
      <c r="C402" s="167">
        <v>13</v>
      </c>
      <c r="D402" t="s">
        <v>4633</v>
      </c>
      <c r="E402" t="s">
        <v>1699</v>
      </c>
      <c r="F402" t="s">
        <v>7352</v>
      </c>
      <c r="G402" t="s">
        <v>7338</v>
      </c>
      <c r="H402">
        <v>5</v>
      </c>
      <c r="I402" t="s">
        <v>2802</v>
      </c>
      <c r="J402">
        <v>128</v>
      </c>
    </row>
    <row r="403" spans="1:10" x14ac:dyDescent="0.25">
      <c r="A403" t="s">
        <v>8127</v>
      </c>
      <c r="B403" t="s">
        <v>8128</v>
      </c>
      <c r="C403" s="167">
        <v>13</v>
      </c>
      <c r="D403" t="s">
        <v>59</v>
      </c>
      <c r="E403" t="s">
        <v>1703</v>
      </c>
      <c r="F403" t="s">
        <v>7352</v>
      </c>
      <c r="G403" t="s">
        <v>7338</v>
      </c>
      <c r="H403">
        <v>5</v>
      </c>
      <c r="I403" t="s">
        <v>2802</v>
      </c>
      <c r="J403">
        <v>128</v>
      </c>
    </row>
    <row r="404" spans="1:10" x14ac:dyDescent="0.25">
      <c r="A404" t="s">
        <v>8133</v>
      </c>
      <c r="B404" t="s">
        <v>8134</v>
      </c>
      <c r="C404" s="167">
        <v>13</v>
      </c>
      <c r="D404" t="s">
        <v>19</v>
      </c>
      <c r="E404" t="s">
        <v>1703</v>
      </c>
      <c r="F404" t="s">
        <v>7352</v>
      </c>
      <c r="G404" t="s">
        <v>7338</v>
      </c>
      <c r="H404">
        <v>5</v>
      </c>
      <c r="I404" t="s">
        <v>2802</v>
      </c>
      <c r="J404">
        <v>128</v>
      </c>
    </row>
    <row r="405" spans="1:10" x14ac:dyDescent="0.25">
      <c r="A405" t="s">
        <v>8139</v>
      </c>
      <c r="B405" t="s">
        <v>8140</v>
      </c>
      <c r="C405" s="167">
        <v>13</v>
      </c>
      <c r="D405" t="s">
        <v>21</v>
      </c>
      <c r="E405" t="s">
        <v>1703</v>
      </c>
      <c r="F405" t="s">
        <v>7352</v>
      </c>
      <c r="G405" t="s">
        <v>7338</v>
      </c>
      <c r="H405">
        <v>5</v>
      </c>
      <c r="I405" t="s">
        <v>2802</v>
      </c>
      <c r="J405">
        <v>128</v>
      </c>
    </row>
    <row r="406" spans="1:10" x14ac:dyDescent="0.25">
      <c r="A406" t="s">
        <v>8145</v>
      </c>
      <c r="B406" t="s">
        <v>8146</v>
      </c>
      <c r="C406" s="167">
        <v>13</v>
      </c>
      <c r="D406" t="s">
        <v>563</v>
      </c>
      <c r="E406" t="s">
        <v>1703</v>
      </c>
      <c r="F406" t="s">
        <v>7352</v>
      </c>
      <c r="G406" t="s">
        <v>7338</v>
      </c>
      <c r="H406">
        <v>5</v>
      </c>
      <c r="I406" t="s">
        <v>2802</v>
      </c>
      <c r="J406">
        <v>128</v>
      </c>
    </row>
    <row r="407" spans="1:10" x14ac:dyDescent="0.25">
      <c r="A407" t="s">
        <v>8151</v>
      </c>
      <c r="B407" t="s">
        <v>8152</v>
      </c>
      <c r="C407" s="167">
        <v>13</v>
      </c>
      <c r="D407" t="s">
        <v>4633</v>
      </c>
      <c r="E407" t="s">
        <v>1703</v>
      </c>
      <c r="F407" t="s">
        <v>7352</v>
      </c>
      <c r="G407" t="s">
        <v>7338</v>
      </c>
      <c r="H407">
        <v>5</v>
      </c>
      <c r="I407" t="s">
        <v>2802</v>
      </c>
      <c r="J407">
        <v>128</v>
      </c>
    </row>
    <row r="408" spans="1:10" x14ac:dyDescent="0.25">
      <c r="A408" t="s">
        <v>8159</v>
      </c>
      <c r="B408" t="s">
        <v>8160</v>
      </c>
      <c r="C408" s="167">
        <v>19</v>
      </c>
      <c r="D408" t="s">
        <v>59</v>
      </c>
      <c r="E408" t="s">
        <v>1701</v>
      </c>
      <c r="F408" t="s">
        <v>7352</v>
      </c>
      <c r="G408" t="s">
        <v>7338</v>
      </c>
      <c r="H408">
        <v>10</v>
      </c>
      <c r="I408" t="s">
        <v>2802</v>
      </c>
      <c r="J408">
        <v>256</v>
      </c>
    </row>
    <row r="409" spans="1:10" x14ac:dyDescent="0.25">
      <c r="A409" t="s">
        <v>8165</v>
      </c>
      <c r="B409" t="s">
        <v>8166</v>
      </c>
      <c r="C409" s="167">
        <v>19</v>
      </c>
      <c r="D409" t="s">
        <v>19</v>
      </c>
      <c r="E409" t="s">
        <v>1701</v>
      </c>
      <c r="F409" t="s">
        <v>7352</v>
      </c>
      <c r="G409" t="s">
        <v>7338</v>
      </c>
      <c r="H409">
        <v>10</v>
      </c>
      <c r="I409" t="s">
        <v>2802</v>
      </c>
      <c r="J409">
        <v>256</v>
      </c>
    </row>
    <row r="410" spans="1:10" x14ac:dyDescent="0.25">
      <c r="A410" t="s">
        <v>8171</v>
      </c>
      <c r="B410" t="s">
        <v>8172</v>
      </c>
      <c r="C410" s="167">
        <v>19</v>
      </c>
      <c r="D410" t="s">
        <v>21</v>
      </c>
      <c r="E410" t="s">
        <v>1701</v>
      </c>
      <c r="F410" t="s">
        <v>7352</v>
      </c>
      <c r="G410" t="s">
        <v>7338</v>
      </c>
      <c r="H410">
        <v>10</v>
      </c>
      <c r="I410" t="s">
        <v>2802</v>
      </c>
      <c r="J410">
        <v>256</v>
      </c>
    </row>
    <row r="411" spans="1:10" x14ac:dyDescent="0.25">
      <c r="A411" t="s">
        <v>8177</v>
      </c>
      <c r="B411" t="s">
        <v>8178</v>
      </c>
      <c r="C411" s="167">
        <v>19</v>
      </c>
      <c r="D411" t="s">
        <v>563</v>
      </c>
      <c r="E411" t="s">
        <v>1701</v>
      </c>
      <c r="F411" t="s">
        <v>7352</v>
      </c>
      <c r="G411" t="s">
        <v>7338</v>
      </c>
      <c r="H411">
        <v>10</v>
      </c>
      <c r="I411" t="s">
        <v>2802</v>
      </c>
      <c r="J411">
        <v>256</v>
      </c>
    </row>
    <row r="412" spans="1:10" x14ac:dyDescent="0.25">
      <c r="A412" t="s">
        <v>8183</v>
      </c>
      <c r="B412" t="s">
        <v>8184</v>
      </c>
      <c r="C412" s="167">
        <v>19</v>
      </c>
      <c r="D412" t="s">
        <v>4633</v>
      </c>
      <c r="E412" t="s">
        <v>1701</v>
      </c>
      <c r="F412" t="s">
        <v>7352</v>
      </c>
      <c r="G412" t="s">
        <v>7338</v>
      </c>
      <c r="H412">
        <v>10</v>
      </c>
      <c r="I412" t="s">
        <v>2802</v>
      </c>
      <c r="J412">
        <v>256</v>
      </c>
    </row>
    <row r="413" spans="1:10" x14ac:dyDescent="0.25">
      <c r="A413" t="s">
        <v>8161</v>
      </c>
      <c r="B413" t="s">
        <v>8162</v>
      </c>
      <c r="C413" s="167">
        <v>19</v>
      </c>
      <c r="D413" t="s">
        <v>59</v>
      </c>
      <c r="E413" t="s">
        <v>1699</v>
      </c>
      <c r="F413" t="s">
        <v>7352</v>
      </c>
      <c r="G413" t="s">
        <v>7338</v>
      </c>
      <c r="H413">
        <v>10</v>
      </c>
      <c r="I413" t="s">
        <v>2802</v>
      </c>
      <c r="J413">
        <v>256</v>
      </c>
    </row>
    <row r="414" spans="1:10" x14ac:dyDescent="0.25">
      <c r="A414" t="s">
        <v>8167</v>
      </c>
      <c r="B414" t="s">
        <v>8168</v>
      </c>
      <c r="C414" s="167">
        <v>19</v>
      </c>
      <c r="D414" t="s">
        <v>19</v>
      </c>
      <c r="E414" t="s">
        <v>1699</v>
      </c>
      <c r="F414" t="s">
        <v>7352</v>
      </c>
      <c r="G414" t="s">
        <v>7338</v>
      </c>
      <c r="H414">
        <v>10</v>
      </c>
      <c r="I414" t="s">
        <v>2802</v>
      </c>
      <c r="J414">
        <v>256</v>
      </c>
    </row>
    <row r="415" spans="1:10" x14ac:dyDescent="0.25">
      <c r="A415" t="s">
        <v>8173</v>
      </c>
      <c r="B415" t="s">
        <v>8174</v>
      </c>
      <c r="C415" s="167">
        <v>19</v>
      </c>
      <c r="D415" t="s">
        <v>21</v>
      </c>
      <c r="E415" t="s">
        <v>1699</v>
      </c>
      <c r="F415" t="s">
        <v>7352</v>
      </c>
      <c r="G415" t="s">
        <v>7338</v>
      </c>
      <c r="H415">
        <v>10</v>
      </c>
      <c r="I415" t="s">
        <v>2802</v>
      </c>
      <c r="J415">
        <v>256</v>
      </c>
    </row>
    <row r="416" spans="1:10" x14ac:dyDescent="0.25">
      <c r="A416" t="s">
        <v>8179</v>
      </c>
      <c r="B416" t="s">
        <v>8180</v>
      </c>
      <c r="C416" s="167">
        <v>19</v>
      </c>
      <c r="D416" t="s">
        <v>563</v>
      </c>
      <c r="E416" t="s">
        <v>1699</v>
      </c>
      <c r="F416" t="s">
        <v>7352</v>
      </c>
      <c r="G416" t="s">
        <v>7338</v>
      </c>
      <c r="H416">
        <v>10</v>
      </c>
      <c r="I416" t="s">
        <v>2802</v>
      </c>
      <c r="J416">
        <v>256</v>
      </c>
    </row>
    <row r="417" spans="1:10" x14ac:dyDescent="0.25">
      <c r="A417" t="s">
        <v>8185</v>
      </c>
      <c r="B417" t="s">
        <v>8186</v>
      </c>
      <c r="C417" s="167">
        <v>19</v>
      </c>
      <c r="D417" t="s">
        <v>4633</v>
      </c>
      <c r="E417" t="s">
        <v>1699</v>
      </c>
      <c r="F417" t="s">
        <v>7352</v>
      </c>
      <c r="G417" t="s">
        <v>7338</v>
      </c>
      <c r="H417">
        <v>10</v>
      </c>
      <c r="I417" t="s">
        <v>2802</v>
      </c>
      <c r="J417">
        <v>256</v>
      </c>
    </row>
    <row r="418" spans="1:10" x14ac:dyDescent="0.25">
      <c r="A418" t="s">
        <v>8157</v>
      </c>
      <c r="B418" t="s">
        <v>8158</v>
      </c>
      <c r="C418" s="167">
        <v>19</v>
      </c>
      <c r="D418" t="s">
        <v>59</v>
      </c>
      <c r="E418" t="s">
        <v>1703</v>
      </c>
      <c r="F418" t="s">
        <v>7352</v>
      </c>
      <c r="G418" t="s">
        <v>7338</v>
      </c>
      <c r="H418">
        <v>10</v>
      </c>
      <c r="I418" t="s">
        <v>2802</v>
      </c>
      <c r="J418">
        <v>256</v>
      </c>
    </row>
    <row r="419" spans="1:10" x14ac:dyDescent="0.25">
      <c r="A419" t="s">
        <v>8163</v>
      </c>
      <c r="B419" t="s">
        <v>8164</v>
      </c>
      <c r="C419" s="167">
        <v>19</v>
      </c>
      <c r="D419" t="s">
        <v>19</v>
      </c>
      <c r="E419" t="s">
        <v>1703</v>
      </c>
      <c r="F419" t="s">
        <v>7352</v>
      </c>
      <c r="G419" t="s">
        <v>7338</v>
      </c>
      <c r="H419">
        <v>10</v>
      </c>
      <c r="I419" t="s">
        <v>2802</v>
      </c>
      <c r="J419">
        <v>256</v>
      </c>
    </row>
    <row r="420" spans="1:10" x14ac:dyDescent="0.25">
      <c r="A420" t="s">
        <v>8169</v>
      </c>
      <c r="B420" t="s">
        <v>8170</v>
      </c>
      <c r="C420" s="167">
        <v>19</v>
      </c>
      <c r="D420" t="s">
        <v>21</v>
      </c>
      <c r="E420" t="s">
        <v>1703</v>
      </c>
      <c r="F420" t="s">
        <v>7352</v>
      </c>
      <c r="G420" t="s">
        <v>7338</v>
      </c>
      <c r="H420">
        <v>10</v>
      </c>
      <c r="I420" t="s">
        <v>2802</v>
      </c>
      <c r="J420">
        <v>256</v>
      </c>
    </row>
    <row r="421" spans="1:10" x14ac:dyDescent="0.25">
      <c r="A421" t="s">
        <v>8175</v>
      </c>
      <c r="B421" t="s">
        <v>8176</v>
      </c>
      <c r="C421" s="167">
        <v>19</v>
      </c>
      <c r="D421" t="s">
        <v>563</v>
      </c>
      <c r="E421" t="s">
        <v>1703</v>
      </c>
      <c r="F421" t="s">
        <v>7352</v>
      </c>
      <c r="G421" t="s">
        <v>7338</v>
      </c>
      <c r="H421">
        <v>10</v>
      </c>
      <c r="I421" t="s">
        <v>2802</v>
      </c>
      <c r="J421">
        <v>256</v>
      </c>
    </row>
    <row r="422" spans="1:10" x14ac:dyDescent="0.25">
      <c r="A422" t="s">
        <v>8181</v>
      </c>
      <c r="B422" t="s">
        <v>8182</v>
      </c>
      <c r="C422" s="167">
        <v>19</v>
      </c>
      <c r="D422" t="s">
        <v>4633</v>
      </c>
      <c r="E422" t="s">
        <v>1703</v>
      </c>
      <c r="F422" t="s">
        <v>7352</v>
      </c>
      <c r="G422" t="s">
        <v>7338</v>
      </c>
      <c r="H422">
        <v>10</v>
      </c>
      <c r="I422" t="s">
        <v>2802</v>
      </c>
      <c r="J422">
        <v>256</v>
      </c>
    </row>
    <row r="423" spans="1:10" x14ac:dyDescent="0.25">
      <c r="A423" t="s">
        <v>7561</v>
      </c>
      <c r="B423" t="s">
        <v>2786</v>
      </c>
      <c r="C423" s="167">
        <v>2.69</v>
      </c>
      <c r="D423" t="s">
        <v>59</v>
      </c>
      <c r="E423" t="s">
        <v>2853</v>
      </c>
      <c r="F423" t="s">
        <v>7338</v>
      </c>
      <c r="G423" t="s">
        <v>7338</v>
      </c>
      <c r="H423">
        <v>3</v>
      </c>
      <c r="I423" t="s">
        <v>2802</v>
      </c>
    </row>
    <row r="424" spans="1:10" x14ac:dyDescent="0.25">
      <c r="A424" t="s">
        <v>180</v>
      </c>
      <c r="B424" t="s">
        <v>2786</v>
      </c>
      <c r="C424" s="167">
        <v>3.45</v>
      </c>
      <c r="D424" t="s">
        <v>19</v>
      </c>
      <c r="E424" t="s">
        <v>2853</v>
      </c>
      <c r="F424" t="s">
        <v>7338</v>
      </c>
      <c r="G424" t="s">
        <v>7338</v>
      </c>
      <c r="H424">
        <v>3</v>
      </c>
      <c r="I424" t="s">
        <v>2802</v>
      </c>
    </row>
    <row r="425" spans="1:10" x14ac:dyDescent="0.25">
      <c r="A425" t="s">
        <v>182</v>
      </c>
      <c r="B425" t="s">
        <v>2786</v>
      </c>
      <c r="C425" s="167">
        <v>2.41</v>
      </c>
      <c r="D425" t="s">
        <v>21</v>
      </c>
      <c r="E425" t="s">
        <v>2853</v>
      </c>
      <c r="F425" t="s">
        <v>7338</v>
      </c>
      <c r="G425" t="s">
        <v>7338</v>
      </c>
      <c r="H425">
        <v>3</v>
      </c>
      <c r="I425" t="s">
        <v>2802</v>
      </c>
    </row>
    <row r="426" spans="1:10" x14ac:dyDescent="0.25">
      <c r="A426" t="s">
        <v>621</v>
      </c>
      <c r="B426" t="s">
        <v>2786</v>
      </c>
      <c r="C426" s="167">
        <v>3.26</v>
      </c>
      <c r="D426" t="s">
        <v>563</v>
      </c>
      <c r="E426" t="s">
        <v>2853</v>
      </c>
      <c r="F426" t="s">
        <v>7338</v>
      </c>
      <c r="G426" t="s">
        <v>7338</v>
      </c>
      <c r="H426">
        <v>3</v>
      </c>
      <c r="I426" t="s">
        <v>2802</v>
      </c>
    </row>
    <row r="427" spans="1:10" x14ac:dyDescent="0.25">
      <c r="A427" t="s">
        <v>4677</v>
      </c>
      <c r="B427" t="s">
        <v>2786</v>
      </c>
      <c r="C427" s="167">
        <v>2.69</v>
      </c>
      <c r="D427" t="s">
        <v>4633</v>
      </c>
      <c r="E427" t="s">
        <v>2853</v>
      </c>
      <c r="F427" t="s">
        <v>7338</v>
      </c>
      <c r="G427" t="s">
        <v>7338</v>
      </c>
      <c r="H427">
        <v>3</v>
      </c>
      <c r="I427" t="s">
        <v>2802</v>
      </c>
    </row>
    <row r="428" spans="1:10" x14ac:dyDescent="0.25">
      <c r="A428" t="s">
        <v>722</v>
      </c>
      <c r="B428" t="s">
        <v>2786</v>
      </c>
      <c r="C428" s="167">
        <v>3.26</v>
      </c>
      <c r="D428" t="s">
        <v>671</v>
      </c>
      <c r="E428" t="s">
        <v>2853</v>
      </c>
      <c r="F428" t="s">
        <v>7338</v>
      </c>
      <c r="G428" t="s">
        <v>7338</v>
      </c>
      <c r="H428">
        <v>3</v>
      </c>
      <c r="I428" t="s">
        <v>2802</v>
      </c>
    </row>
    <row r="429" spans="1:10" x14ac:dyDescent="0.25">
      <c r="A429" t="s">
        <v>7562</v>
      </c>
      <c r="B429" t="s">
        <v>2787</v>
      </c>
      <c r="C429" s="167">
        <v>4.74</v>
      </c>
      <c r="D429" t="s">
        <v>59</v>
      </c>
      <c r="E429" t="s">
        <v>2853</v>
      </c>
      <c r="F429" t="s">
        <v>7338</v>
      </c>
      <c r="G429" t="s">
        <v>7338</v>
      </c>
      <c r="H429">
        <v>9</v>
      </c>
      <c r="I429" t="s">
        <v>2802</v>
      </c>
    </row>
    <row r="430" spans="1:10" x14ac:dyDescent="0.25">
      <c r="A430" t="s">
        <v>183</v>
      </c>
      <c r="B430" t="s">
        <v>2787</v>
      </c>
      <c r="C430" s="167">
        <v>6.61</v>
      </c>
      <c r="D430" t="s">
        <v>19</v>
      </c>
      <c r="E430" t="s">
        <v>2853</v>
      </c>
      <c r="F430" t="s">
        <v>7338</v>
      </c>
      <c r="G430" t="s">
        <v>7338</v>
      </c>
      <c r="H430">
        <v>9</v>
      </c>
      <c r="I430" t="s">
        <v>2802</v>
      </c>
    </row>
    <row r="431" spans="1:10" x14ac:dyDescent="0.25">
      <c r="A431" t="s">
        <v>184</v>
      </c>
      <c r="B431" t="s">
        <v>2787</v>
      </c>
      <c r="C431" s="167">
        <v>4.74</v>
      </c>
      <c r="D431" t="s">
        <v>21</v>
      </c>
      <c r="E431" t="s">
        <v>2853</v>
      </c>
      <c r="F431" t="s">
        <v>7338</v>
      </c>
      <c r="G431" t="s">
        <v>7338</v>
      </c>
      <c r="H431">
        <v>9</v>
      </c>
      <c r="I431" t="s">
        <v>2802</v>
      </c>
    </row>
    <row r="432" spans="1:10" x14ac:dyDescent="0.25">
      <c r="A432" t="s">
        <v>623</v>
      </c>
      <c r="B432" t="s">
        <v>2787</v>
      </c>
      <c r="C432" s="167">
        <v>5.8</v>
      </c>
      <c r="D432" t="s">
        <v>563</v>
      </c>
      <c r="E432" t="s">
        <v>2853</v>
      </c>
      <c r="F432" t="s">
        <v>7338</v>
      </c>
      <c r="G432" t="s">
        <v>7338</v>
      </c>
      <c r="H432">
        <v>9</v>
      </c>
      <c r="I432" t="s">
        <v>2802</v>
      </c>
    </row>
    <row r="433" spans="1:9" x14ac:dyDescent="0.25">
      <c r="A433" t="s">
        <v>4678</v>
      </c>
      <c r="B433" t="s">
        <v>2787</v>
      </c>
      <c r="C433" s="167">
        <v>4.74</v>
      </c>
      <c r="D433" t="s">
        <v>19</v>
      </c>
      <c r="E433" t="s">
        <v>2853</v>
      </c>
      <c r="F433" t="s">
        <v>7338</v>
      </c>
      <c r="G433" t="s">
        <v>7338</v>
      </c>
      <c r="H433">
        <v>9</v>
      </c>
      <c r="I433" t="s">
        <v>2802</v>
      </c>
    </row>
    <row r="434" spans="1:9" x14ac:dyDescent="0.25">
      <c r="A434" t="s">
        <v>723</v>
      </c>
      <c r="B434" t="s">
        <v>2787</v>
      </c>
      <c r="C434" s="167">
        <v>5.8</v>
      </c>
      <c r="D434" t="s">
        <v>671</v>
      </c>
      <c r="E434" t="s">
        <v>2853</v>
      </c>
      <c r="F434" t="s">
        <v>7338</v>
      </c>
      <c r="G434" t="s">
        <v>7338</v>
      </c>
      <c r="H434">
        <v>9</v>
      </c>
      <c r="I434" t="s">
        <v>2802</v>
      </c>
    </row>
    <row r="435" spans="1:9" x14ac:dyDescent="0.25">
      <c r="A435" t="s">
        <v>7563</v>
      </c>
      <c r="B435" t="s">
        <v>2788</v>
      </c>
      <c r="C435" s="167">
        <v>7.81</v>
      </c>
      <c r="D435" t="s">
        <v>59</v>
      </c>
      <c r="E435" t="s">
        <v>2853</v>
      </c>
      <c r="F435" t="s">
        <v>7338</v>
      </c>
      <c r="G435" t="s">
        <v>7338</v>
      </c>
      <c r="H435">
        <v>18.5</v>
      </c>
      <c r="I435" t="s">
        <v>2802</v>
      </c>
    </row>
    <row r="436" spans="1:9" x14ac:dyDescent="0.25">
      <c r="A436" t="s">
        <v>185</v>
      </c>
      <c r="B436" t="s">
        <v>2788</v>
      </c>
      <c r="C436" s="167">
        <v>9.66</v>
      </c>
      <c r="D436" t="s">
        <v>19</v>
      </c>
      <c r="E436" t="s">
        <v>2853</v>
      </c>
      <c r="F436" t="s">
        <v>7338</v>
      </c>
      <c r="G436" t="s">
        <v>7338</v>
      </c>
      <c r="H436">
        <v>18.5</v>
      </c>
      <c r="I436" t="s">
        <v>2802</v>
      </c>
    </row>
    <row r="437" spans="1:9" x14ac:dyDescent="0.25">
      <c r="A437" t="s">
        <v>187</v>
      </c>
      <c r="B437" t="s">
        <v>2788</v>
      </c>
      <c r="C437" s="167">
        <v>7.1</v>
      </c>
      <c r="D437" t="s">
        <v>21</v>
      </c>
      <c r="E437" t="s">
        <v>2853</v>
      </c>
      <c r="F437" t="s">
        <v>7338</v>
      </c>
      <c r="G437" t="s">
        <v>7338</v>
      </c>
      <c r="H437">
        <v>18.5</v>
      </c>
      <c r="I437" t="s">
        <v>2802</v>
      </c>
    </row>
    <row r="438" spans="1:9" x14ac:dyDescent="0.25">
      <c r="A438" t="s">
        <v>624</v>
      </c>
      <c r="B438" t="s">
        <v>2788</v>
      </c>
      <c r="C438" s="167">
        <v>9.3800000000000008</v>
      </c>
      <c r="D438" t="s">
        <v>563</v>
      </c>
      <c r="E438" t="s">
        <v>2853</v>
      </c>
      <c r="F438" t="s">
        <v>7338</v>
      </c>
      <c r="G438" t="s">
        <v>7338</v>
      </c>
      <c r="H438">
        <v>18.5</v>
      </c>
      <c r="I438" t="s">
        <v>2802</v>
      </c>
    </row>
    <row r="439" spans="1:9" x14ac:dyDescent="0.25">
      <c r="A439" t="s">
        <v>4679</v>
      </c>
      <c r="B439" t="s">
        <v>2788</v>
      </c>
      <c r="C439" s="167">
        <v>7.81</v>
      </c>
      <c r="D439" t="s">
        <v>19</v>
      </c>
      <c r="E439" t="s">
        <v>2853</v>
      </c>
      <c r="F439" t="s">
        <v>7338</v>
      </c>
      <c r="G439" t="s">
        <v>7338</v>
      </c>
      <c r="H439">
        <v>18.5</v>
      </c>
      <c r="I439" t="s">
        <v>2802</v>
      </c>
    </row>
    <row r="440" spans="1:9" x14ac:dyDescent="0.25">
      <c r="A440" t="s">
        <v>724</v>
      </c>
      <c r="B440" t="s">
        <v>2788</v>
      </c>
      <c r="C440" s="167">
        <v>9.3800000000000008</v>
      </c>
      <c r="D440" t="s">
        <v>671</v>
      </c>
      <c r="E440" t="s">
        <v>2853</v>
      </c>
      <c r="F440" t="s">
        <v>7338</v>
      </c>
      <c r="G440" t="s">
        <v>7338</v>
      </c>
      <c r="H440">
        <v>18.5</v>
      </c>
      <c r="I440" t="s">
        <v>2802</v>
      </c>
    </row>
    <row r="441" spans="1:9" x14ac:dyDescent="0.25">
      <c r="A441" t="s">
        <v>7564</v>
      </c>
      <c r="B441" t="s">
        <v>2789</v>
      </c>
      <c r="C441" s="167">
        <v>10.24</v>
      </c>
      <c r="D441" t="s">
        <v>59</v>
      </c>
      <c r="E441" t="s">
        <v>2853</v>
      </c>
      <c r="F441" t="s">
        <v>7338</v>
      </c>
      <c r="G441" t="s">
        <v>7338</v>
      </c>
      <c r="H441">
        <v>24.5</v>
      </c>
      <c r="I441" t="s">
        <v>2802</v>
      </c>
    </row>
    <row r="442" spans="1:9" x14ac:dyDescent="0.25">
      <c r="A442" t="s">
        <v>188</v>
      </c>
      <c r="B442" t="s">
        <v>2789</v>
      </c>
      <c r="C442" s="167">
        <v>12.42</v>
      </c>
      <c r="D442" t="s">
        <v>19</v>
      </c>
      <c r="E442" t="s">
        <v>2853</v>
      </c>
      <c r="F442" t="s">
        <v>7338</v>
      </c>
      <c r="G442" t="s">
        <v>7338</v>
      </c>
      <c r="H442">
        <v>24.5</v>
      </c>
      <c r="I442" t="s">
        <v>2802</v>
      </c>
    </row>
    <row r="443" spans="1:9" x14ac:dyDescent="0.25">
      <c r="A443" t="s">
        <v>190</v>
      </c>
      <c r="B443" t="s">
        <v>2789</v>
      </c>
      <c r="C443" s="167">
        <v>9.2100000000000009</v>
      </c>
      <c r="D443" t="s">
        <v>21</v>
      </c>
      <c r="E443" t="s">
        <v>2853</v>
      </c>
      <c r="F443" t="s">
        <v>7338</v>
      </c>
      <c r="G443" t="s">
        <v>7338</v>
      </c>
      <c r="H443">
        <v>24.5</v>
      </c>
      <c r="I443" t="s">
        <v>2802</v>
      </c>
    </row>
    <row r="444" spans="1:9" x14ac:dyDescent="0.25">
      <c r="A444" t="s">
        <v>626</v>
      </c>
      <c r="B444" t="s">
        <v>2789</v>
      </c>
      <c r="C444" s="167">
        <v>12.35</v>
      </c>
      <c r="D444" t="s">
        <v>563</v>
      </c>
      <c r="E444" t="s">
        <v>2853</v>
      </c>
      <c r="F444" t="s">
        <v>7338</v>
      </c>
      <c r="G444" t="s">
        <v>7338</v>
      </c>
      <c r="H444">
        <v>24.5</v>
      </c>
      <c r="I444" t="s">
        <v>2802</v>
      </c>
    </row>
    <row r="445" spans="1:9" x14ac:dyDescent="0.25">
      <c r="A445" t="s">
        <v>4680</v>
      </c>
      <c r="B445" t="s">
        <v>2789</v>
      </c>
      <c r="C445" s="167">
        <v>10.24</v>
      </c>
      <c r="D445" t="s">
        <v>21</v>
      </c>
      <c r="E445" t="s">
        <v>2853</v>
      </c>
      <c r="F445" t="s">
        <v>7338</v>
      </c>
      <c r="G445" t="s">
        <v>7338</v>
      </c>
      <c r="H445">
        <v>24.5</v>
      </c>
      <c r="I445" t="s">
        <v>2802</v>
      </c>
    </row>
    <row r="446" spans="1:9" x14ac:dyDescent="0.25">
      <c r="A446" t="s">
        <v>725</v>
      </c>
      <c r="B446" t="s">
        <v>2789</v>
      </c>
      <c r="C446" s="167">
        <v>12.35</v>
      </c>
      <c r="D446" t="s">
        <v>671</v>
      </c>
      <c r="E446" t="s">
        <v>2853</v>
      </c>
      <c r="F446" t="s">
        <v>7338</v>
      </c>
      <c r="G446" t="s">
        <v>7338</v>
      </c>
      <c r="H446">
        <v>24.5</v>
      </c>
      <c r="I446" t="s">
        <v>2802</v>
      </c>
    </row>
    <row r="447" spans="1:9" x14ac:dyDescent="0.25">
      <c r="A447" t="s">
        <v>7565</v>
      </c>
      <c r="B447" t="s">
        <v>2790</v>
      </c>
      <c r="C447" s="167">
        <v>11.79</v>
      </c>
      <c r="D447" t="s">
        <v>59</v>
      </c>
      <c r="E447" t="s">
        <v>2853</v>
      </c>
      <c r="F447" t="s">
        <v>7338</v>
      </c>
      <c r="G447" t="s">
        <v>7338</v>
      </c>
      <c r="H447">
        <v>30.5</v>
      </c>
      <c r="I447" t="s">
        <v>2802</v>
      </c>
    </row>
    <row r="448" spans="1:9" x14ac:dyDescent="0.25">
      <c r="A448" t="s">
        <v>191</v>
      </c>
      <c r="B448" t="s">
        <v>2790</v>
      </c>
      <c r="C448" s="167">
        <v>14.27</v>
      </c>
      <c r="D448" t="s">
        <v>19</v>
      </c>
      <c r="E448" t="s">
        <v>2853</v>
      </c>
      <c r="F448" t="s">
        <v>7338</v>
      </c>
      <c r="G448" t="s">
        <v>7338</v>
      </c>
      <c r="H448">
        <v>30.5</v>
      </c>
      <c r="I448" t="s">
        <v>2802</v>
      </c>
    </row>
    <row r="449" spans="1:10" x14ac:dyDescent="0.25">
      <c r="A449" t="s">
        <v>193</v>
      </c>
      <c r="B449" t="s">
        <v>2790</v>
      </c>
      <c r="C449" s="167">
        <v>10.68</v>
      </c>
      <c r="D449" t="s">
        <v>21</v>
      </c>
      <c r="E449" t="s">
        <v>2853</v>
      </c>
      <c r="F449" t="s">
        <v>7338</v>
      </c>
      <c r="G449" t="s">
        <v>7338</v>
      </c>
      <c r="H449">
        <v>30.5</v>
      </c>
      <c r="I449" t="s">
        <v>2802</v>
      </c>
    </row>
    <row r="450" spans="1:10" x14ac:dyDescent="0.25">
      <c r="A450" t="s">
        <v>628</v>
      </c>
      <c r="B450" t="s">
        <v>2790</v>
      </c>
      <c r="C450" s="167">
        <v>14.28</v>
      </c>
      <c r="D450" t="s">
        <v>563</v>
      </c>
      <c r="E450" t="s">
        <v>2853</v>
      </c>
      <c r="F450" t="s">
        <v>7338</v>
      </c>
      <c r="G450" t="s">
        <v>7338</v>
      </c>
      <c r="H450">
        <v>30.5</v>
      </c>
      <c r="I450" t="s">
        <v>2802</v>
      </c>
    </row>
    <row r="451" spans="1:10" x14ac:dyDescent="0.25">
      <c r="A451" t="s">
        <v>4681</v>
      </c>
      <c r="B451" t="s">
        <v>2790</v>
      </c>
      <c r="C451" s="167">
        <v>11.79</v>
      </c>
      <c r="D451" t="s">
        <v>21</v>
      </c>
      <c r="E451" t="s">
        <v>2853</v>
      </c>
      <c r="F451" t="s">
        <v>7338</v>
      </c>
      <c r="G451" t="s">
        <v>7338</v>
      </c>
      <c r="H451">
        <v>30.5</v>
      </c>
      <c r="I451" t="s">
        <v>2802</v>
      </c>
    </row>
    <row r="452" spans="1:10" x14ac:dyDescent="0.25">
      <c r="A452" t="s">
        <v>726</v>
      </c>
      <c r="B452" t="s">
        <v>2790</v>
      </c>
      <c r="C452" s="167">
        <v>14.28</v>
      </c>
      <c r="D452" t="s">
        <v>671</v>
      </c>
      <c r="E452" t="s">
        <v>2853</v>
      </c>
      <c r="F452" t="s">
        <v>7338</v>
      </c>
      <c r="G452" t="s">
        <v>7338</v>
      </c>
      <c r="H452">
        <v>30.5</v>
      </c>
      <c r="I452" t="s">
        <v>2802</v>
      </c>
    </row>
    <row r="453" spans="1:10" x14ac:dyDescent="0.25">
      <c r="A453" t="s">
        <v>7566</v>
      </c>
      <c r="B453" t="s">
        <v>2791</v>
      </c>
      <c r="C453" s="167">
        <v>14.23</v>
      </c>
      <c r="D453" t="s">
        <v>59</v>
      </c>
      <c r="E453" t="s">
        <v>2853</v>
      </c>
      <c r="F453" t="s">
        <v>7338</v>
      </c>
      <c r="G453" t="s">
        <v>7338</v>
      </c>
      <c r="H453">
        <v>36.5</v>
      </c>
      <c r="I453" t="s">
        <v>2802</v>
      </c>
    </row>
    <row r="454" spans="1:10" x14ac:dyDescent="0.25">
      <c r="A454" t="s">
        <v>194</v>
      </c>
      <c r="B454" t="s">
        <v>2791</v>
      </c>
      <c r="C454" s="167">
        <v>16.87</v>
      </c>
      <c r="D454" t="s">
        <v>19</v>
      </c>
      <c r="E454" t="s">
        <v>2853</v>
      </c>
      <c r="F454" t="s">
        <v>7338</v>
      </c>
      <c r="G454" t="s">
        <v>7338</v>
      </c>
      <c r="H454">
        <v>36.5</v>
      </c>
      <c r="I454" t="s">
        <v>2802</v>
      </c>
    </row>
    <row r="455" spans="1:10" x14ac:dyDescent="0.25">
      <c r="A455" t="s">
        <v>196</v>
      </c>
      <c r="B455" t="s">
        <v>2791</v>
      </c>
      <c r="C455" s="167">
        <v>12.82</v>
      </c>
      <c r="D455" t="s">
        <v>21</v>
      </c>
      <c r="E455" t="s">
        <v>2853</v>
      </c>
      <c r="F455" t="s">
        <v>7338</v>
      </c>
      <c r="G455" t="s">
        <v>7338</v>
      </c>
      <c r="H455">
        <v>36.5</v>
      </c>
      <c r="I455" t="s">
        <v>2802</v>
      </c>
    </row>
    <row r="456" spans="1:10" x14ac:dyDescent="0.25">
      <c r="A456" t="s">
        <v>630</v>
      </c>
      <c r="B456" t="s">
        <v>2791</v>
      </c>
      <c r="C456" s="167">
        <v>17.14</v>
      </c>
      <c r="D456" t="s">
        <v>563</v>
      </c>
      <c r="E456" t="s">
        <v>2853</v>
      </c>
      <c r="F456" t="s">
        <v>7338</v>
      </c>
      <c r="G456" t="s">
        <v>7338</v>
      </c>
      <c r="H456">
        <v>36.5</v>
      </c>
      <c r="I456" t="s">
        <v>2802</v>
      </c>
    </row>
    <row r="457" spans="1:10" x14ac:dyDescent="0.25">
      <c r="A457" t="s">
        <v>4682</v>
      </c>
      <c r="B457" t="s">
        <v>2791</v>
      </c>
      <c r="C457" s="167">
        <v>14.23</v>
      </c>
      <c r="D457" t="s">
        <v>21</v>
      </c>
      <c r="E457" t="s">
        <v>2853</v>
      </c>
      <c r="F457" t="s">
        <v>7338</v>
      </c>
      <c r="G457" t="s">
        <v>7338</v>
      </c>
      <c r="H457">
        <v>36.5</v>
      </c>
      <c r="I457" t="s">
        <v>2802</v>
      </c>
    </row>
    <row r="458" spans="1:10" x14ac:dyDescent="0.25">
      <c r="A458" t="s">
        <v>728</v>
      </c>
      <c r="B458" t="s">
        <v>2791</v>
      </c>
      <c r="C458" s="167">
        <v>17.14</v>
      </c>
      <c r="D458" t="s">
        <v>671</v>
      </c>
      <c r="E458" t="s">
        <v>2853</v>
      </c>
      <c r="F458" t="s">
        <v>7338</v>
      </c>
      <c r="G458" t="s">
        <v>7338</v>
      </c>
      <c r="H458">
        <v>36.5</v>
      </c>
      <c r="I458" t="s">
        <v>2802</v>
      </c>
    </row>
    <row r="459" spans="1:10" x14ac:dyDescent="0.25">
      <c r="A459" t="s">
        <v>7641</v>
      </c>
      <c r="B459" t="s">
        <v>7642</v>
      </c>
      <c r="C459" s="167">
        <v>9.3800000000000008</v>
      </c>
      <c r="D459" t="s">
        <v>21</v>
      </c>
      <c r="E459" t="s">
        <v>2853</v>
      </c>
      <c r="F459" t="s">
        <v>7338</v>
      </c>
      <c r="G459" t="s">
        <v>7338</v>
      </c>
      <c r="H459">
        <v>10</v>
      </c>
      <c r="I459" t="s">
        <v>2802</v>
      </c>
      <c r="J459">
        <v>256</v>
      </c>
    </row>
    <row r="460" spans="1:10" x14ac:dyDescent="0.25">
      <c r="A460" t="s">
        <v>7385</v>
      </c>
      <c r="B460" t="s">
        <v>7386</v>
      </c>
      <c r="C460" s="167">
        <v>10.43</v>
      </c>
      <c r="D460" t="s">
        <v>21</v>
      </c>
      <c r="E460" t="s">
        <v>2853</v>
      </c>
      <c r="F460" t="s">
        <v>7338</v>
      </c>
      <c r="G460" t="s">
        <v>7338</v>
      </c>
      <c r="H460">
        <v>10</v>
      </c>
      <c r="I460" t="s">
        <v>2802</v>
      </c>
      <c r="J460">
        <v>256</v>
      </c>
    </row>
    <row r="461" spans="1:10" x14ac:dyDescent="0.25">
      <c r="A461" t="s">
        <v>1679</v>
      </c>
      <c r="B461" t="s">
        <v>1680</v>
      </c>
      <c r="C461" s="167">
        <v>9.0500000000000007</v>
      </c>
      <c r="D461" t="s">
        <v>21</v>
      </c>
      <c r="E461" t="s">
        <v>2853</v>
      </c>
      <c r="F461" t="s">
        <v>7338</v>
      </c>
      <c r="G461" t="s">
        <v>7338</v>
      </c>
      <c r="H461">
        <v>10</v>
      </c>
      <c r="I461" t="s">
        <v>2802</v>
      </c>
      <c r="J461">
        <v>256</v>
      </c>
    </row>
    <row r="462" spans="1:10" x14ac:dyDescent="0.25">
      <c r="A462" t="s">
        <v>1681</v>
      </c>
      <c r="B462" t="s">
        <v>1682</v>
      </c>
      <c r="C462" s="167">
        <v>9.73</v>
      </c>
      <c r="D462" t="s">
        <v>563</v>
      </c>
      <c r="E462" t="s">
        <v>2853</v>
      </c>
      <c r="F462" t="s">
        <v>7338</v>
      </c>
      <c r="G462" t="s">
        <v>7338</v>
      </c>
      <c r="H462">
        <v>10</v>
      </c>
      <c r="I462" t="s">
        <v>2802</v>
      </c>
      <c r="J462">
        <v>256</v>
      </c>
    </row>
    <row r="463" spans="1:10" x14ac:dyDescent="0.25">
      <c r="A463" t="s">
        <v>7383</v>
      </c>
      <c r="B463" t="s">
        <v>7384</v>
      </c>
      <c r="C463" s="167">
        <v>9.3800000000000008</v>
      </c>
      <c r="D463" t="s">
        <v>21</v>
      </c>
      <c r="E463" t="s">
        <v>2853</v>
      </c>
      <c r="F463" t="s">
        <v>7338</v>
      </c>
      <c r="G463" t="s">
        <v>7338</v>
      </c>
      <c r="H463">
        <v>10</v>
      </c>
      <c r="I463" t="s">
        <v>2802</v>
      </c>
      <c r="J463">
        <v>256</v>
      </c>
    </row>
    <row r="464" spans="1:10" x14ac:dyDescent="0.25">
      <c r="A464" t="s">
        <v>1683</v>
      </c>
      <c r="B464" t="s">
        <v>1684</v>
      </c>
      <c r="C464" s="167">
        <v>9.73</v>
      </c>
      <c r="D464" t="s">
        <v>671</v>
      </c>
      <c r="E464" t="s">
        <v>2853</v>
      </c>
      <c r="F464" t="s">
        <v>7338</v>
      </c>
      <c r="G464" t="s">
        <v>7338</v>
      </c>
      <c r="H464">
        <v>10</v>
      </c>
      <c r="I464" t="s">
        <v>2802</v>
      </c>
      <c r="J464">
        <v>256</v>
      </c>
    </row>
    <row r="465" spans="1:9" x14ac:dyDescent="0.25">
      <c r="A465" t="s">
        <v>7643</v>
      </c>
      <c r="B465" t="s">
        <v>7644</v>
      </c>
      <c r="C465" s="167">
        <v>11.06</v>
      </c>
      <c r="D465" t="s">
        <v>21</v>
      </c>
      <c r="E465" t="s">
        <v>2853</v>
      </c>
      <c r="F465" t="s">
        <v>7338</v>
      </c>
      <c r="G465" t="s">
        <v>7338</v>
      </c>
      <c r="H465">
        <v>16.399999999999999</v>
      </c>
      <c r="I465" t="s">
        <v>2802</v>
      </c>
    </row>
    <row r="466" spans="1:9" x14ac:dyDescent="0.25">
      <c r="A466" t="s">
        <v>7389</v>
      </c>
      <c r="B466" t="s">
        <v>7390</v>
      </c>
      <c r="C466" s="167">
        <v>12.17</v>
      </c>
      <c r="D466" t="s">
        <v>21</v>
      </c>
      <c r="E466" t="s">
        <v>2853</v>
      </c>
      <c r="F466" t="s">
        <v>7338</v>
      </c>
      <c r="G466" t="s">
        <v>7338</v>
      </c>
      <c r="H466">
        <v>16.399999999999999</v>
      </c>
      <c r="I466" t="s">
        <v>2802</v>
      </c>
    </row>
    <row r="467" spans="1:9" x14ac:dyDescent="0.25">
      <c r="A467" t="s">
        <v>1685</v>
      </c>
      <c r="B467" t="s">
        <v>1686</v>
      </c>
      <c r="C467" s="167">
        <v>10.72</v>
      </c>
      <c r="D467" t="s">
        <v>21</v>
      </c>
      <c r="E467" t="s">
        <v>2853</v>
      </c>
      <c r="F467" t="s">
        <v>7338</v>
      </c>
      <c r="G467" t="s">
        <v>7338</v>
      </c>
      <c r="H467">
        <v>16.399999999999999</v>
      </c>
      <c r="I467" t="s">
        <v>2802</v>
      </c>
    </row>
    <row r="468" spans="1:9" x14ac:dyDescent="0.25">
      <c r="A468" t="s">
        <v>1687</v>
      </c>
      <c r="B468" t="s">
        <v>1688</v>
      </c>
      <c r="C468" s="167">
        <v>11.4</v>
      </c>
      <c r="D468" t="s">
        <v>563</v>
      </c>
      <c r="E468" t="s">
        <v>2853</v>
      </c>
      <c r="F468" t="s">
        <v>7338</v>
      </c>
      <c r="G468" t="s">
        <v>7338</v>
      </c>
      <c r="H468">
        <v>16.399999999999999</v>
      </c>
      <c r="I468" t="s">
        <v>2802</v>
      </c>
    </row>
    <row r="469" spans="1:9" x14ac:dyDescent="0.25">
      <c r="A469" t="s">
        <v>7387</v>
      </c>
      <c r="B469" t="s">
        <v>7388</v>
      </c>
      <c r="C469" s="167">
        <v>11.06</v>
      </c>
      <c r="D469" t="s">
        <v>21</v>
      </c>
      <c r="E469" t="s">
        <v>2853</v>
      </c>
      <c r="F469" t="s">
        <v>7338</v>
      </c>
      <c r="G469" t="s">
        <v>7338</v>
      </c>
      <c r="H469">
        <v>16.399999999999999</v>
      </c>
      <c r="I469" t="s">
        <v>2802</v>
      </c>
    </row>
    <row r="470" spans="1:9" x14ac:dyDescent="0.25">
      <c r="A470" t="s">
        <v>1689</v>
      </c>
      <c r="B470" t="s">
        <v>1690</v>
      </c>
      <c r="C470" s="167">
        <v>11.4</v>
      </c>
      <c r="D470" t="s">
        <v>671</v>
      </c>
      <c r="E470" t="s">
        <v>2853</v>
      </c>
      <c r="F470" t="s">
        <v>7338</v>
      </c>
      <c r="G470" t="s">
        <v>7338</v>
      </c>
      <c r="H470">
        <v>16.399999999999999</v>
      </c>
      <c r="I470" t="s">
        <v>2802</v>
      </c>
    </row>
    <row r="471" spans="1:9" x14ac:dyDescent="0.25">
      <c r="A471" t="s">
        <v>7645</v>
      </c>
      <c r="B471" t="s">
        <v>7646</v>
      </c>
      <c r="C471" s="167">
        <v>12.73</v>
      </c>
      <c r="D471" t="s">
        <v>21</v>
      </c>
      <c r="E471" t="s">
        <v>2853</v>
      </c>
      <c r="F471" t="s">
        <v>7338</v>
      </c>
      <c r="G471" t="s">
        <v>7338</v>
      </c>
      <c r="H471">
        <v>22.7</v>
      </c>
      <c r="I471" t="s">
        <v>2802</v>
      </c>
    </row>
    <row r="472" spans="1:9" x14ac:dyDescent="0.25">
      <c r="A472" t="s">
        <v>7393</v>
      </c>
      <c r="B472" t="s">
        <v>7394</v>
      </c>
      <c r="C472" s="167">
        <v>13.89</v>
      </c>
      <c r="D472" t="s">
        <v>21</v>
      </c>
      <c r="E472" t="s">
        <v>2853</v>
      </c>
      <c r="F472" t="s">
        <v>7338</v>
      </c>
      <c r="G472" t="s">
        <v>7338</v>
      </c>
      <c r="H472">
        <v>22.7</v>
      </c>
      <c r="I472" t="s">
        <v>2802</v>
      </c>
    </row>
    <row r="473" spans="1:9" x14ac:dyDescent="0.25">
      <c r="A473" t="s">
        <v>1691</v>
      </c>
      <c r="B473" t="s">
        <v>1692</v>
      </c>
      <c r="C473" s="167">
        <v>12.4</v>
      </c>
      <c r="D473" t="s">
        <v>21</v>
      </c>
      <c r="E473" t="s">
        <v>2853</v>
      </c>
      <c r="F473" t="s">
        <v>7338</v>
      </c>
      <c r="G473" t="s">
        <v>7338</v>
      </c>
      <c r="H473">
        <v>22.7</v>
      </c>
      <c r="I473" t="s">
        <v>2802</v>
      </c>
    </row>
    <row r="474" spans="1:9" x14ac:dyDescent="0.25">
      <c r="A474" t="s">
        <v>1693</v>
      </c>
      <c r="B474" t="s">
        <v>1694</v>
      </c>
      <c r="C474" s="167">
        <v>13.08</v>
      </c>
      <c r="D474" t="s">
        <v>563</v>
      </c>
      <c r="E474" t="s">
        <v>2853</v>
      </c>
      <c r="F474" t="s">
        <v>7338</v>
      </c>
      <c r="G474" t="s">
        <v>7338</v>
      </c>
      <c r="H474">
        <v>22.7</v>
      </c>
      <c r="I474" t="s">
        <v>2802</v>
      </c>
    </row>
    <row r="475" spans="1:9" x14ac:dyDescent="0.25">
      <c r="A475" t="s">
        <v>7391</v>
      </c>
      <c r="B475" t="s">
        <v>7392</v>
      </c>
      <c r="C475" s="167">
        <v>12.73</v>
      </c>
      <c r="D475" t="s">
        <v>21</v>
      </c>
      <c r="E475" t="s">
        <v>2853</v>
      </c>
      <c r="F475" t="s">
        <v>7338</v>
      </c>
      <c r="G475" t="s">
        <v>7338</v>
      </c>
      <c r="H475">
        <v>22.7</v>
      </c>
      <c r="I475" t="s">
        <v>2802</v>
      </c>
    </row>
    <row r="476" spans="1:9" x14ac:dyDescent="0.25">
      <c r="A476" t="s">
        <v>1695</v>
      </c>
      <c r="B476" t="s">
        <v>1696</v>
      </c>
      <c r="C476" s="167">
        <v>13.08</v>
      </c>
      <c r="D476" t="s">
        <v>671</v>
      </c>
      <c r="E476" t="s">
        <v>2853</v>
      </c>
      <c r="F476" t="s">
        <v>7338</v>
      </c>
      <c r="G476" t="s">
        <v>7338</v>
      </c>
      <c r="H476">
        <v>22.7</v>
      </c>
      <c r="I476" t="s">
        <v>2802</v>
      </c>
    </row>
    <row r="477" spans="1:9" x14ac:dyDescent="0.25">
      <c r="A477" t="s">
        <v>7580</v>
      </c>
      <c r="B477" t="s">
        <v>7739</v>
      </c>
      <c r="C477" s="167">
        <v>57.82</v>
      </c>
      <c r="D477" t="s">
        <v>59</v>
      </c>
      <c r="E477" t="s">
        <v>2853</v>
      </c>
      <c r="F477" t="s">
        <v>7338</v>
      </c>
      <c r="G477" t="s">
        <v>7340</v>
      </c>
      <c r="H477">
        <v>35</v>
      </c>
      <c r="I477" t="s">
        <v>2805</v>
      </c>
    </row>
    <row r="478" spans="1:9" x14ac:dyDescent="0.25">
      <c r="A478" t="s">
        <v>4975</v>
      </c>
      <c r="B478" t="s">
        <v>7739</v>
      </c>
      <c r="C478" s="167">
        <v>57.8</v>
      </c>
      <c r="D478" t="s">
        <v>21</v>
      </c>
      <c r="E478" t="s">
        <v>2853</v>
      </c>
      <c r="F478" t="s">
        <v>7338</v>
      </c>
      <c r="G478" t="s">
        <v>7340</v>
      </c>
      <c r="H478">
        <v>35</v>
      </c>
      <c r="I478" t="s">
        <v>2805</v>
      </c>
    </row>
    <row r="479" spans="1:9" x14ac:dyDescent="0.25">
      <c r="A479" t="s">
        <v>620</v>
      </c>
      <c r="B479" t="s">
        <v>7739</v>
      </c>
      <c r="C479" s="167">
        <v>63.28</v>
      </c>
      <c r="D479" t="s">
        <v>563</v>
      </c>
      <c r="E479" t="s">
        <v>2853</v>
      </c>
      <c r="F479" t="s">
        <v>7338</v>
      </c>
      <c r="G479" t="s">
        <v>7340</v>
      </c>
      <c r="H479">
        <v>35</v>
      </c>
      <c r="I479" t="s">
        <v>2805</v>
      </c>
    </row>
    <row r="480" spans="1:9" x14ac:dyDescent="0.25">
      <c r="A480" t="s">
        <v>7337</v>
      </c>
      <c r="B480" t="s">
        <v>7739</v>
      </c>
      <c r="C480" s="167">
        <v>57.8</v>
      </c>
      <c r="D480" t="s">
        <v>4633</v>
      </c>
      <c r="E480" t="s">
        <v>2853</v>
      </c>
      <c r="F480" t="s">
        <v>7338</v>
      </c>
      <c r="G480" t="s">
        <v>7340</v>
      </c>
      <c r="H480">
        <v>35</v>
      </c>
      <c r="I480" t="s">
        <v>2805</v>
      </c>
    </row>
    <row r="481" spans="1:9" x14ac:dyDescent="0.25">
      <c r="A481" t="s">
        <v>5277</v>
      </c>
      <c r="B481" t="s">
        <v>7739</v>
      </c>
      <c r="C481" s="167">
        <v>63.3</v>
      </c>
      <c r="D481" t="s">
        <v>671</v>
      </c>
      <c r="E481" t="s">
        <v>2853</v>
      </c>
      <c r="F481" t="s">
        <v>7338</v>
      </c>
      <c r="G481" t="s">
        <v>7340</v>
      </c>
      <c r="H481">
        <v>35</v>
      </c>
      <c r="I481" t="s">
        <v>2805</v>
      </c>
    </row>
    <row r="482" spans="1:9" x14ac:dyDescent="0.25">
      <c r="A482" t="s">
        <v>7579</v>
      </c>
      <c r="B482" t="s">
        <v>7737</v>
      </c>
      <c r="C482" s="167">
        <v>64.38</v>
      </c>
      <c r="D482" t="s">
        <v>59</v>
      </c>
      <c r="E482" t="s">
        <v>2853</v>
      </c>
      <c r="F482" t="s">
        <v>7338</v>
      </c>
      <c r="G482" t="s">
        <v>7340</v>
      </c>
      <c r="H482">
        <v>47</v>
      </c>
      <c r="I482" t="s">
        <v>2805</v>
      </c>
    </row>
    <row r="483" spans="1:9" x14ac:dyDescent="0.25">
      <c r="A483" t="s">
        <v>4974</v>
      </c>
      <c r="B483" t="s">
        <v>7737</v>
      </c>
      <c r="C483" s="167">
        <v>64.36</v>
      </c>
      <c r="D483" t="s">
        <v>21</v>
      </c>
      <c r="E483" t="s">
        <v>2853</v>
      </c>
      <c r="F483" t="s">
        <v>7338</v>
      </c>
      <c r="G483" t="s">
        <v>7340</v>
      </c>
      <c r="H483">
        <v>47</v>
      </c>
      <c r="I483" t="s">
        <v>2805</v>
      </c>
    </row>
    <row r="484" spans="1:9" x14ac:dyDescent="0.25">
      <c r="A484" t="s">
        <v>619</v>
      </c>
      <c r="B484" t="s">
        <v>7737</v>
      </c>
      <c r="C484" s="167">
        <v>70.459999999999994</v>
      </c>
      <c r="D484" t="s">
        <v>563</v>
      </c>
      <c r="E484" t="s">
        <v>2853</v>
      </c>
      <c r="F484" t="s">
        <v>7338</v>
      </c>
      <c r="G484" t="s">
        <v>7340</v>
      </c>
      <c r="H484">
        <v>47</v>
      </c>
      <c r="I484" t="s">
        <v>2805</v>
      </c>
    </row>
    <row r="485" spans="1:9" x14ac:dyDescent="0.25">
      <c r="A485" t="s">
        <v>7336</v>
      </c>
      <c r="B485" t="s">
        <v>7737</v>
      </c>
      <c r="C485" s="167">
        <v>64.36</v>
      </c>
      <c r="D485" t="s">
        <v>4633</v>
      </c>
      <c r="E485" t="s">
        <v>2853</v>
      </c>
      <c r="F485" t="s">
        <v>7338</v>
      </c>
      <c r="G485" t="s">
        <v>7340</v>
      </c>
      <c r="H485">
        <v>47</v>
      </c>
      <c r="I485" t="s">
        <v>2805</v>
      </c>
    </row>
    <row r="486" spans="1:9" x14ac:dyDescent="0.25">
      <c r="A486" t="s">
        <v>5276</v>
      </c>
      <c r="B486" t="s">
        <v>7737</v>
      </c>
      <c r="C486" s="167">
        <v>70.48</v>
      </c>
      <c r="D486" t="s">
        <v>671</v>
      </c>
      <c r="E486" t="s">
        <v>2853</v>
      </c>
      <c r="F486" t="s">
        <v>7338</v>
      </c>
      <c r="G486" t="s">
        <v>7340</v>
      </c>
      <c r="H486">
        <v>47</v>
      </c>
      <c r="I486" t="s">
        <v>2805</v>
      </c>
    </row>
    <row r="487" spans="1:9" x14ac:dyDescent="0.25">
      <c r="A487" t="s">
        <v>7577</v>
      </c>
      <c r="B487" t="s">
        <v>7578</v>
      </c>
      <c r="C487" s="167">
        <v>148.12</v>
      </c>
      <c r="D487" t="s">
        <v>59</v>
      </c>
      <c r="E487" t="s">
        <v>2853</v>
      </c>
      <c r="F487" t="s">
        <v>7338</v>
      </c>
      <c r="G487" t="s">
        <v>7340</v>
      </c>
      <c r="H487">
        <v>35</v>
      </c>
      <c r="I487" t="s">
        <v>2805</v>
      </c>
    </row>
    <row r="488" spans="1:9" x14ac:dyDescent="0.25">
      <c r="A488" t="s">
        <v>402</v>
      </c>
      <c r="B488" t="s">
        <v>7578</v>
      </c>
      <c r="C488" s="167">
        <v>148.12</v>
      </c>
      <c r="D488" t="s">
        <v>21</v>
      </c>
      <c r="E488" t="s">
        <v>2853</v>
      </c>
      <c r="F488" t="s">
        <v>7338</v>
      </c>
      <c r="G488" t="s">
        <v>7340</v>
      </c>
      <c r="H488">
        <v>35</v>
      </c>
      <c r="I488" t="s">
        <v>2805</v>
      </c>
    </row>
    <row r="489" spans="1:9" x14ac:dyDescent="0.25">
      <c r="A489" t="s">
        <v>618</v>
      </c>
      <c r="B489" t="s">
        <v>7578</v>
      </c>
      <c r="C489" s="167">
        <v>153.93</v>
      </c>
      <c r="D489" t="s">
        <v>563</v>
      </c>
      <c r="E489" t="s">
        <v>2853</v>
      </c>
      <c r="F489" t="s">
        <v>7338</v>
      </c>
      <c r="G489" t="s">
        <v>7340</v>
      </c>
      <c r="H489">
        <v>35</v>
      </c>
      <c r="I489" t="s">
        <v>2805</v>
      </c>
    </row>
    <row r="490" spans="1:9" x14ac:dyDescent="0.25">
      <c r="A490" t="s">
        <v>4694</v>
      </c>
      <c r="B490" t="s">
        <v>4695</v>
      </c>
      <c r="C490" s="167">
        <v>148.12</v>
      </c>
      <c r="D490" t="s">
        <v>4633</v>
      </c>
      <c r="E490" t="s">
        <v>2853</v>
      </c>
      <c r="F490" t="s">
        <v>7338</v>
      </c>
      <c r="G490" t="s">
        <v>7340</v>
      </c>
      <c r="H490">
        <v>35</v>
      </c>
      <c r="I490" t="s">
        <v>2805</v>
      </c>
    </row>
    <row r="491" spans="1:9" x14ac:dyDescent="0.25">
      <c r="A491" t="s">
        <v>721</v>
      </c>
      <c r="B491" t="s">
        <v>7578</v>
      </c>
      <c r="C491" s="167">
        <v>153.97999999999999</v>
      </c>
      <c r="D491" t="s">
        <v>671</v>
      </c>
      <c r="E491" t="s">
        <v>2853</v>
      </c>
      <c r="F491" t="s">
        <v>7338</v>
      </c>
      <c r="G491" t="s">
        <v>7340</v>
      </c>
      <c r="H491">
        <v>35</v>
      </c>
      <c r="I491" t="s">
        <v>2805</v>
      </c>
    </row>
    <row r="492" spans="1:9" x14ac:dyDescent="0.25">
      <c r="A492" t="s">
        <v>7576</v>
      </c>
      <c r="B492" t="s">
        <v>401</v>
      </c>
      <c r="C492" s="167">
        <v>155.27000000000001</v>
      </c>
      <c r="D492" t="s">
        <v>59</v>
      </c>
      <c r="E492" t="s">
        <v>2853</v>
      </c>
      <c r="F492" t="s">
        <v>7338</v>
      </c>
      <c r="G492" t="s">
        <v>7340</v>
      </c>
      <c r="H492">
        <v>47</v>
      </c>
      <c r="I492" t="s">
        <v>2805</v>
      </c>
    </row>
    <row r="493" spans="1:9" x14ac:dyDescent="0.25">
      <c r="A493" t="s">
        <v>400</v>
      </c>
      <c r="B493" t="s">
        <v>401</v>
      </c>
      <c r="C493" s="167">
        <v>155.27000000000001</v>
      </c>
      <c r="D493" t="s">
        <v>21</v>
      </c>
      <c r="E493" t="s">
        <v>2853</v>
      </c>
      <c r="F493" t="s">
        <v>7338</v>
      </c>
      <c r="G493" t="s">
        <v>7340</v>
      </c>
      <c r="H493">
        <v>47</v>
      </c>
      <c r="I493" t="s">
        <v>2805</v>
      </c>
    </row>
    <row r="494" spans="1:9" x14ac:dyDescent="0.25">
      <c r="A494" t="s">
        <v>617</v>
      </c>
      <c r="B494" t="s">
        <v>401</v>
      </c>
      <c r="C494" s="167">
        <v>161.77000000000001</v>
      </c>
      <c r="D494" t="s">
        <v>563</v>
      </c>
      <c r="E494" t="s">
        <v>2853</v>
      </c>
      <c r="F494" t="s">
        <v>7338</v>
      </c>
      <c r="G494" t="s">
        <v>7340</v>
      </c>
      <c r="H494">
        <v>47</v>
      </c>
      <c r="I494" t="s">
        <v>2805</v>
      </c>
    </row>
    <row r="495" spans="1:9" x14ac:dyDescent="0.25">
      <c r="A495" t="s">
        <v>4693</v>
      </c>
      <c r="B495" t="s">
        <v>401</v>
      </c>
      <c r="C495" s="167">
        <v>155.27000000000001</v>
      </c>
      <c r="D495" t="s">
        <v>4633</v>
      </c>
      <c r="E495" t="s">
        <v>2853</v>
      </c>
      <c r="F495" t="s">
        <v>7338</v>
      </c>
      <c r="G495" t="s">
        <v>7340</v>
      </c>
      <c r="H495">
        <v>47</v>
      </c>
      <c r="I495" t="s">
        <v>2805</v>
      </c>
    </row>
    <row r="496" spans="1:9" x14ac:dyDescent="0.25">
      <c r="A496" t="s">
        <v>720</v>
      </c>
      <c r="B496" t="s">
        <v>401</v>
      </c>
      <c r="C496" s="167">
        <v>161.79</v>
      </c>
      <c r="D496" t="s">
        <v>671</v>
      </c>
      <c r="E496" t="s">
        <v>2853</v>
      </c>
      <c r="F496" t="s">
        <v>7338</v>
      </c>
      <c r="G496" t="s">
        <v>7340</v>
      </c>
      <c r="H496">
        <v>47</v>
      </c>
      <c r="I496" t="s">
        <v>2805</v>
      </c>
    </row>
    <row r="497" spans="1:9" x14ac:dyDescent="0.25">
      <c r="A497" t="s">
        <v>202</v>
      </c>
      <c r="B497" t="s">
        <v>404</v>
      </c>
      <c r="C497" s="167">
        <v>57.83</v>
      </c>
      <c r="D497" t="s">
        <v>21</v>
      </c>
      <c r="E497" t="s">
        <v>2853</v>
      </c>
      <c r="F497" t="s">
        <v>7338</v>
      </c>
      <c r="G497" t="s">
        <v>7338</v>
      </c>
      <c r="H497">
        <v>96</v>
      </c>
      <c r="I497" t="s">
        <v>2806</v>
      </c>
    </row>
    <row r="498" spans="1:9" x14ac:dyDescent="0.25">
      <c r="A498" t="s">
        <v>203</v>
      </c>
      <c r="B498" t="s">
        <v>406</v>
      </c>
      <c r="C498" s="167">
        <v>22.64</v>
      </c>
      <c r="D498" t="s">
        <v>7345</v>
      </c>
      <c r="E498" t="s">
        <v>2853</v>
      </c>
      <c r="F498" t="s">
        <v>7338</v>
      </c>
      <c r="G498" t="s">
        <v>7338</v>
      </c>
      <c r="H498">
        <v>97</v>
      </c>
      <c r="I498" t="s">
        <v>2806</v>
      </c>
    </row>
    <row r="499" spans="1:9" x14ac:dyDescent="0.25">
      <c r="A499" t="s">
        <v>407</v>
      </c>
      <c r="B499" t="s">
        <v>408</v>
      </c>
      <c r="C499" s="167">
        <v>2.02</v>
      </c>
      <c r="D499" t="s">
        <v>7345</v>
      </c>
      <c r="E499" t="s">
        <v>2853</v>
      </c>
      <c r="F499" t="s">
        <v>7338</v>
      </c>
      <c r="G499" t="s">
        <v>7338</v>
      </c>
      <c r="I499" t="s">
        <v>2806</v>
      </c>
    </row>
    <row r="500" spans="1:9" x14ac:dyDescent="0.25">
      <c r="A500" t="s">
        <v>7581</v>
      </c>
      <c r="B500" t="s">
        <v>409</v>
      </c>
      <c r="C500" s="167">
        <v>10.95</v>
      </c>
      <c r="D500" t="s">
        <v>59</v>
      </c>
      <c r="E500" t="s">
        <v>2853</v>
      </c>
      <c r="F500" t="s">
        <v>7338</v>
      </c>
      <c r="G500" t="s">
        <v>7340</v>
      </c>
      <c r="I500" t="s">
        <v>2806</v>
      </c>
    </row>
    <row r="501" spans="1:9" x14ac:dyDescent="0.25">
      <c r="A501" t="s">
        <v>205</v>
      </c>
      <c r="B501" t="s">
        <v>409</v>
      </c>
      <c r="C501" s="167">
        <v>9.64</v>
      </c>
      <c r="D501" t="s">
        <v>21</v>
      </c>
      <c r="E501" t="s">
        <v>2853</v>
      </c>
      <c r="F501" t="s">
        <v>7338</v>
      </c>
      <c r="G501" t="s">
        <v>7340</v>
      </c>
      <c r="I501" t="s">
        <v>2806</v>
      </c>
    </row>
    <row r="502" spans="1:9" x14ac:dyDescent="0.25">
      <c r="A502" t="s">
        <v>7582</v>
      </c>
      <c r="B502" t="s">
        <v>410</v>
      </c>
      <c r="C502" s="167">
        <v>11.33</v>
      </c>
      <c r="D502" t="s">
        <v>59</v>
      </c>
      <c r="E502" t="s">
        <v>2853</v>
      </c>
      <c r="F502" t="s">
        <v>7338</v>
      </c>
      <c r="G502" t="s">
        <v>7339</v>
      </c>
      <c r="I502" t="s">
        <v>2806</v>
      </c>
    </row>
    <row r="503" spans="1:9" x14ac:dyDescent="0.25">
      <c r="A503" t="s">
        <v>206</v>
      </c>
      <c r="B503" t="s">
        <v>410</v>
      </c>
      <c r="C503" s="167">
        <v>11.33</v>
      </c>
      <c r="D503" t="s">
        <v>21</v>
      </c>
      <c r="E503" t="s">
        <v>2853</v>
      </c>
      <c r="F503" t="s">
        <v>7338</v>
      </c>
      <c r="G503" t="s">
        <v>7339</v>
      </c>
      <c r="I503" t="s">
        <v>2806</v>
      </c>
    </row>
    <row r="504" spans="1:9" x14ac:dyDescent="0.25">
      <c r="A504" t="s">
        <v>7583</v>
      </c>
      <c r="B504" t="s">
        <v>411</v>
      </c>
      <c r="C504" s="167">
        <v>11.73</v>
      </c>
      <c r="D504" t="s">
        <v>59</v>
      </c>
      <c r="E504" t="s">
        <v>2853</v>
      </c>
      <c r="F504" t="s">
        <v>7338</v>
      </c>
      <c r="G504" t="s">
        <v>7346</v>
      </c>
      <c r="I504" t="s">
        <v>2806</v>
      </c>
    </row>
    <row r="505" spans="1:9" x14ac:dyDescent="0.25">
      <c r="A505" t="s">
        <v>209</v>
      </c>
      <c r="B505" t="s">
        <v>411</v>
      </c>
      <c r="C505" s="167">
        <v>11.73</v>
      </c>
      <c r="D505" t="s">
        <v>21</v>
      </c>
      <c r="E505" t="s">
        <v>2853</v>
      </c>
      <c r="F505" t="s">
        <v>7338</v>
      </c>
      <c r="G505" t="s">
        <v>7346</v>
      </c>
      <c r="I505" t="s">
        <v>2806</v>
      </c>
    </row>
    <row r="506" spans="1:9" x14ac:dyDescent="0.25">
      <c r="A506" t="s">
        <v>7584</v>
      </c>
      <c r="B506" t="s">
        <v>412</v>
      </c>
      <c r="C506" s="167">
        <v>28.02</v>
      </c>
      <c r="D506" t="s">
        <v>59</v>
      </c>
      <c r="E506" t="s">
        <v>2853</v>
      </c>
      <c r="F506" t="s">
        <v>7338</v>
      </c>
      <c r="G506" t="s">
        <v>7339</v>
      </c>
      <c r="I506" t="s">
        <v>2806</v>
      </c>
    </row>
    <row r="507" spans="1:9" x14ac:dyDescent="0.25">
      <c r="A507" t="s">
        <v>212</v>
      </c>
      <c r="B507" t="s">
        <v>412</v>
      </c>
      <c r="C507" s="167">
        <v>28.02</v>
      </c>
      <c r="D507" t="s">
        <v>21</v>
      </c>
      <c r="E507" t="s">
        <v>2853</v>
      </c>
      <c r="F507" t="s">
        <v>7338</v>
      </c>
      <c r="G507" t="s">
        <v>7339</v>
      </c>
      <c r="I507" t="s">
        <v>2806</v>
      </c>
    </row>
    <row r="508" spans="1:9" x14ac:dyDescent="0.25">
      <c r="A508" t="s">
        <v>7585</v>
      </c>
      <c r="B508" t="s">
        <v>413</v>
      </c>
      <c r="C508" s="167">
        <v>30.04</v>
      </c>
      <c r="D508" t="s">
        <v>59</v>
      </c>
      <c r="E508" t="s">
        <v>2853</v>
      </c>
      <c r="F508" t="s">
        <v>7338</v>
      </c>
      <c r="G508" t="s">
        <v>7346</v>
      </c>
      <c r="I508" t="s">
        <v>2806</v>
      </c>
    </row>
    <row r="509" spans="1:9" x14ac:dyDescent="0.25">
      <c r="A509" t="s">
        <v>217</v>
      </c>
      <c r="B509" t="s">
        <v>413</v>
      </c>
      <c r="C509" s="167">
        <v>30.04</v>
      </c>
      <c r="D509" t="s">
        <v>21</v>
      </c>
      <c r="E509" t="s">
        <v>2853</v>
      </c>
      <c r="F509" t="s">
        <v>7338</v>
      </c>
      <c r="G509" t="s">
        <v>7346</v>
      </c>
      <c r="I509" t="s">
        <v>2806</v>
      </c>
    </row>
    <row r="510" spans="1:9" x14ac:dyDescent="0.25">
      <c r="A510" t="s">
        <v>414</v>
      </c>
      <c r="B510" t="s">
        <v>415</v>
      </c>
      <c r="C510" s="167">
        <v>2.39</v>
      </c>
      <c r="D510" t="s">
        <v>2853</v>
      </c>
      <c r="E510" t="s">
        <v>2853</v>
      </c>
      <c r="F510" t="s">
        <v>7338</v>
      </c>
      <c r="G510" t="s">
        <v>7338</v>
      </c>
      <c r="I510" t="s">
        <v>2806</v>
      </c>
    </row>
    <row r="511" spans="1:9" x14ac:dyDescent="0.25">
      <c r="A511" t="s">
        <v>219</v>
      </c>
      <c r="B511" t="s">
        <v>416</v>
      </c>
      <c r="C511" s="167">
        <v>1.08</v>
      </c>
      <c r="D511" t="s">
        <v>2853</v>
      </c>
      <c r="E511" t="s">
        <v>2853</v>
      </c>
      <c r="F511" t="s">
        <v>7338</v>
      </c>
      <c r="G511" t="s">
        <v>7338</v>
      </c>
      <c r="I511" t="s">
        <v>2806</v>
      </c>
    </row>
    <row r="512" spans="1:9" x14ac:dyDescent="0.25">
      <c r="A512" t="s">
        <v>220</v>
      </c>
      <c r="B512" t="s">
        <v>419</v>
      </c>
      <c r="C512" s="167">
        <v>0.93</v>
      </c>
      <c r="D512" t="s">
        <v>59</v>
      </c>
      <c r="E512" t="s">
        <v>2853</v>
      </c>
      <c r="F512" t="s">
        <v>7338</v>
      </c>
      <c r="G512" t="s">
        <v>7338</v>
      </c>
      <c r="I512" t="s">
        <v>2806</v>
      </c>
    </row>
    <row r="513" spans="1:9" x14ac:dyDescent="0.25">
      <c r="A513" t="s">
        <v>7586</v>
      </c>
      <c r="B513" t="s">
        <v>418</v>
      </c>
      <c r="C513" s="167">
        <v>1.31</v>
      </c>
      <c r="D513" t="s">
        <v>59</v>
      </c>
      <c r="E513" t="s">
        <v>2853</v>
      </c>
      <c r="F513" t="s">
        <v>7338</v>
      </c>
      <c r="G513" t="s">
        <v>7338</v>
      </c>
      <c r="I513" t="s">
        <v>2806</v>
      </c>
    </row>
    <row r="514" spans="1:9" x14ac:dyDescent="0.25">
      <c r="A514" t="s">
        <v>222</v>
      </c>
      <c r="B514" t="s">
        <v>417</v>
      </c>
      <c r="C514" s="167">
        <v>1.21</v>
      </c>
      <c r="D514" t="s">
        <v>19</v>
      </c>
      <c r="E514" t="s">
        <v>2853</v>
      </c>
      <c r="F514" t="s">
        <v>7338</v>
      </c>
      <c r="G514" t="s">
        <v>7338</v>
      </c>
      <c r="I514" t="s">
        <v>2806</v>
      </c>
    </row>
    <row r="515" spans="1:9" x14ac:dyDescent="0.25">
      <c r="A515" t="s">
        <v>227</v>
      </c>
      <c r="B515" t="s">
        <v>421</v>
      </c>
      <c r="C515" s="167">
        <v>4.63</v>
      </c>
      <c r="D515" t="s">
        <v>7347</v>
      </c>
      <c r="E515" t="s">
        <v>2853</v>
      </c>
      <c r="F515" t="s">
        <v>7338</v>
      </c>
      <c r="G515" t="s">
        <v>7338</v>
      </c>
      <c r="H515">
        <v>97</v>
      </c>
      <c r="I515" t="s">
        <v>2807</v>
      </c>
    </row>
    <row r="516" spans="1:9" x14ac:dyDescent="0.25">
      <c r="A516" t="s">
        <v>228</v>
      </c>
      <c r="B516" t="s">
        <v>422</v>
      </c>
      <c r="C516" s="167">
        <v>4.5999999999999996</v>
      </c>
      <c r="D516" t="s">
        <v>7347</v>
      </c>
      <c r="E516" t="s">
        <v>2853</v>
      </c>
      <c r="F516" t="s">
        <v>7338</v>
      </c>
      <c r="G516" t="s">
        <v>7338</v>
      </c>
      <c r="H516">
        <v>97</v>
      </c>
      <c r="I516" t="s">
        <v>2807</v>
      </c>
    </row>
    <row r="517" spans="1:9" x14ac:dyDescent="0.25">
      <c r="A517" t="s">
        <v>229</v>
      </c>
      <c r="B517" t="s">
        <v>423</v>
      </c>
      <c r="C517" s="167">
        <v>2.11</v>
      </c>
      <c r="D517" t="s">
        <v>424</v>
      </c>
      <c r="E517" t="s">
        <v>2853</v>
      </c>
      <c r="F517" t="s">
        <v>7338</v>
      </c>
      <c r="G517" t="s">
        <v>7338</v>
      </c>
      <c r="H517">
        <v>97</v>
      </c>
      <c r="I517" t="s">
        <v>2807</v>
      </c>
    </row>
    <row r="518" spans="1:9" x14ac:dyDescent="0.25">
      <c r="A518" t="s">
        <v>230</v>
      </c>
      <c r="B518" t="s">
        <v>423</v>
      </c>
      <c r="C518" s="167">
        <v>2.2200000000000002</v>
      </c>
      <c r="D518" t="s">
        <v>59</v>
      </c>
      <c r="E518" t="s">
        <v>2853</v>
      </c>
      <c r="F518" t="s">
        <v>7338</v>
      </c>
      <c r="G518" t="s">
        <v>7338</v>
      </c>
      <c r="H518">
        <v>97</v>
      </c>
      <c r="I518" t="s">
        <v>2807</v>
      </c>
    </row>
    <row r="519" spans="1:9" x14ac:dyDescent="0.25">
      <c r="A519" t="s">
        <v>232</v>
      </c>
      <c r="B519" t="s">
        <v>423</v>
      </c>
      <c r="C519" s="167">
        <v>2.2200000000000002</v>
      </c>
      <c r="D519" t="s">
        <v>425</v>
      </c>
      <c r="E519" t="s">
        <v>2853</v>
      </c>
      <c r="F519" t="s">
        <v>7338</v>
      </c>
      <c r="G519" t="s">
        <v>7338</v>
      </c>
      <c r="H519">
        <v>97</v>
      </c>
      <c r="I519" t="s">
        <v>2807</v>
      </c>
    </row>
    <row r="520" spans="1:9" x14ac:dyDescent="0.25">
      <c r="A520" t="s">
        <v>234</v>
      </c>
      <c r="B520" t="s">
        <v>426</v>
      </c>
      <c r="C520" s="167">
        <v>2.25</v>
      </c>
      <c r="D520" t="s">
        <v>427</v>
      </c>
      <c r="E520" t="s">
        <v>2853</v>
      </c>
      <c r="F520" t="s">
        <v>7338</v>
      </c>
      <c r="G520" t="s">
        <v>7338</v>
      </c>
      <c r="H520">
        <v>97</v>
      </c>
      <c r="I520" t="s">
        <v>2807</v>
      </c>
    </row>
    <row r="521" spans="1:9" x14ac:dyDescent="0.25">
      <c r="A521" t="s">
        <v>236</v>
      </c>
      <c r="B521" t="s">
        <v>423</v>
      </c>
      <c r="C521" s="167">
        <v>2.25</v>
      </c>
      <c r="D521" t="s">
        <v>428</v>
      </c>
      <c r="E521" t="s">
        <v>2853</v>
      </c>
      <c r="F521" t="s">
        <v>7338</v>
      </c>
      <c r="G521" t="s">
        <v>7338</v>
      </c>
      <c r="H521">
        <v>97</v>
      </c>
      <c r="I521" t="s">
        <v>2807</v>
      </c>
    </row>
    <row r="522" spans="1:9" x14ac:dyDescent="0.25">
      <c r="A522" t="s">
        <v>238</v>
      </c>
      <c r="B522" t="s">
        <v>423</v>
      </c>
      <c r="C522" s="167">
        <v>2.2200000000000002</v>
      </c>
      <c r="D522" t="s">
        <v>429</v>
      </c>
      <c r="E522" t="s">
        <v>2853</v>
      </c>
      <c r="F522" t="s">
        <v>7338</v>
      </c>
      <c r="G522" t="s">
        <v>7338</v>
      </c>
      <c r="H522">
        <v>97</v>
      </c>
      <c r="I522" t="s">
        <v>2807</v>
      </c>
    </row>
    <row r="523" spans="1:9" x14ac:dyDescent="0.25">
      <c r="A523" t="s">
        <v>240</v>
      </c>
      <c r="B523" t="s">
        <v>423</v>
      </c>
      <c r="C523" s="167">
        <v>2.11</v>
      </c>
      <c r="D523" t="s">
        <v>60</v>
      </c>
      <c r="E523" t="s">
        <v>2853</v>
      </c>
      <c r="F523" t="s">
        <v>7338</v>
      </c>
      <c r="G523" t="s">
        <v>7338</v>
      </c>
      <c r="H523">
        <v>97</v>
      </c>
      <c r="I523" t="s">
        <v>2807</v>
      </c>
    </row>
    <row r="524" spans="1:9" x14ac:dyDescent="0.25">
      <c r="A524" t="s">
        <v>241</v>
      </c>
      <c r="B524" t="s">
        <v>7740</v>
      </c>
      <c r="C524" s="167">
        <v>0.54</v>
      </c>
      <c r="D524" t="s">
        <v>2853</v>
      </c>
      <c r="E524" t="s">
        <v>2853</v>
      </c>
      <c r="F524" t="s">
        <v>7338</v>
      </c>
      <c r="G524" t="s">
        <v>7338</v>
      </c>
      <c r="H524">
        <v>0.25</v>
      </c>
      <c r="I524" t="s">
        <v>2815</v>
      </c>
    </row>
    <row r="525" spans="1:9" x14ac:dyDescent="0.25">
      <c r="A525" t="s">
        <v>243</v>
      </c>
      <c r="B525" t="s">
        <v>355</v>
      </c>
      <c r="C525" s="167">
        <v>0.6</v>
      </c>
      <c r="D525" t="s">
        <v>2853</v>
      </c>
      <c r="E525" t="s">
        <v>2853</v>
      </c>
      <c r="F525" t="s">
        <v>7338</v>
      </c>
      <c r="G525" t="s">
        <v>7338</v>
      </c>
      <c r="H525">
        <v>0.1875</v>
      </c>
      <c r="I525" t="s">
        <v>2815</v>
      </c>
    </row>
    <row r="526" spans="1:9" x14ac:dyDescent="0.25">
      <c r="A526" t="s">
        <v>244</v>
      </c>
      <c r="B526" t="s">
        <v>2792</v>
      </c>
      <c r="C526" s="167">
        <v>0.14000000000000001</v>
      </c>
      <c r="D526" t="s">
        <v>5133</v>
      </c>
      <c r="E526" t="s">
        <v>2853</v>
      </c>
      <c r="F526" t="s">
        <v>7338</v>
      </c>
      <c r="G526" t="s">
        <v>7338</v>
      </c>
      <c r="H526">
        <v>2.5</v>
      </c>
      <c r="I526" t="s">
        <v>2815</v>
      </c>
    </row>
    <row r="527" spans="1:9" x14ac:dyDescent="0.25">
      <c r="A527" t="s">
        <v>245</v>
      </c>
      <c r="B527" t="s">
        <v>431</v>
      </c>
      <c r="C527" s="167">
        <v>0.23</v>
      </c>
      <c r="D527" t="s">
        <v>2853</v>
      </c>
      <c r="E527" t="s">
        <v>2853</v>
      </c>
      <c r="F527" t="s">
        <v>7338</v>
      </c>
      <c r="G527" t="s">
        <v>7338</v>
      </c>
      <c r="I527" t="s">
        <v>2815</v>
      </c>
    </row>
    <row r="528" spans="1:9" x14ac:dyDescent="0.25">
      <c r="A528" t="s">
        <v>248</v>
      </c>
      <c r="B528" t="s">
        <v>432</v>
      </c>
      <c r="C528" s="167">
        <v>1.05</v>
      </c>
      <c r="D528" t="s">
        <v>5133</v>
      </c>
      <c r="E528" t="s">
        <v>2853</v>
      </c>
      <c r="F528" t="s">
        <v>7338</v>
      </c>
      <c r="G528" t="s">
        <v>7338</v>
      </c>
      <c r="I528" t="s">
        <v>2808</v>
      </c>
    </row>
    <row r="529" spans="1:9" x14ac:dyDescent="0.25">
      <c r="A529" t="s">
        <v>250</v>
      </c>
      <c r="B529" t="s">
        <v>433</v>
      </c>
      <c r="C529" s="167">
        <v>1.05</v>
      </c>
      <c r="D529" t="s">
        <v>5133</v>
      </c>
      <c r="E529" t="s">
        <v>2853</v>
      </c>
      <c r="F529" t="s">
        <v>7338</v>
      </c>
      <c r="G529" t="s">
        <v>7338</v>
      </c>
      <c r="I529" t="s">
        <v>2808</v>
      </c>
    </row>
    <row r="530" spans="1:9" x14ac:dyDescent="0.25">
      <c r="A530" t="s">
        <v>253</v>
      </c>
      <c r="B530" t="s">
        <v>437</v>
      </c>
      <c r="C530" s="167">
        <v>0.19</v>
      </c>
      <c r="D530" t="s">
        <v>424</v>
      </c>
      <c r="E530" t="s">
        <v>2853</v>
      </c>
      <c r="F530" t="s">
        <v>7338</v>
      </c>
      <c r="G530" t="s">
        <v>7338</v>
      </c>
      <c r="I530" t="s">
        <v>2808</v>
      </c>
    </row>
    <row r="531" spans="1:9" x14ac:dyDescent="0.25">
      <c r="A531" t="s">
        <v>256</v>
      </c>
      <c r="B531" t="s">
        <v>437</v>
      </c>
      <c r="C531" s="167">
        <v>0.19</v>
      </c>
      <c r="D531" t="s">
        <v>59</v>
      </c>
      <c r="E531" t="s">
        <v>2853</v>
      </c>
      <c r="F531" t="s">
        <v>7338</v>
      </c>
      <c r="G531" t="s">
        <v>7338</v>
      </c>
      <c r="I531" t="s">
        <v>2808</v>
      </c>
    </row>
    <row r="532" spans="1:9" x14ac:dyDescent="0.25">
      <c r="A532" t="s">
        <v>259</v>
      </c>
      <c r="B532" t="s">
        <v>437</v>
      </c>
      <c r="C532" s="167">
        <v>0.19</v>
      </c>
      <c r="D532" t="s">
        <v>425</v>
      </c>
      <c r="E532" t="s">
        <v>2853</v>
      </c>
      <c r="F532" t="s">
        <v>7338</v>
      </c>
      <c r="G532" t="s">
        <v>7338</v>
      </c>
      <c r="I532" t="s">
        <v>2808</v>
      </c>
    </row>
    <row r="533" spans="1:9" x14ac:dyDescent="0.25">
      <c r="A533" t="s">
        <v>262</v>
      </c>
      <c r="B533" t="s">
        <v>437</v>
      </c>
      <c r="C533" s="167">
        <v>0.19</v>
      </c>
      <c r="D533" t="s">
        <v>438</v>
      </c>
      <c r="E533" t="s">
        <v>2853</v>
      </c>
      <c r="F533" t="s">
        <v>7338</v>
      </c>
      <c r="G533" t="s">
        <v>7338</v>
      </c>
      <c r="I533" t="s">
        <v>2808</v>
      </c>
    </row>
    <row r="534" spans="1:9" x14ac:dyDescent="0.25">
      <c r="A534" t="s">
        <v>265</v>
      </c>
      <c r="B534" t="s">
        <v>437</v>
      </c>
      <c r="C534" s="167">
        <v>0.19</v>
      </c>
      <c r="D534" t="s">
        <v>427</v>
      </c>
      <c r="E534" t="s">
        <v>2853</v>
      </c>
      <c r="F534" t="s">
        <v>7338</v>
      </c>
      <c r="G534" t="s">
        <v>7338</v>
      </c>
      <c r="I534" t="s">
        <v>2808</v>
      </c>
    </row>
    <row r="535" spans="1:9" x14ac:dyDescent="0.25">
      <c r="A535" t="s">
        <v>268</v>
      </c>
      <c r="B535" t="s">
        <v>437</v>
      </c>
      <c r="C535" s="167">
        <v>0.19</v>
      </c>
      <c r="D535" t="s">
        <v>428</v>
      </c>
      <c r="E535" t="s">
        <v>2853</v>
      </c>
      <c r="F535" t="s">
        <v>7338</v>
      </c>
      <c r="G535" t="s">
        <v>7338</v>
      </c>
      <c r="I535" t="s">
        <v>2808</v>
      </c>
    </row>
    <row r="536" spans="1:9" x14ac:dyDescent="0.25">
      <c r="A536" t="s">
        <v>271</v>
      </c>
      <c r="B536" t="s">
        <v>437</v>
      </c>
      <c r="C536" s="167">
        <v>0.19</v>
      </c>
      <c r="D536" t="s">
        <v>439</v>
      </c>
      <c r="E536" t="s">
        <v>2853</v>
      </c>
      <c r="F536" t="s">
        <v>7338</v>
      </c>
      <c r="G536" t="s">
        <v>7338</v>
      </c>
      <c r="I536" t="s">
        <v>2808</v>
      </c>
    </row>
    <row r="537" spans="1:9" x14ac:dyDescent="0.25">
      <c r="A537" t="s">
        <v>274</v>
      </c>
      <c r="B537" t="s">
        <v>437</v>
      </c>
      <c r="C537" s="167">
        <v>0.19</v>
      </c>
      <c r="D537" t="s">
        <v>429</v>
      </c>
      <c r="E537" t="s">
        <v>2853</v>
      </c>
      <c r="F537" t="s">
        <v>7338</v>
      </c>
      <c r="G537" t="s">
        <v>7338</v>
      </c>
      <c r="I537" t="s">
        <v>2808</v>
      </c>
    </row>
    <row r="538" spans="1:9" x14ac:dyDescent="0.25">
      <c r="A538" t="s">
        <v>276</v>
      </c>
      <c r="B538" t="s">
        <v>437</v>
      </c>
      <c r="C538" s="167">
        <v>0.19</v>
      </c>
      <c r="D538" t="s">
        <v>60</v>
      </c>
      <c r="E538" t="s">
        <v>2853</v>
      </c>
      <c r="F538" t="s">
        <v>7338</v>
      </c>
      <c r="G538" t="s">
        <v>7338</v>
      </c>
      <c r="I538" t="s">
        <v>2808</v>
      </c>
    </row>
    <row r="539" spans="1:9" x14ac:dyDescent="0.25">
      <c r="A539" t="s">
        <v>277</v>
      </c>
      <c r="B539" t="s">
        <v>440</v>
      </c>
      <c r="C539" s="167">
        <v>0.19</v>
      </c>
      <c r="D539" t="s">
        <v>424</v>
      </c>
      <c r="E539" t="s">
        <v>2853</v>
      </c>
      <c r="F539" t="s">
        <v>7338</v>
      </c>
      <c r="G539" t="s">
        <v>7338</v>
      </c>
      <c r="I539" t="s">
        <v>2808</v>
      </c>
    </row>
    <row r="540" spans="1:9" x14ac:dyDescent="0.25">
      <c r="A540" t="s">
        <v>280</v>
      </c>
      <c r="B540" t="s">
        <v>440</v>
      </c>
      <c r="C540" s="167">
        <v>0.19</v>
      </c>
      <c r="D540" t="s">
        <v>59</v>
      </c>
      <c r="E540" t="s">
        <v>2853</v>
      </c>
      <c r="F540" t="s">
        <v>7338</v>
      </c>
      <c r="G540" t="s">
        <v>7338</v>
      </c>
      <c r="I540" t="s">
        <v>2808</v>
      </c>
    </row>
    <row r="541" spans="1:9" x14ac:dyDescent="0.25">
      <c r="A541" t="s">
        <v>282</v>
      </c>
      <c r="B541" t="s">
        <v>440</v>
      </c>
      <c r="C541" s="167">
        <v>0.19</v>
      </c>
      <c r="D541" t="s">
        <v>425</v>
      </c>
      <c r="E541" t="s">
        <v>2853</v>
      </c>
      <c r="F541" t="s">
        <v>7338</v>
      </c>
      <c r="G541" t="s">
        <v>7338</v>
      </c>
      <c r="I541" t="s">
        <v>2808</v>
      </c>
    </row>
    <row r="542" spans="1:9" x14ac:dyDescent="0.25">
      <c r="A542" t="s">
        <v>283</v>
      </c>
      <c r="B542" t="s">
        <v>440</v>
      </c>
      <c r="C542" s="167">
        <v>0.19</v>
      </c>
      <c r="D542" t="s">
        <v>438</v>
      </c>
      <c r="E542" t="s">
        <v>2853</v>
      </c>
      <c r="F542" t="s">
        <v>7338</v>
      </c>
      <c r="G542" t="s">
        <v>7338</v>
      </c>
      <c r="I542" t="s">
        <v>2808</v>
      </c>
    </row>
    <row r="543" spans="1:9" x14ac:dyDescent="0.25">
      <c r="A543" t="s">
        <v>286</v>
      </c>
      <c r="B543" t="s">
        <v>440</v>
      </c>
      <c r="C543" s="167">
        <v>0.19</v>
      </c>
      <c r="D543" t="s">
        <v>427</v>
      </c>
      <c r="E543" t="s">
        <v>2853</v>
      </c>
      <c r="F543" t="s">
        <v>7338</v>
      </c>
      <c r="G543" t="s">
        <v>7338</v>
      </c>
      <c r="I543" t="s">
        <v>2808</v>
      </c>
    </row>
    <row r="544" spans="1:9" x14ac:dyDescent="0.25">
      <c r="A544" t="s">
        <v>289</v>
      </c>
      <c r="B544" t="s">
        <v>440</v>
      </c>
      <c r="C544" s="167">
        <v>0.19</v>
      </c>
      <c r="D544" t="s">
        <v>428</v>
      </c>
      <c r="E544" t="s">
        <v>2853</v>
      </c>
      <c r="F544" t="s">
        <v>7338</v>
      </c>
      <c r="G544" t="s">
        <v>7338</v>
      </c>
      <c r="I544" t="s">
        <v>2808</v>
      </c>
    </row>
    <row r="545" spans="1:9" x14ac:dyDescent="0.25">
      <c r="A545" t="s">
        <v>292</v>
      </c>
      <c r="B545" t="s">
        <v>440</v>
      </c>
      <c r="C545" s="167">
        <v>0.19</v>
      </c>
      <c r="D545" t="s">
        <v>439</v>
      </c>
      <c r="E545" t="s">
        <v>2853</v>
      </c>
      <c r="F545" t="s">
        <v>7338</v>
      </c>
      <c r="G545" t="s">
        <v>7338</v>
      </c>
      <c r="I545" t="s">
        <v>2808</v>
      </c>
    </row>
    <row r="546" spans="1:9" x14ac:dyDescent="0.25">
      <c r="A546" t="s">
        <v>295</v>
      </c>
      <c r="B546" t="s">
        <v>440</v>
      </c>
      <c r="C546" s="167">
        <v>0.19</v>
      </c>
      <c r="D546" t="s">
        <v>429</v>
      </c>
      <c r="E546" t="s">
        <v>2853</v>
      </c>
      <c r="F546" t="s">
        <v>7338</v>
      </c>
      <c r="G546" t="s">
        <v>7338</v>
      </c>
      <c r="I546" t="s">
        <v>2808</v>
      </c>
    </row>
    <row r="547" spans="1:9" x14ac:dyDescent="0.25">
      <c r="A547" t="s">
        <v>298</v>
      </c>
      <c r="B547" t="s">
        <v>440</v>
      </c>
      <c r="C547" s="167">
        <v>0.19</v>
      </c>
      <c r="D547" t="s">
        <v>60</v>
      </c>
      <c r="E547" t="s">
        <v>2853</v>
      </c>
      <c r="F547" t="s">
        <v>7338</v>
      </c>
      <c r="G547" t="s">
        <v>7338</v>
      </c>
      <c r="I547" t="s">
        <v>2808</v>
      </c>
    </row>
    <row r="548" spans="1:9" x14ac:dyDescent="0.25">
      <c r="A548" t="s">
        <v>301</v>
      </c>
      <c r="B548" t="s">
        <v>434</v>
      </c>
      <c r="C548" s="167">
        <v>0.04</v>
      </c>
      <c r="D548" t="s">
        <v>5133</v>
      </c>
      <c r="E548" t="s">
        <v>2853</v>
      </c>
      <c r="F548" t="s">
        <v>7338</v>
      </c>
      <c r="G548" t="s">
        <v>7338</v>
      </c>
      <c r="I548" t="s">
        <v>2815</v>
      </c>
    </row>
    <row r="549" spans="1:9" x14ac:dyDescent="0.25">
      <c r="A549" t="s">
        <v>304</v>
      </c>
      <c r="B549" t="s">
        <v>435</v>
      </c>
      <c r="C549" s="167">
        <v>0.01</v>
      </c>
      <c r="D549" t="s">
        <v>5133</v>
      </c>
      <c r="E549" t="s">
        <v>2853</v>
      </c>
      <c r="F549" t="s">
        <v>7338</v>
      </c>
      <c r="G549" t="s">
        <v>7338</v>
      </c>
      <c r="I549" t="s">
        <v>2815</v>
      </c>
    </row>
    <row r="550" spans="1:9" x14ac:dyDescent="0.25">
      <c r="A550" t="s">
        <v>305</v>
      </c>
      <c r="B550" t="s">
        <v>436</v>
      </c>
      <c r="C550" s="167">
        <v>0.03</v>
      </c>
      <c r="D550" t="s">
        <v>5133</v>
      </c>
      <c r="E550" t="s">
        <v>2853</v>
      </c>
      <c r="F550" t="s">
        <v>7338</v>
      </c>
      <c r="G550" t="s">
        <v>7338</v>
      </c>
      <c r="I550" t="s">
        <v>2815</v>
      </c>
    </row>
    <row r="551" spans="1:9" x14ac:dyDescent="0.25">
      <c r="A551" t="s">
        <v>315</v>
      </c>
      <c r="B551" t="s">
        <v>441</v>
      </c>
      <c r="C551" s="167">
        <v>1.4</v>
      </c>
      <c r="D551" t="s">
        <v>424</v>
      </c>
      <c r="E551" t="s">
        <v>2853</v>
      </c>
      <c r="F551" t="s">
        <v>7338</v>
      </c>
      <c r="G551" t="s">
        <v>7338</v>
      </c>
      <c r="I551" t="s">
        <v>2804</v>
      </c>
    </row>
    <row r="552" spans="1:9" x14ac:dyDescent="0.25">
      <c r="A552" t="s">
        <v>318</v>
      </c>
      <c r="B552" t="s">
        <v>441</v>
      </c>
      <c r="C552" s="167">
        <v>1.4</v>
      </c>
      <c r="D552" t="s">
        <v>59</v>
      </c>
      <c r="E552" t="s">
        <v>2853</v>
      </c>
      <c r="F552" t="s">
        <v>7338</v>
      </c>
      <c r="G552" t="s">
        <v>7338</v>
      </c>
      <c r="I552" t="s">
        <v>2804</v>
      </c>
    </row>
    <row r="553" spans="1:9" x14ac:dyDescent="0.25">
      <c r="A553" t="s">
        <v>321</v>
      </c>
      <c r="B553" t="s">
        <v>441</v>
      </c>
      <c r="C553" s="167">
        <v>1.48</v>
      </c>
      <c r="D553" t="s">
        <v>425</v>
      </c>
      <c r="E553" t="s">
        <v>2853</v>
      </c>
      <c r="F553" t="s">
        <v>7338</v>
      </c>
      <c r="G553" t="s">
        <v>7338</v>
      </c>
      <c r="I553" t="s">
        <v>2804</v>
      </c>
    </row>
    <row r="554" spans="1:9" x14ac:dyDescent="0.25">
      <c r="A554" t="s">
        <v>325</v>
      </c>
      <c r="B554" t="s">
        <v>441</v>
      </c>
      <c r="C554" s="167">
        <v>1.4</v>
      </c>
      <c r="D554" t="s">
        <v>438</v>
      </c>
      <c r="E554" t="s">
        <v>2853</v>
      </c>
      <c r="F554" t="s">
        <v>7338</v>
      </c>
      <c r="G554" t="s">
        <v>7338</v>
      </c>
      <c r="I554" t="s">
        <v>2804</v>
      </c>
    </row>
    <row r="555" spans="1:9" x14ac:dyDescent="0.25">
      <c r="A555" t="s">
        <v>328</v>
      </c>
      <c r="B555" t="s">
        <v>441</v>
      </c>
      <c r="C555" s="167">
        <v>1.4</v>
      </c>
      <c r="D555" t="s">
        <v>427</v>
      </c>
      <c r="E555" t="s">
        <v>2853</v>
      </c>
      <c r="F555" t="s">
        <v>7338</v>
      </c>
      <c r="G555" t="s">
        <v>7338</v>
      </c>
      <c r="I555" t="s">
        <v>2804</v>
      </c>
    </row>
    <row r="556" spans="1:9" x14ac:dyDescent="0.25">
      <c r="A556" t="s">
        <v>330</v>
      </c>
      <c r="B556" t="s">
        <v>441</v>
      </c>
      <c r="C556" s="167">
        <v>1.48</v>
      </c>
      <c r="D556" t="s">
        <v>428</v>
      </c>
      <c r="E556" t="s">
        <v>2853</v>
      </c>
      <c r="F556" t="s">
        <v>7338</v>
      </c>
      <c r="G556" t="s">
        <v>7338</v>
      </c>
      <c r="I556" t="s">
        <v>2804</v>
      </c>
    </row>
    <row r="557" spans="1:9" x14ac:dyDescent="0.25">
      <c r="A557" t="s">
        <v>333</v>
      </c>
      <c r="B557" t="s">
        <v>441</v>
      </c>
      <c r="C557" s="167">
        <v>1.48</v>
      </c>
      <c r="D557" t="s">
        <v>439</v>
      </c>
      <c r="E557" t="s">
        <v>2853</v>
      </c>
      <c r="F557" t="s">
        <v>7338</v>
      </c>
      <c r="G557" t="s">
        <v>7338</v>
      </c>
      <c r="I557" t="s">
        <v>2804</v>
      </c>
    </row>
    <row r="558" spans="1:9" x14ac:dyDescent="0.25">
      <c r="A558" t="s">
        <v>335</v>
      </c>
      <c r="B558" t="s">
        <v>441</v>
      </c>
      <c r="C558" s="167">
        <v>1.48</v>
      </c>
      <c r="D558" t="s">
        <v>429</v>
      </c>
      <c r="E558" t="s">
        <v>2853</v>
      </c>
      <c r="F558" t="s">
        <v>7338</v>
      </c>
      <c r="G558" t="s">
        <v>7338</v>
      </c>
      <c r="I558" t="s">
        <v>2804</v>
      </c>
    </row>
    <row r="559" spans="1:9" x14ac:dyDescent="0.25">
      <c r="A559" t="s">
        <v>338</v>
      </c>
      <c r="B559" t="s">
        <v>441</v>
      </c>
      <c r="C559" s="167">
        <v>1.4</v>
      </c>
      <c r="D559" t="s">
        <v>60</v>
      </c>
      <c r="E559" t="s">
        <v>2853</v>
      </c>
      <c r="F559" t="s">
        <v>7338</v>
      </c>
      <c r="G559" t="s">
        <v>7338</v>
      </c>
      <c r="I559" t="s">
        <v>2804</v>
      </c>
    </row>
    <row r="560" spans="1:9" x14ac:dyDescent="0.25">
      <c r="A560" t="s">
        <v>341</v>
      </c>
      <c r="B560" t="s">
        <v>442</v>
      </c>
      <c r="C560" s="167">
        <v>2</v>
      </c>
      <c r="D560" t="s">
        <v>424</v>
      </c>
      <c r="E560" t="s">
        <v>2853</v>
      </c>
      <c r="F560" t="s">
        <v>7338</v>
      </c>
      <c r="G560" t="s">
        <v>7338</v>
      </c>
      <c r="I560" t="s">
        <v>2804</v>
      </c>
    </row>
    <row r="561" spans="1:9" x14ac:dyDescent="0.25">
      <c r="A561" t="s">
        <v>344</v>
      </c>
      <c r="B561" t="s">
        <v>442</v>
      </c>
      <c r="C561" s="167">
        <v>2</v>
      </c>
      <c r="D561" t="s">
        <v>59</v>
      </c>
      <c r="E561" t="s">
        <v>2853</v>
      </c>
      <c r="F561" t="s">
        <v>7338</v>
      </c>
      <c r="G561" t="s">
        <v>7338</v>
      </c>
      <c r="I561" t="s">
        <v>2804</v>
      </c>
    </row>
    <row r="562" spans="1:9" x14ac:dyDescent="0.25">
      <c r="A562" t="s">
        <v>347</v>
      </c>
      <c r="B562" t="s">
        <v>442</v>
      </c>
      <c r="C562" s="167">
        <v>2.12</v>
      </c>
      <c r="D562" t="s">
        <v>425</v>
      </c>
      <c r="E562" t="s">
        <v>2853</v>
      </c>
      <c r="F562" t="s">
        <v>7338</v>
      </c>
      <c r="G562" t="s">
        <v>7338</v>
      </c>
      <c r="I562" t="s">
        <v>2804</v>
      </c>
    </row>
    <row r="563" spans="1:9" x14ac:dyDescent="0.25">
      <c r="A563" t="s">
        <v>350</v>
      </c>
      <c r="B563" t="s">
        <v>442</v>
      </c>
      <c r="C563" s="167">
        <v>2</v>
      </c>
      <c r="D563" t="s">
        <v>438</v>
      </c>
      <c r="E563" t="s">
        <v>2853</v>
      </c>
      <c r="F563" t="s">
        <v>7338</v>
      </c>
      <c r="G563" t="s">
        <v>7338</v>
      </c>
      <c r="I563" t="s">
        <v>2804</v>
      </c>
    </row>
    <row r="564" spans="1:9" x14ac:dyDescent="0.25">
      <c r="A564" t="s">
        <v>353</v>
      </c>
      <c r="B564" t="s">
        <v>442</v>
      </c>
      <c r="C564" s="167">
        <v>2</v>
      </c>
      <c r="D564" t="s">
        <v>427</v>
      </c>
      <c r="E564" t="s">
        <v>2853</v>
      </c>
      <c r="F564" t="s">
        <v>7338</v>
      </c>
      <c r="G564" t="s">
        <v>7338</v>
      </c>
      <c r="I564" t="s">
        <v>2804</v>
      </c>
    </row>
    <row r="565" spans="1:9" x14ac:dyDescent="0.25">
      <c r="A565" t="s">
        <v>354</v>
      </c>
      <c r="B565" t="s">
        <v>442</v>
      </c>
      <c r="C565" s="167">
        <v>2.12</v>
      </c>
      <c r="D565" t="s">
        <v>428</v>
      </c>
      <c r="E565" t="s">
        <v>2853</v>
      </c>
      <c r="F565" t="s">
        <v>7338</v>
      </c>
      <c r="G565" t="s">
        <v>7338</v>
      </c>
      <c r="I565" t="s">
        <v>2804</v>
      </c>
    </row>
    <row r="566" spans="1:9" x14ac:dyDescent="0.25">
      <c r="A566" t="s">
        <v>356</v>
      </c>
      <c r="B566" t="s">
        <v>442</v>
      </c>
      <c r="C566" s="167">
        <v>2.12</v>
      </c>
      <c r="D566" t="s">
        <v>439</v>
      </c>
      <c r="E566" t="s">
        <v>2853</v>
      </c>
      <c r="F566" t="s">
        <v>7338</v>
      </c>
      <c r="G566" t="s">
        <v>7338</v>
      </c>
      <c r="I566" t="s">
        <v>2804</v>
      </c>
    </row>
    <row r="567" spans="1:9" x14ac:dyDescent="0.25">
      <c r="A567" t="s">
        <v>359</v>
      </c>
      <c r="B567" t="s">
        <v>442</v>
      </c>
      <c r="C567" s="167">
        <v>2.12</v>
      </c>
      <c r="D567" t="s">
        <v>429</v>
      </c>
      <c r="E567" t="s">
        <v>2853</v>
      </c>
      <c r="F567" t="s">
        <v>7338</v>
      </c>
      <c r="G567" t="s">
        <v>7338</v>
      </c>
      <c r="I567" t="s">
        <v>2804</v>
      </c>
    </row>
    <row r="568" spans="1:9" x14ac:dyDescent="0.25">
      <c r="A568" t="s">
        <v>360</v>
      </c>
      <c r="B568" t="s">
        <v>442</v>
      </c>
      <c r="C568" s="167">
        <v>2</v>
      </c>
      <c r="D568" t="s">
        <v>60</v>
      </c>
      <c r="E568" t="s">
        <v>2853</v>
      </c>
      <c r="F568" t="s">
        <v>7338</v>
      </c>
      <c r="G568" t="s">
        <v>7338</v>
      </c>
      <c r="I568" t="s">
        <v>2804</v>
      </c>
    </row>
    <row r="569" spans="1:9" x14ac:dyDescent="0.25">
      <c r="A569" t="s">
        <v>361</v>
      </c>
      <c r="B569" t="s">
        <v>443</v>
      </c>
      <c r="C569" s="167">
        <v>2.42</v>
      </c>
      <c r="D569" t="s">
        <v>424</v>
      </c>
      <c r="E569" t="s">
        <v>2853</v>
      </c>
      <c r="F569" t="s">
        <v>7338</v>
      </c>
      <c r="G569" t="s">
        <v>7338</v>
      </c>
      <c r="I569" t="s">
        <v>2804</v>
      </c>
    </row>
    <row r="570" spans="1:9" x14ac:dyDescent="0.25">
      <c r="A570" t="s">
        <v>363</v>
      </c>
      <c r="B570" t="s">
        <v>443</v>
      </c>
      <c r="C570" s="167">
        <v>2.42</v>
      </c>
      <c r="D570" t="s">
        <v>59</v>
      </c>
      <c r="E570" t="s">
        <v>2853</v>
      </c>
      <c r="F570" t="s">
        <v>7338</v>
      </c>
      <c r="G570" t="s">
        <v>7338</v>
      </c>
      <c r="I570" t="s">
        <v>2804</v>
      </c>
    </row>
    <row r="571" spans="1:9" x14ac:dyDescent="0.25">
      <c r="A571" t="s">
        <v>364</v>
      </c>
      <c r="B571" t="s">
        <v>443</v>
      </c>
      <c r="C571" s="167">
        <v>2.5499999999999998</v>
      </c>
      <c r="D571" t="s">
        <v>425</v>
      </c>
      <c r="E571" t="s">
        <v>2853</v>
      </c>
      <c r="F571" t="s">
        <v>7338</v>
      </c>
      <c r="G571" t="s">
        <v>7338</v>
      </c>
      <c r="I571" t="s">
        <v>2804</v>
      </c>
    </row>
    <row r="572" spans="1:9" x14ac:dyDescent="0.25">
      <c r="A572" t="s">
        <v>366</v>
      </c>
      <c r="B572" t="s">
        <v>443</v>
      </c>
      <c r="C572" s="167">
        <v>2.42</v>
      </c>
      <c r="D572" t="s">
        <v>438</v>
      </c>
      <c r="E572" t="s">
        <v>2853</v>
      </c>
      <c r="F572" t="s">
        <v>7338</v>
      </c>
      <c r="G572" t="s">
        <v>7338</v>
      </c>
      <c r="I572" t="s">
        <v>2804</v>
      </c>
    </row>
    <row r="573" spans="1:9" x14ac:dyDescent="0.25">
      <c r="A573" t="s">
        <v>367</v>
      </c>
      <c r="B573" t="s">
        <v>443</v>
      </c>
      <c r="C573" s="167">
        <v>2.42</v>
      </c>
      <c r="D573" t="s">
        <v>427</v>
      </c>
      <c r="E573" t="s">
        <v>2853</v>
      </c>
      <c r="F573" t="s">
        <v>7338</v>
      </c>
      <c r="G573" t="s">
        <v>7338</v>
      </c>
      <c r="I573" t="s">
        <v>2804</v>
      </c>
    </row>
    <row r="574" spans="1:9" x14ac:dyDescent="0.25">
      <c r="A574" t="s">
        <v>369</v>
      </c>
      <c r="B574" t="s">
        <v>443</v>
      </c>
      <c r="C574" s="167">
        <v>2.5499999999999998</v>
      </c>
      <c r="D574" t="s">
        <v>428</v>
      </c>
      <c r="E574" t="s">
        <v>2853</v>
      </c>
      <c r="F574" t="s">
        <v>7338</v>
      </c>
      <c r="G574" t="s">
        <v>7338</v>
      </c>
      <c r="I574" t="s">
        <v>2804</v>
      </c>
    </row>
    <row r="575" spans="1:9" x14ac:dyDescent="0.25">
      <c r="A575" t="s">
        <v>370</v>
      </c>
      <c r="B575" t="s">
        <v>443</v>
      </c>
      <c r="C575" s="167">
        <v>2.5499999999999998</v>
      </c>
      <c r="D575" t="s">
        <v>439</v>
      </c>
      <c r="E575" t="s">
        <v>2853</v>
      </c>
      <c r="F575" t="s">
        <v>7338</v>
      </c>
      <c r="G575" t="s">
        <v>7338</v>
      </c>
      <c r="I575" t="s">
        <v>2804</v>
      </c>
    </row>
    <row r="576" spans="1:9" x14ac:dyDescent="0.25">
      <c r="A576" t="s">
        <v>372</v>
      </c>
      <c r="B576" t="s">
        <v>443</v>
      </c>
      <c r="C576" s="167">
        <v>2.5499999999999998</v>
      </c>
      <c r="D576" t="s">
        <v>429</v>
      </c>
      <c r="E576" t="s">
        <v>2853</v>
      </c>
      <c r="F576" t="s">
        <v>7338</v>
      </c>
      <c r="G576" t="s">
        <v>7338</v>
      </c>
      <c r="I576" t="s">
        <v>2804</v>
      </c>
    </row>
    <row r="577" spans="1:9" x14ac:dyDescent="0.25">
      <c r="A577" t="s">
        <v>373</v>
      </c>
      <c r="B577" t="s">
        <v>443</v>
      </c>
      <c r="C577" s="167">
        <v>2.42</v>
      </c>
      <c r="D577" t="s">
        <v>60</v>
      </c>
      <c r="E577" t="s">
        <v>2853</v>
      </c>
      <c r="F577" t="s">
        <v>7338</v>
      </c>
      <c r="G577" t="s">
        <v>7338</v>
      </c>
      <c r="I577" t="s">
        <v>2804</v>
      </c>
    </row>
    <row r="578" spans="1:9" x14ac:dyDescent="0.25">
      <c r="A578" t="s">
        <v>375</v>
      </c>
      <c r="B578" t="s">
        <v>444</v>
      </c>
      <c r="C578" s="167">
        <v>1.07</v>
      </c>
      <c r="D578" t="s">
        <v>424</v>
      </c>
      <c r="E578" t="s">
        <v>2853</v>
      </c>
      <c r="F578" t="s">
        <v>7338</v>
      </c>
      <c r="G578" t="s">
        <v>7338</v>
      </c>
      <c r="I578" t="s">
        <v>2804</v>
      </c>
    </row>
    <row r="579" spans="1:9" x14ac:dyDescent="0.25">
      <c r="A579" t="s">
        <v>376</v>
      </c>
      <c r="B579" t="s">
        <v>444</v>
      </c>
      <c r="C579" s="167">
        <v>1.07</v>
      </c>
      <c r="D579" t="s">
        <v>59</v>
      </c>
      <c r="E579" t="s">
        <v>2853</v>
      </c>
      <c r="F579" t="s">
        <v>7338</v>
      </c>
      <c r="G579" t="s">
        <v>7338</v>
      </c>
      <c r="I579" t="s">
        <v>2804</v>
      </c>
    </row>
    <row r="580" spans="1:9" x14ac:dyDescent="0.25">
      <c r="A580" t="s">
        <v>378</v>
      </c>
      <c r="B580" t="s">
        <v>444</v>
      </c>
      <c r="C580" s="167">
        <v>1.1200000000000001</v>
      </c>
      <c r="D580" t="s">
        <v>425</v>
      </c>
      <c r="E580" t="s">
        <v>2853</v>
      </c>
      <c r="F580" t="s">
        <v>7338</v>
      </c>
      <c r="G580" t="s">
        <v>7338</v>
      </c>
      <c r="I580" t="s">
        <v>2804</v>
      </c>
    </row>
    <row r="581" spans="1:9" x14ac:dyDescent="0.25">
      <c r="A581" t="s">
        <v>379</v>
      </c>
      <c r="B581" t="s">
        <v>444</v>
      </c>
      <c r="C581" s="167">
        <v>1.07</v>
      </c>
      <c r="D581" t="s">
        <v>438</v>
      </c>
      <c r="E581" t="s">
        <v>2853</v>
      </c>
      <c r="F581" t="s">
        <v>7338</v>
      </c>
      <c r="G581" t="s">
        <v>7338</v>
      </c>
      <c r="I581" t="s">
        <v>2804</v>
      </c>
    </row>
    <row r="582" spans="1:9" x14ac:dyDescent="0.25">
      <c r="A582" t="s">
        <v>380</v>
      </c>
      <c r="B582" t="s">
        <v>444</v>
      </c>
      <c r="C582" s="167">
        <v>1.07</v>
      </c>
      <c r="D582" t="s">
        <v>427</v>
      </c>
      <c r="E582" t="s">
        <v>2853</v>
      </c>
      <c r="F582" t="s">
        <v>7338</v>
      </c>
      <c r="G582" t="s">
        <v>7338</v>
      </c>
      <c r="I582" t="s">
        <v>2804</v>
      </c>
    </row>
    <row r="583" spans="1:9" x14ac:dyDescent="0.25">
      <c r="A583" t="s">
        <v>382</v>
      </c>
      <c r="B583" t="s">
        <v>444</v>
      </c>
      <c r="C583" s="167">
        <v>1.1200000000000001</v>
      </c>
      <c r="D583" t="s">
        <v>428</v>
      </c>
      <c r="E583" t="s">
        <v>2853</v>
      </c>
      <c r="F583" t="s">
        <v>7338</v>
      </c>
      <c r="G583" t="s">
        <v>7338</v>
      </c>
      <c r="I583" t="s">
        <v>2804</v>
      </c>
    </row>
    <row r="584" spans="1:9" x14ac:dyDescent="0.25">
      <c r="A584" t="s">
        <v>384</v>
      </c>
      <c r="B584" t="s">
        <v>444</v>
      </c>
      <c r="C584" s="167">
        <v>1.1200000000000001</v>
      </c>
      <c r="D584" t="s">
        <v>439</v>
      </c>
      <c r="E584" t="s">
        <v>2853</v>
      </c>
      <c r="F584" t="s">
        <v>7338</v>
      </c>
      <c r="G584" t="s">
        <v>7338</v>
      </c>
      <c r="I584" t="s">
        <v>2804</v>
      </c>
    </row>
    <row r="585" spans="1:9" x14ac:dyDescent="0.25">
      <c r="A585" t="s">
        <v>386</v>
      </c>
      <c r="B585" t="s">
        <v>444</v>
      </c>
      <c r="C585" s="167">
        <v>1.1200000000000001</v>
      </c>
      <c r="D585" t="s">
        <v>429</v>
      </c>
      <c r="E585" t="s">
        <v>2853</v>
      </c>
      <c r="F585" t="s">
        <v>7338</v>
      </c>
      <c r="G585" t="s">
        <v>7338</v>
      </c>
      <c r="I585" t="s">
        <v>2804</v>
      </c>
    </row>
    <row r="586" spans="1:9" x14ac:dyDescent="0.25">
      <c r="A586" t="s">
        <v>388</v>
      </c>
      <c r="B586" t="s">
        <v>444</v>
      </c>
      <c r="C586" s="167">
        <v>1.07</v>
      </c>
      <c r="D586" t="s">
        <v>60</v>
      </c>
      <c r="E586" t="s">
        <v>2853</v>
      </c>
      <c r="F586" t="s">
        <v>7338</v>
      </c>
      <c r="G586" t="s">
        <v>7338</v>
      </c>
      <c r="I586" t="s">
        <v>2804</v>
      </c>
    </row>
    <row r="587" spans="1:9" x14ac:dyDescent="0.25">
      <c r="A587" t="s">
        <v>391</v>
      </c>
      <c r="B587" t="s">
        <v>449</v>
      </c>
      <c r="C587" s="167">
        <v>0.16</v>
      </c>
      <c r="D587" t="s">
        <v>5133</v>
      </c>
      <c r="E587" t="s">
        <v>2853</v>
      </c>
      <c r="F587" t="s">
        <v>7338</v>
      </c>
      <c r="G587" t="s">
        <v>7338</v>
      </c>
      <c r="I587" t="s">
        <v>2804</v>
      </c>
    </row>
    <row r="588" spans="1:9" x14ac:dyDescent="0.25">
      <c r="A588" t="s">
        <v>393</v>
      </c>
      <c r="B588" t="s">
        <v>445</v>
      </c>
      <c r="C588" s="167">
        <v>0.14000000000000001</v>
      </c>
      <c r="D588" t="s">
        <v>424</v>
      </c>
      <c r="E588" t="s">
        <v>2853</v>
      </c>
      <c r="F588" t="s">
        <v>7338</v>
      </c>
      <c r="G588" t="s">
        <v>7338</v>
      </c>
      <c r="I588" t="s">
        <v>2804</v>
      </c>
    </row>
    <row r="589" spans="1:9" x14ac:dyDescent="0.25">
      <c r="A589" t="s">
        <v>394</v>
      </c>
      <c r="B589" t="s">
        <v>445</v>
      </c>
      <c r="C589" s="167">
        <v>0.14000000000000001</v>
      </c>
      <c r="D589" t="s">
        <v>59</v>
      </c>
      <c r="E589" t="s">
        <v>2853</v>
      </c>
      <c r="F589" t="s">
        <v>7338</v>
      </c>
      <c r="G589" t="s">
        <v>7338</v>
      </c>
      <c r="I589" t="s">
        <v>2804</v>
      </c>
    </row>
    <row r="590" spans="1:9" x14ac:dyDescent="0.25">
      <c r="A590" t="s">
        <v>396</v>
      </c>
      <c r="B590" t="s">
        <v>445</v>
      </c>
      <c r="C590" s="167">
        <v>0.14000000000000001</v>
      </c>
      <c r="D590" t="s">
        <v>425</v>
      </c>
      <c r="E590" t="s">
        <v>2853</v>
      </c>
      <c r="F590" t="s">
        <v>7338</v>
      </c>
      <c r="G590" t="s">
        <v>7338</v>
      </c>
      <c r="I590" t="s">
        <v>2804</v>
      </c>
    </row>
    <row r="591" spans="1:9" x14ac:dyDescent="0.25">
      <c r="A591" t="s">
        <v>397</v>
      </c>
      <c r="B591" t="s">
        <v>445</v>
      </c>
      <c r="C591" s="167">
        <v>0.14000000000000001</v>
      </c>
      <c r="D591" t="s">
        <v>438</v>
      </c>
      <c r="E591" t="s">
        <v>2853</v>
      </c>
      <c r="F591" t="s">
        <v>7338</v>
      </c>
      <c r="G591" t="s">
        <v>7338</v>
      </c>
      <c r="I591" t="s">
        <v>2804</v>
      </c>
    </row>
    <row r="592" spans="1:9" x14ac:dyDescent="0.25">
      <c r="A592" t="s">
        <v>398</v>
      </c>
      <c r="B592" t="s">
        <v>445</v>
      </c>
      <c r="C592" s="167">
        <v>0.14000000000000001</v>
      </c>
      <c r="D592" t="s">
        <v>427</v>
      </c>
      <c r="E592" t="s">
        <v>2853</v>
      </c>
      <c r="F592" t="s">
        <v>7338</v>
      </c>
      <c r="G592" t="s">
        <v>7338</v>
      </c>
      <c r="I592" t="s">
        <v>2804</v>
      </c>
    </row>
    <row r="593" spans="1:10" x14ac:dyDescent="0.25">
      <c r="A593" t="s">
        <v>399</v>
      </c>
      <c r="B593" t="s">
        <v>445</v>
      </c>
      <c r="C593" s="167">
        <v>0.14000000000000001</v>
      </c>
      <c r="D593" t="s">
        <v>428</v>
      </c>
      <c r="E593" t="s">
        <v>2853</v>
      </c>
      <c r="F593" t="s">
        <v>7338</v>
      </c>
      <c r="G593" t="s">
        <v>7338</v>
      </c>
      <c r="I593" t="s">
        <v>2804</v>
      </c>
    </row>
    <row r="594" spans="1:10" x14ac:dyDescent="0.25">
      <c r="A594" t="s">
        <v>446</v>
      </c>
      <c r="B594" t="s">
        <v>445</v>
      </c>
      <c r="C594" s="167">
        <v>0.14000000000000001</v>
      </c>
      <c r="D594" t="s">
        <v>439</v>
      </c>
      <c r="E594" t="s">
        <v>2853</v>
      </c>
      <c r="F594" t="s">
        <v>7338</v>
      </c>
      <c r="G594" t="s">
        <v>7338</v>
      </c>
      <c r="I594" t="s">
        <v>2804</v>
      </c>
    </row>
    <row r="595" spans="1:10" x14ac:dyDescent="0.25">
      <c r="A595" t="s">
        <v>447</v>
      </c>
      <c r="B595" t="s">
        <v>445</v>
      </c>
      <c r="C595" s="167">
        <v>0.14000000000000001</v>
      </c>
      <c r="D595" t="s">
        <v>429</v>
      </c>
      <c r="E595" t="s">
        <v>2853</v>
      </c>
      <c r="F595" t="s">
        <v>7338</v>
      </c>
      <c r="G595" t="s">
        <v>7338</v>
      </c>
      <c r="I595" t="s">
        <v>2804</v>
      </c>
    </row>
    <row r="596" spans="1:10" x14ac:dyDescent="0.25">
      <c r="A596" t="s">
        <v>448</v>
      </c>
      <c r="B596" t="s">
        <v>445</v>
      </c>
      <c r="C596" s="167">
        <v>0.14000000000000001</v>
      </c>
      <c r="D596" t="s">
        <v>60</v>
      </c>
      <c r="E596" t="s">
        <v>2853</v>
      </c>
      <c r="F596" t="s">
        <v>7338</v>
      </c>
      <c r="G596" t="s">
        <v>7338</v>
      </c>
      <c r="I596" t="s">
        <v>2804</v>
      </c>
    </row>
    <row r="597" spans="1:10" x14ac:dyDescent="0.25">
      <c r="A597" t="s">
        <v>231</v>
      </c>
      <c r="B597" t="s">
        <v>2912</v>
      </c>
      <c r="C597" s="167">
        <v>45.07</v>
      </c>
      <c r="D597" t="s">
        <v>21</v>
      </c>
      <c r="E597" t="s">
        <v>2853</v>
      </c>
      <c r="F597" t="s">
        <v>7338</v>
      </c>
      <c r="G597" t="s">
        <v>7338</v>
      </c>
      <c r="H597">
        <v>97</v>
      </c>
      <c r="I597" t="s">
        <v>2892</v>
      </c>
    </row>
    <row r="598" spans="1:10" x14ac:dyDescent="0.25">
      <c r="A598" t="s">
        <v>233</v>
      </c>
      <c r="B598" t="s">
        <v>2913</v>
      </c>
      <c r="C598" s="167">
        <v>8.4600000000000009</v>
      </c>
      <c r="D598" t="s">
        <v>21</v>
      </c>
      <c r="E598" t="s">
        <v>2853</v>
      </c>
      <c r="F598" t="s">
        <v>7338</v>
      </c>
      <c r="G598" t="s">
        <v>7338</v>
      </c>
      <c r="H598">
        <v>96</v>
      </c>
      <c r="I598" t="s">
        <v>2892</v>
      </c>
    </row>
    <row r="599" spans="1:10" x14ac:dyDescent="0.25">
      <c r="A599" t="s">
        <v>235</v>
      </c>
      <c r="B599" t="s">
        <v>2914</v>
      </c>
      <c r="C599" s="167">
        <v>22.02</v>
      </c>
      <c r="D599" t="s">
        <v>21</v>
      </c>
      <c r="E599" t="s">
        <v>2853</v>
      </c>
      <c r="F599" t="s">
        <v>7338</v>
      </c>
      <c r="G599" t="s">
        <v>7338</v>
      </c>
      <c r="H599">
        <v>96</v>
      </c>
      <c r="I599" t="s">
        <v>2892</v>
      </c>
    </row>
    <row r="600" spans="1:10" x14ac:dyDescent="0.25">
      <c r="A600" t="s">
        <v>237</v>
      </c>
      <c r="B600" t="s">
        <v>2915</v>
      </c>
      <c r="C600" s="167">
        <v>13.29</v>
      </c>
      <c r="D600" t="s">
        <v>21</v>
      </c>
      <c r="E600" t="s">
        <v>2853</v>
      </c>
      <c r="F600" t="s">
        <v>7338</v>
      </c>
      <c r="G600" t="s">
        <v>7338</v>
      </c>
      <c r="H600">
        <v>96</v>
      </c>
      <c r="I600" t="s">
        <v>2892</v>
      </c>
    </row>
    <row r="601" spans="1:10" x14ac:dyDescent="0.25">
      <c r="A601" t="s">
        <v>239</v>
      </c>
      <c r="B601" t="s">
        <v>2916</v>
      </c>
      <c r="C601" s="167">
        <v>16.93</v>
      </c>
      <c r="D601" t="s">
        <v>21</v>
      </c>
      <c r="E601" t="s">
        <v>2853</v>
      </c>
      <c r="F601" t="s">
        <v>7338</v>
      </c>
      <c r="G601" t="s">
        <v>7338</v>
      </c>
      <c r="H601">
        <v>97</v>
      </c>
      <c r="I601" t="s">
        <v>2892</v>
      </c>
    </row>
    <row r="602" spans="1:10" x14ac:dyDescent="0.25">
      <c r="A602" t="s">
        <v>242</v>
      </c>
      <c r="B602" t="s">
        <v>2917</v>
      </c>
      <c r="C602" s="167">
        <v>10.63</v>
      </c>
      <c r="D602" t="s">
        <v>21</v>
      </c>
      <c r="E602" t="s">
        <v>2853</v>
      </c>
      <c r="F602" t="s">
        <v>7338</v>
      </c>
      <c r="G602" t="s">
        <v>7338</v>
      </c>
      <c r="H602">
        <v>96</v>
      </c>
      <c r="I602" t="s">
        <v>2892</v>
      </c>
    </row>
    <row r="603" spans="1:10" x14ac:dyDescent="0.25">
      <c r="A603" t="s">
        <v>246</v>
      </c>
      <c r="B603" t="s">
        <v>247</v>
      </c>
      <c r="C603" s="167">
        <v>0.16</v>
      </c>
      <c r="D603" t="s">
        <v>59</v>
      </c>
      <c r="E603" t="s">
        <v>2853</v>
      </c>
      <c r="F603" t="s">
        <v>7338</v>
      </c>
      <c r="G603" t="s">
        <v>7338</v>
      </c>
      <c r="I603" t="s">
        <v>2892</v>
      </c>
    </row>
    <row r="604" spans="1:10" x14ac:dyDescent="0.25">
      <c r="A604" t="s">
        <v>249</v>
      </c>
      <c r="B604" t="s">
        <v>247</v>
      </c>
      <c r="C604" s="167">
        <v>0.17</v>
      </c>
      <c r="D604" t="s">
        <v>21</v>
      </c>
      <c r="E604" t="s">
        <v>2853</v>
      </c>
      <c r="F604" t="s">
        <v>7338</v>
      </c>
      <c r="G604" t="s">
        <v>7338</v>
      </c>
      <c r="I604" t="s">
        <v>2892</v>
      </c>
    </row>
    <row r="605" spans="1:10" x14ac:dyDescent="0.25">
      <c r="A605" t="s">
        <v>251</v>
      </c>
      <c r="B605" t="s">
        <v>252</v>
      </c>
      <c r="C605" s="167">
        <v>10.210000000000001</v>
      </c>
      <c r="D605" t="s">
        <v>21</v>
      </c>
      <c r="E605" t="s">
        <v>2853</v>
      </c>
      <c r="F605" t="s">
        <v>7338</v>
      </c>
      <c r="G605" t="s">
        <v>7338</v>
      </c>
      <c r="I605" t="s">
        <v>2892</v>
      </c>
    </row>
    <row r="606" spans="1:10" x14ac:dyDescent="0.25">
      <c r="A606" t="s">
        <v>254</v>
      </c>
      <c r="B606" t="s">
        <v>255</v>
      </c>
      <c r="C606" s="167">
        <v>8.26</v>
      </c>
      <c r="D606" t="s">
        <v>21</v>
      </c>
      <c r="E606" t="s">
        <v>2853</v>
      </c>
      <c r="F606" t="s">
        <v>7338</v>
      </c>
      <c r="G606" t="s">
        <v>7338</v>
      </c>
      <c r="I606" t="s">
        <v>2892</v>
      </c>
    </row>
    <row r="607" spans="1:10" x14ac:dyDescent="0.25">
      <c r="A607" t="s">
        <v>257</v>
      </c>
      <c r="B607" t="s">
        <v>258</v>
      </c>
      <c r="C607" s="167">
        <v>14.13</v>
      </c>
      <c r="D607" t="s">
        <v>21</v>
      </c>
      <c r="E607" t="s">
        <v>2853</v>
      </c>
      <c r="F607" t="s">
        <v>7338</v>
      </c>
      <c r="G607" t="s">
        <v>7338</v>
      </c>
      <c r="I607" t="s">
        <v>2892</v>
      </c>
    </row>
    <row r="608" spans="1:10" x14ac:dyDescent="0.25">
      <c r="A608" t="s">
        <v>260</v>
      </c>
      <c r="B608" t="s">
        <v>261</v>
      </c>
      <c r="C608" s="167">
        <v>9.43</v>
      </c>
      <c r="D608" t="s">
        <v>21</v>
      </c>
      <c r="E608" t="s">
        <v>2853</v>
      </c>
      <c r="F608" t="s">
        <v>7338</v>
      </c>
      <c r="G608" t="s">
        <v>7338</v>
      </c>
      <c r="H608">
        <v>5</v>
      </c>
      <c r="I608" t="s">
        <v>2892</v>
      </c>
      <c r="J608">
        <v>128</v>
      </c>
    </row>
    <row r="609" spans="1:9" x14ac:dyDescent="0.25">
      <c r="A609" t="s">
        <v>263</v>
      </c>
      <c r="B609" t="s">
        <v>264</v>
      </c>
      <c r="C609" s="167">
        <v>17.22</v>
      </c>
      <c r="D609" t="s">
        <v>21</v>
      </c>
      <c r="E609" t="s">
        <v>2853</v>
      </c>
      <c r="F609" t="s">
        <v>7338</v>
      </c>
      <c r="G609" t="s">
        <v>7338</v>
      </c>
      <c r="I609" t="s">
        <v>2892</v>
      </c>
    </row>
    <row r="610" spans="1:9" x14ac:dyDescent="0.25">
      <c r="A610" t="s">
        <v>266</v>
      </c>
      <c r="B610" t="s">
        <v>267</v>
      </c>
      <c r="C610" s="167">
        <v>34.47</v>
      </c>
      <c r="D610" t="s">
        <v>21</v>
      </c>
      <c r="E610" t="s">
        <v>2853</v>
      </c>
      <c r="F610" t="s">
        <v>7338</v>
      </c>
      <c r="G610" t="s">
        <v>7338</v>
      </c>
      <c r="H610">
        <v>16</v>
      </c>
      <c r="I610" t="s">
        <v>2892</v>
      </c>
    </row>
    <row r="611" spans="1:9" x14ac:dyDescent="0.25">
      <c r="A611" t="s">
        <v>269</v>
      </c>
      <c r="B611" t="s">
        <v>270</v>
      </c>
      <c r="C611" s="167">
        <v>12.95</v>
      </c>
      <c r="D611" t="s">
        <v>21</v>
      </c>
      <c r="E611" t="s">
        <v>2853</v>
      </c>
      <c r="F611" t="s">
        <v>7338</v>
      </c>
      <c r="G611" t="s">
        <v>7338</v>
      </c>
      <c r="I611" t="s">
        <v>2892</v>
      </c>
    </row>
    <row r="612" spans="1:9" x14ac:dyDescent="0.25">
      <c r="A612" t="s">
        <v>272</v>
      </c>
      <c r="B612" t="s">
        <v>273</v>
      </c>
      <c r="C612" s="167">
        <v>3.23</v>
      </c>
      <c r="D612" t="s">
        <v>21</v>
      </c>
      <c r="E612" t="s">
        <v>2853</v>
      </c>
      <c r="F612" t="s">
        <v>7338</v>
      </c>
      <c r="G612" t="s">
        <v>7338</v>
      </c>
      <c r="I612" t="s">
        <v>2892</v>
      </c>
    </row>
    <row r="613" spans="1:9" x14ac:dyDescent="0.25">
      <c r="A613" t="s">
        <v>275</v>
      </c>
      <c r="B613" t="s">
        <v>7505</v>
      </c>
      <c r="C613" s="167">
        <v>15.12</v>
      </c>
      <c r="D613" t="s">
        <v>21</v>
      </c>
      <c r="E613" t="s">
        <v>2853</v>
      </c>
      <c r="F613" t="s">
        <v>7338</v>
      </c>
      <c r="G613" t="s">
        <v>7338</v>
      </c>
      <c r="I613" t="s">
        <v>2892</v>
      </c>
    </row>
    <row r="614" spans="1:9" x14ac:dyDescent="0.25">
      <c r="A614" t="s">
        <v>278</v>
      </c>
      <c r="B614" t="s">
        <v>279</v>
      </c>
      <c r="C614" s="167">
        <v>0.23</v>
      </c>
      <c r="D614" t="s">
        <v>59</v>
      </c>
      <c r="E614" t="s">
        <v>2853</v>
      </c>
      <c r="F614" t="s">
        <v>7338</v>
      </c>
      <c r="G614" t="s">
        <v>7338</v>
      </c>
      <c r="I614" t="s">
        <v>2892</v>
      </c>
    </row>
    <row r="615" spans="1:9" x14ac:dyDescent="0.25">
      <c r="A615" t="s">
        <v>281</v>
      </c>
      <c r="B615" t="s">
        <v>279</v>
      </c>
      <c r="C615" s="167">
        <v>0.23</v>
      </c>
      <c r="D615" t="s">
        <v>21</v>
      </c>
      <c r="E615" t="s">
        <v>2853</v>
      </c>
      <c r="F615" t="s">
        <v>7338</v>
      </c>
      <c r="G615" t="s">
        <v>7338</v>
      </c>
      <c r="I615" t="s">
        <v>2892</v>
      </c>
    </row>
    <row r="616" spans="1:9" x14ac:dyDescent="0.25">
      <c r="A616" t="s">
        <v>284</v>
      </c>
      <c r="B616" t="s">
        <v>285</v>
      </c>
      <c r="C616" s="167">
        <v>2.64</v>
      </c>
      <c r="D616" t="s">
        <v>21</v>
      </c>
      <c r="E616" t="s">
        <v>2853</v>
      </c>
      <c r="F616" t="s">
        <v>7338</v>
      </c>
      <c r="G616" t="s">
        <v>7338</v>
      </c>
      <c r="I616" t="s">
        <v>2892</v>
      </c>
    </row>
    <row r="617" spans="1:9" x14ac:dyDescent="0.25">
      <c r="A617" t="s">
        <v>287</v>
      </c>
      <c r="B617" t="s">
        <v>288</v>
      </c>
      <c r="C617" s="167">
        <v>2.64</v>
      </c>
      <c r="D617" t="s">
        <v>21</v>
      </c>
      <c r="E617" t="s">
        <v>2853</v>
      </c>
      <c r="F617" t="s">
        <v>7338</v>
      </c>
      <c r="G617" t="s">
        <v>7338</v>
      </c>
      <c r="I617" t="s">
        <v>2892</v>
      </c>
    </row>
    <row r="618" spans="1:9" x14ac:dyDescent="0.25">
      <c r="A618" t="s">
        <v>290</v>
      </c>
      <c r="B618" t="s">
        <v>291</v>
      </c>
      <c r="C618" s="167">
        <v>3.84</v>
      </c>
      <c r="D618" t="s">
        <v>21</v>
      </c>
      <c r="E618" t="s">
        <v>2853</v>
      </c>
      <c r="F618" t="s">
        <v>7338</v>
      </c>
      <c r="G618" t="s">
        <v>7338</v>
      </c>
      <c r="I618" t="s">
        <v>2892</v>
      </c>
    </row>
    <row r="619" spans="1:9" x14ac:dyDescent="0.25">
      <c r="A619" t="s">
        <v>293</v>
      </c>
      <c r="B619" t="s">
        <v>294</v>
      </c>
      <c r="C619" s="167">
        <v>2.64</v>
      </c>
      <c r="D619" t="s">
        <v>21</v>
      </c>
      <c r="E619" t="s">
        <v>2853</v>
      </c>
      <c r="F619" t="s">
        <v>7338</v>
      </c>
      <c r="G619" t="s">
        <v>7338</v>
      </c>
      <c r="I619" t="s">
        <v>2892</v>
      </c>
    </row>
    <row r="620" spans="1:9" x14ac:dyDescent="0.25">
      <c r="A620" t="s">
        <v>296</v>
      </c>
      <c r="B620" t="s">
        <v>297</v>
      </c>
      <c r="C620" s="167">
        <v>2.64</v>
      </c>
      <c r="D620" t="s">
        <v>21</v>
      </c>
      <c r="E620" t="s">
        <v>2853</v>
      </c>
      <c r="F620" t="s">
        <v>7338</v>
      </c>
      <c r="G620" t="s">
        <v>7338</v>
      </c>
      <c r="I620" t="s">
        <v>2892</v>
      </c>
    </row>
    <row r="621" spans="1:9" x14ac:dyDescent="0.25">
      <c r="A621" t="s">
        <v>299</v>
      </c>
      <c r="B621" t="s">
        <v>300</v>
      </c>
      <c r="C621" s="167">
        <v>7.11</v>
      </c>
      <c r="D621" t="s">
        <v>21</v>
      </c>
      <c r="E621" t="s">
        <v>2853</v>
      </c>
      <c r="F621" t="s">
        <v>7338</v>
      </c>
      <c r="G621" t="s">
        <v>7338</v>
      </c>
      <c r="I621" t="s">
        <v>2892</v>
      </c>
    </row>
    <row r="622" spans="1:9" x14ac:dyDescent="0.25">
      <c r="A622" t="s">
        <v>302</v>
      </c>
      <c r="B622" t="s">
        <v>303</v>
      </c>
      <c r="C622" s="167">
        <v>5.33</v>
      </c>
      <c r="D622" t="s">
        <v>21</v>
      </c>
      <c r="E622" t="s">
        <v>2853</v>
      </c>
      <c r="F622" t="s">
        <v>7338</v>
      </c>
      <c r="G622" t="s">
        <v>7338</v>
      </c>
      <c r="I622" t="s">
        <v>2892</v>
      </c>
    </row>
    <row r="623" spans="1:9" x14ac:dyDescent="0.25">
      <c r="A623" t="s">
        <v>306</v>
      </c>
      <c r="B623" t="s">
        <v>307</v>
      </c>
      <c r="C623" s="167">
        <v>3.3</v>
      </c>
      <c r="D623" t="s">
        <v>308</v>
      </c>
      <c r="E623" t="s">
        <v>2853</v>
      </c>
      <c r="F623" t="s">
        <v>7348</v>
      </c>
      <c r="G623" t="s">
        <v>7349</v>
      </c>
      <c r="H623">
        <v>3</v>
      </c>
      <c r="I623" t="s">
        <v>2892</v>
      </c>
    </row>
    <row r="624" spans="1:9" x14ac:dyDescent="0.25">
      <c r="A624" t="s">
        <v>309</v>
      </c>
      <c r="B624" t="s">
        <v>310</v>
      </c>
      <c r="C624" s="167">
        <v>3.86</v>
      </c>
      <c r="D624" t="s">
        <v>308</v>
      </c>
      <c r="E624" t="s">
        <v>2853</v>
      </c>
      <c r="F624" t="s">
        <v>7348</v>
      </c>
      <c r="G624" t="s">
        <v>7350</v>
      </c>
      <c r="H624">
        <v>3</v>
      </c>
      <c r="I624" t="s">
        <v>2892</v>
      </c>
    </row>
    <row r="625" spans="1:10" x14ac:dyDescent="0.25">
      <c r="A625" t="s">
        <v>311</v>
      </c>
      <c r="B625" t="s">
        <v>312</v>
      </c>
      <c r="C625" s="167">
        <v>11.06</v>
      </c>
      <c r="D625" t="s">
        <v>308</v>
      </c>
      <c r="E625" t="s">
        <v>2853</v>
      </c>
      <c r="F625" t="s">
        <v>7349</v>
      </c>
      <c r="G625" t="s">
        <v>7351</v>
      </c>
      <c r="H625">
        <v>5</v>
      </c>
      <c r="I625" t="s">
        <v>2892</v>
      </c>
      <c r="J625">
        <v>128</v>
      </c>
    </row>
    <row r="626" spans="1:10" x14ac:dyDescent="0.25">
      <c r="A626" t="s">
        <v>313</v>
      </c>
      <c r="B626" t="s">
        <v>314</v>
      </c>
      <c r="C626" s="167">
        <v>6.25</v>
      </c>
      <c r="D626" t="s">
        <v>21</v>
      </c>
      <c r="E626" t="s">
        <v>2853</v>
      </c>
      <c r="F626" t="s">
        <v>7338</v>
      </c>
      <c r="G626" t="s">
        <v>7338</v>
      </c>
      <c r="I626" t="s">
        <v>2892</v>
      </c>
    </row>
    <row r="627" spans="1:10" x14ac:dyDescent="0.25">
      <c r="A627" t="s">
        <v>316</v>
      </c>
      <c r="B627" t="s">
        <v>317</v>
      </c>
      <c r="C627" s="167">
        <v>7.14</v>
      </c>
      <c r="D627" t="s">
        <v>21</v>
      </c>
      <c r="E627" t="s">
        <v>2853</v>
      </c>
      <c r="F627" t="s">
        <v>7338</v>
      </c>
      <c r="G627" t="s">
        <v>7338</v>
      </c>
      <c r="I627" t="s">
        <v>2892</v>
      </c>
    </row>
    <row r="628" spans="1:10" x14ac:dyDescent="0.25">
      <c r="A628" t="s">
        <v>319</v>
      </c>
      <c r="B628" t="s">
        <v>320</v>
      </c>
      <c r="C628" s="167">
        <v>3.47</v>
      </c>
      <c r="D628" t="s">
        <v>59</v>
      </c>
      <c r="E628" t="s">
        <v>2853</v>
      </c>
      <c r="F628" t="s">
        <v>7338</v>
      </c>
      <c r="G628" t="s">
        <v>7338</v>
      </c>
      <c r="H628">
        <v>3</v>
      </c>
      <c r="I628" t="s">
        <v>2892</v>
      </c>
    </row>
    <row r="629" spans="1:10" x14ac:dyDescent="0.25">
      <c r="A629" t="s">
        <v>322</v>
      </c>
      <c r="B629" t="s">
        <v>320</v>
      </c>
      <c r="C629" s="167">
        <v>3.49</v>
      </c>
      <c r="D629" t="s">
        <v>21</v>
      </c>
      <c r="E629" t="s">
        <v>2853</v>
      </c>
      <c r="F629" t="s">
        <v>7338</v>
      </c>
      <c r="G629" t="s">
        <v>7338</v>
      </c>
      <c r="H629">
        <v>3</v>
      </c>
      <c r="I629" t="s">
        <v>2892</v>
      </c>
    </row>
    <row r="630" spans="1:10" x14ac:dyDescent="0.25">
      <c r="A630" t="s">
        <v>323</v>
      </c>
      <c r="B630" t="s">
        <v>324</v>
      </c>
      <c r="C630" s="167">
        <v>3.5</v>
      </c>
      <c r="D630" t="s">
        <v>21</v>
      </c>
      <c r="E630" t="s">
        <v>2853</v>
      </c>
      <c r="F630" t="s">
        <v>7338</v>
      </c>
      <c r="G630" t="s">
        <v>7338</v>
      </c>
      <c r="H630">
        <v>3.5</v>
      </c>
      <c r="I630" t="s">
        <v>2892</v>
      </c>
    </row>
    <row r="631" spans="1:10" x14ac:dyDescent="0.25">
      <c r="A631" t="s">
        <v>326</v>
      </c>
      <c r="B631" t="s">
        <v>327</v>
      </c>
      <c r="C631" s="167">
        <v>4.22</v>
      </c>
      <c r="D631" t="s">
        <v>59</v>
      </c>
      <c r="E631" t="s">
        <v>2853</v>
      </c>
      <c r="F631" t="s">
        <v>7338</v>
      </c>
      <c r="G631" t="s">
        <v>7338</v>
      </c>
      <c r="H631">
        <v>6</v>
      </c>
      <c r="I631" t="s">
        <v>2892</v>
      </c>
    </row>
    <row r="632" spans="1:10" x14ac:dyDescent="0.25">
      <c r="A632" t="s">
        <v>329</v>
      </c>
      <c r="B632" t="s">
        <v>327</v>
      </c>
      <c r="C632" s="167">
        <v>4.24</v>
      </c>
      <c r="D632" t="s">
        <v>21</v>
      </c>
      <c r="E632" t="s">
        <v>2853</v>
      </c>
      <c r="F632" t="s">
        <v>7338</v>
      </c>
      <c r="G632" t="s">
        <v>7338</v>
      </c>
      <c r="H632">
        <v>6</v>
      </c>
      <c r="I632" t="s">
        <v>2892</v>
      </c>
    </row>
    <row r="633" spans="1:10" x14ac:dyDescent="0.25">
      <c r="A633" t="s">
        <v>331</v>
      </c>
      <c r="B633" t="s">
        <v>332</v>
      </c>
      <c r="C633" s="167">
        <v>4.8</v>
      </c>
      <c r="D633" t="s">
        <v>59</v>
      </c>
      <c r="E633" t="s">
        <v>2853</v>
      </c>
      <c r="F633" t="s">
        <v>7338</v>
      </c>
      <c r="G633" t="s">
        <v>7338</v>
      </c>
      <c r="H633">
        <v>9</v>
      </c>
      <c r="I633" t="s">
        <v>2892</v>
      </c>
    </row>
    <row r="634" spans="1:10" x14ac:dyDescent="0.25">
      <c r="A634" t="s">
        <v>334</v>
      </c>
      <c r="B634" t="s">
        <v>332</v>
      </c>
      <c r="C634" s="167">
        <v>4.8</v>
      </c>
      <c r="D634" t="s">
        <v>21</v>
      </c>
      <c r="E634" t="s">
        <v>2853</v>
      </c>
      <c r="F634" t="s">
        <v>7338</v>
      </c>
      <c r="G634" t="s">
        <v>7338</v>
      </c>
      <c r="H634">
        <v>9</v>
      </c>
      <c r="I634" t="s">
        <v>2892</v>
      </c>
    </row>
    <row r="635" spans="1:10" x14ac:dyDescent="0.25">
      <c r="A635" t="s">
        <v>336</v>
      </c>
      <c r="B635" t="s">
        <v>337</v>
      </c>
      <c r="C635" s="167">
        <v>5.54</v>
      </c>
      <c r="D635" t="s">
        <v>21</v>
      </c>
      <c r="E635" t="s">
        <v>2853</v>
      </c>
      <c r="F635" t="s">
        <v>7338</v>
      </c>
      <c r="G635" t="s">
        <v>7338</v>
      </c>
      <c r="H635">
        <v>12</v>
      </c>
      <c r="I635" t="s">
        <v>2892</v>
      </c>
    </row>
    <row r="636" spans="1:10" x14ac:dyDescent="0.25">
      <c r="A636" t="s">
        <v>339</v>
      </c>
      <c r="B636" t="s">
        <v>340</v>
      </c>
      <c r="C636" s="167">
        <v>0.1</v>
      </c>
      <c r="D636" t="s">
        <v>21</v>
      </c>
      <c r="E636" t="s">
        <v>2853</v>
      </c>
      <c r="F636" t="s">
        <v>7338</v>
      </c>
      <c r="G636" t="s">
        <v>7338</v>
      </c>
      <c r="H636">
        <v>2</v>
      </c>
      <c r="I636" t="s">
        <v>2892</v>
      </c>
    </row>
    <row r="637" spans="1:10" x14ac:dyDescent="0.25">
      <c r="A637" t="s">
        <v>342</v>
      </c>
      <c r="B637" t="s">
        <v>343</v>
      </c>
      <c r="C637" s="167">
        <v>38.89</v>
      </c>
      <c r="D637" t="s">
        <v>59</v>
      </c>
      <c r="E637" t="s">
        <v>2853</v>
      </c>
      <c r="F637" t="s">
        <v>7352</v>
      </c>
      <c r="G637" t="s">
        <v>7352</v>
      </c>
      <c r="I637" t="s">
        <v>2892</v>
      </c>
    </row>
    <row r="638" spans="1:10" x14ac:dyDescent="0.25">
      <c r="A638" t="s">
        <v>345</v>
      </c>
      <c r="B638" t="s">
        <v>346</v>
      </c>
      <c r="C638" s="167">
        <v>0.71</v>
      </c>
      <c r="D638" t="s">
        <v>59</v>
      </c>
      <c r="E638" t="s">
        <v>2853</v>
      </c>
      <c r="F638" t="s">
        <v>7338</v>
      </c>
      <c r="G638" t="s">
        <v>7338</v>
      </c>
      <c r="I638" t="s">
        <v>2892</v>
      </c>
    </row>
    <row r="639" spans="1:10" x14ac:dyDescent="0.25">
      <c r="A639" t="s">
        <v>348</v>
      </c>
      <c r="B639" t="s">
        <v>349</v>
      </c>
      <c r="C639" s="167">
        <v>0.17</v>
      </c>
      <c r="D639" t="s">
        <v>59</v>
      </c>
      <c r="E639" t="s">
        <v>2853</v>
      </c>
      <c r="F639" t="s">
        <v>7338</v>
      </c>
      <c r="G639" t="s">
        <v>7338</v>
      </c>
      <c r="I639" t="s">
        <v>2892</v>
      </c>
    </row>
    <row r="640" spans="1:10" x14ac:dyDescent="0.25">
      <c r="A640" t="s">
        <v>351</v>
      </c>
      <c r="B640" t="s">
        <v>352</v>
      </c>
      <c r="C640" s="167">
        <v>0.14000000000000001</v>
      </c>
      <c r="D640" t="s">
        <v>21</v>
      </c>
      <c r="E640" t="s">
        <v>2853</v>
      </c>
      <c r="F640" t="s">
        <v>7338</v>
      </c>
      <c r="G640" t="s">
        <v>7338</v>
      </c>
      <c r="I640" t="s">
        <v>2892</v>
      </c>
    </row>
    <row r="641" spans="1:9" x14ac:dyDescent="0.25">
      <c r="A641" t="s">
        <v>357</v>
      </c>
      <c r="B641" t="s">
        <v>358</v>
      </c>
      <c r="C641" s="167">
        <v>2.21</v>
      </c>
      <c r="D641" t="s">
        <v>59</v>
      </c>
      <c r="E641" t="s">
        <v>2853</v>
      </c>
      <c r="F641" t="s">
        <v>7338</v>
      </c>
      <c r="G641" t="s">
        <v>7338</v>
      </c>
      <c r="I641" t="s">
        <v>2804</v>
      </c>
    </row>
    <row r="642" spans="1:9" x14ac:dyDescent="0.25">
      <c r="A642" t="s">
        <v>357</v>
      </c>
      <c r="B642" t="s">
        <v>358</v>
      </c>
      <c r="C642" s="167">
        <v>2.21</v>
      </c>
      <c r="D642" t="s">
        <v>59</v>
      </c>
      <c r="E642" t="s">
        <v>2853</v>
      </c>
      <c r="F642" t="s">
        <v>7338</v>
      </c>
      <c r="G642" t="s">
        <v>7338</v>
      </c>
      <c r="I642" t="s">
        <v>2804</v>
      </c>
    </row>
    <row r="643" spans="1:9" x14ac:dyDescent="0.25">
      <c r="A643" t="s">
        <v>362</v>
      </c>
      <c r="B643" t="s">
        <v>2920</v>
      </c>
      <c r="C643" s="167">
        <v>85.83</v>
      </c>
      <c r="D643" t="s">
        <v>21</v>
      </c>
      <c r="E643" t="s">
        <v>2853</v>
      </c>
      <c r="F643" t="s">
        <v>7338</v>
      </c>
      <c r="G643" t="s">
        <v>7338</v>
      </c>
      <c r="I643" t="s">
        <v>2892</v>
      </c>
    </row>
    <row r="644" spans="1:9" x14ac:dyDescent="0.25">
      <c r="A644" t="s">
        <v>365</v>
      </c>
      <c r="B644" t="s">
        <v>2921</v>
      </c>
      <c r="C644" s="167">
        <v>12.37</v>
      </c>
      <c r="D644" t="s">
        <v>21</v>
      </c>
      <c r="E644" t="s">
        <v>2853</v>
      </c>
      <c r="F644" t="s">
        <v>7338</v>
      </c>
      <c r="G644" t="s">
        <v>7338</v>
      </c>
      <c r="H644">
        <v>13</v>
      </c>
      <c r="I644" t="s">
        <v>2892</v>
      </c>
    </row>
    <row r="645" spans="1:9" x14ac:dyDescent="0.25">
      <c r="A645" t="s">
        <v>368</v>
      </c>
      <c r="B645" t="s">
        <v>2922</v>
      </c>
      <c r="C645" s="167">
        <v>5.7</v>
      </c>
      <c r="D645" t="s">
        <v>21</v>
      </c>
      <c r="E645" t="s">
        <v>2853</v>
      </c>
      <c r="F645" t="s">
        <v>7338</v>
      </c>
      <c r="G645" t="s">
        <v>7338</v>
      </c>
      <c r="H645">
        <v>7.5</v>
      </c>
      <c r="I645" t="s">
        <v>2892</v>
      </c>
    </row>
    <row r="646" spans="1:9" x14ac:dyDescent="0.25">
      <c r="A646" t="s">
        <v>371</v>
      </c>
      <c r="B646" t="s">
        <v>2923</v>
      </c>
      <c r="C646" s="167">
        <v>3.43</v>
      </c>
      <c r="D646" t="s">
        <v>21</v>
      </c>
      <c r="E646" t="s">
        <v>2853</v>
      </c>
      <c r="F646" t="s">
        <v>7338</v>
      </c>
      <c r="G646" t="s">
        <v>7338</v>
      </c>
      <c r="H646">
        <v>2.5</v>
      </c>
      <c r="I646" t="s">
        <v>2892</v>
      </c>
    </row>
    <row r="647" spans="1:9" x14ac:dyDescent="0.25">
      <c r="A647" t="s">
        <v>374</v>
      </c>
      <c r="B647" t="s">
        <v>2924</v>
      </c>
      <c r="C647" s="167">
        <v>6.73</v>
      </c>
      <c r="D647" t="s">
        <v>21</v>
      </c>
      <c r="E647" t="s">
        <v>2853</v>
      </c>
      <c r="F647" t="s">
        <v>7353</v>
      </c>
      <c r="G647" t="s">
        <v>7338</v>
      </c>
      <c r="H647">
        <v>3.5</v>
      </c>
      <c r="I647" t="s">
        <v>2892</v>
      </c>
    </row>
    <row r="648" spans="1:9" x14ac:dyDescent="0.25">
      <c r="A648" t="s">
        <v>377</v>
      </c>
      <c r="B648" t="s">
        <v>2925</v>
      </c>
      <c r="C648" s="167">
        <v>11.35</v>
      </c>
      <c r="D648" t="s">
        <v>21</v>
      </c>
      <c r="E648" t="s">
        <v>2853</v>
      </c>
      <c r="F648" t="s">
        <v>7338</v>
      </c>
      <c r="G648" t="s">
        <v>7338</v>
      </c>
      <c r="I648" t="s">
        <v>2892</v>
      </c>
    </row>
    <row r="649" spans="1:9" x14ac:dyDescent="0.25">
      <c r="A649" t="s">
        <v>381</v>
      </c>
      <c r="B649" t="s">
        <v>2926</v>
      </c>
      <c r="C649" s="167">
        <v>5.95</v>
      </c>
      <c r="D649" t="s">
        <v>21</v>
      </c>
      <c r="E649" t="s">
        <v>2853</v>
      </c>
      <c r="F649" t="s">
        <v>7338</v>
      </c>
      <c r="G649" t="s">
        <v>7338</v>
      </c>
      <c r="I649" t="s">
        <v>2892</v>
      </c>
    </row>
    <row r="650" spans="1:9" x14ac:dyDescent="0.25">
      <c r="A650" t="s">
        <v>383</v>
      </c>
      <c r="B650" t="s">
        <v>2927</v>
      </c>
      <c r="C650" s="167">
        <v>5.95</v>
      </c>
      <c r="D650" t="s">
        <v>21</v>
      </c>
      <c r="E650" t="s">
        <v>2853</v>
      </c>
      <c r="F650" t="s">
        <v>7338</v>
      </c>
      <c r="G650" t="s">
        <v>7338</v>
      </c>
      <c r="I650" t="s">
        <v>2892</v>
      </c>
    </row>
    <row r="651" spans="1:9" x14ac:dyDescent="0.25">
      <c r="A651" t="s">
        <v>385</v>
      </c>
      <c r="B651" t="s">
        <v>2928</v>
      </c>
      <c r="C651" s="167">
        <v>3.99</v>
      </c>
      <c r="D651" t="s">
        <v>21</v>
      </c>
      <c r="E651" t="s">
        <v>2853</v>
      </c>
      <c r="F651" t="s">
        <v>7338</v>
      </c>
      <c r="G651" t="s">
        <v>7338</v>
      </c>
      <c r="I651" t="s">
        <v>2892</v>
      </c>
    </row>
    <row r="652" spans="1:9" x14ac:dyDescent="0.25">
      <c r="A652" t="s">
        <v>387</v>
      </c>
      <c r="B652" t="s">
        <v>2929</v>
      </c>
      <c r="C652" s="167">
        <v>5.95</v>
      </c>
      <c r="D652" t="s">
        <v>21</v>
      </c>
      <c r="E652" t="s">
        <v>2853</v>
      </c>
      <c r="F652" t="s">
        <v>7338</v>
      </c>
      <c r="G652" t="s">
        <v>7338</v>
      </c>
      <c r="I652" t="s">
        <v>2892</v>
      </c>
    </row>
    <row r="653" spans="1:9" x14ac:dyDescent="0.25">
      <c r="A653" t="s">
        <v>389</v>
      </c>
      <c r="B653" t="s">
        <v>2930</v>
      </c>
      <c r="C653" s="167">
        <v>5.95</v>
      </c>
      <c r="D653" t="s">
        <v>21</v>
      </c>
      <c r="E653" t="s">
        <v>2853</v>
      </c>
      <c r="F653" t="s">
        <v>7338</v>
      </c>
      <c r="G653" t="s">
        <v>7338</v>
      </c>
      <c r="I653" t="s">
        <v>2892</v>
      </c>
    </row>
    <row r="654" spans="1:9" x14ac:dyDescent="0.25">
      <c r="A654" t="s">
        <v>390</v>
      </c>
      <c r="B654" t="s">
        <v>2931</v>
      </c>
      <c r="C654" s="167">
        <v>5.95</v>
      </c>
      <c r="D654" t="s">
        <v>21</v>
      </c>
      <c r="E654" t="s">
        <v>2853</v>
      </c>
      <c r="F654" t="s">
        <v>7338</v>
      </c>
      <c r="G654" t="s">
        <v>7338</v>
      </c>
      <c r="I654" t="s">
        <v>2892</v>
      </c>
    </row>
    <row r="655" spans="1:9" x14ac:dyDescent="0.25">
      <c r="A655" t="s">
        <v>392</v>
      </c>
      <c r="B655" t="s">
        <v>2932</v>
      </c>
      <c r="C655" s="167">
        <v>12.15</v>
      </c>
      <c r="D655" t="s">
        <v>21</v>
      </c>
      <c r="E655" t="s">
        <v>2853</v>
      </c>
      <c r="F655" t="s">
        <v>7338</v>
      </c>
      <c r="G655" t="s">
        <v>7338</v>
      </c>
      <c r="I655" t="s">
        <v>2815</v>
      </c>
    </row>
    <row r="656" spans="1:9" x14ac:dyDescent="0.25">
      <c r="A656" t="s">
        <v>5134</v>
      </c>
      <c r="B656" t="s">
        <v>5135</v>
      </c>
      <c r="C656" s="167">
        <v>4.7</v>
      </c>
      <c r="D656" t="s">
        <v>5133</v>
      </c>
      <c r="E656" t="s">
        <v>2853</v>
      </c>
      <c r="F656" t="s">
        <v>7338</v>
      </c>
      <c r="G656" t="s">
        <v>7340</v>
      </c>
      <c r="I656" t="s">
        <v>2815</v>
      </c>
    </row>
    <row r="657" spans="1:9" x14ac:dyDescent="0.25">
      <c r="A657" t="s">
        <v>14</v>
      </c>
      <c r="B657" t="s">
        <v>15</v>
      </c>
      <c r="C657" s="167">
        <v>0.97</v>
      </c>
      <c r="D657" t="s">
        <v>2853</v>
      </c>
      <c r="E657" t="s">
        <v>2853</v>
      </c>
      <c r="F657" t="s">
        <v>7352</v>
      </c>
      <c r="G657" t="s">
        <v>7352</v>
      </c>
      <c r="I657" t="s">
        <v>2815</v>
      </c>
    </row>
    <row r="658" spans="1:9" x14ac:dyDescent="0.25">
      <c r="A658" t="s">
        <v>1704</v>
      </c>
      <c r="B658" t="s">
        <v>1705</v>
      </c>
      <c r="C658" s="167">
        <v>103.77</v>
      </c>
      <c r="D658" t="s">
        <v>21</v>
      </c>
      <c r="E658" t="s">
        <v>2853</v>
      </c>
      <c r="F658" t="s">
        <v>7339</v>
      </c>
      <c r="G658" t="s">
        <v>7340</v>
      </c>
      <c r="I658" t="s">
        <v>2893</v>
      </c>
    </row>
    <row r="659" spans="1:9" x14ac:dyDescent="0.25">
      <c r="A659" t="s">
        <v>1720</v>
      </c>
      <c r="B659" t="s">
        <v>1721</v>
      </c>
      <c r="C659" s="167">
        <v>103.77</v>
      </c>
      <c r="D659" t="s">
        <v>563</v>
      </c>
      <c r="E659" t="s">
        <v>2853</v>
      </c>
      <c r="F659" t="s">
        <v>7339</v>
      </c>
      <c r="G659" t="s">
        <v>7340</v>
      </c>
      <c r="I659" t="s">
        <v>2893</v>
      </c>
    </row>
    <row r="660" spans="1:9" x14ac:dyDescent="0.25">
      <c r="A660" t="s">
        <v>4749</v>
      </c>
      <c r="B660" t="s">
        <v>4750</v>
      </c>
      <c r="C660" s="167">
        <v>99.97</v>
      </c>
      <c r="D660" t="s">
        <v>4633</v>
      </c>
      <c r="E660" t="s">
        <v>2853</v>
      </c>
      <c r="F660" t="s">
        <v>7339</v>
      </c>
      <c r="G660" t="s">
        <v>7340</v>
      </c>
      <c r="I660" t="s">
        <v>2893</v>
      </c>
    </row>
    <row r="661" spans="1:9" x14ac:dyDescent="0.25">
      <c r="A661" t="s">
        <v>1736</v>
      </c>
      <c r="B661" t="s">
        <v>1737</v>
      </c>
      <c r="C661" s="167">
        <v>103.77</v>
      </c>
      <c r="D661" t="s">
        <v>671</v>
      </c>
      <c r="E661" t="s">
        <v>2853</v>
      </c>
      <c r="F661" t="s">
        <v>7339</v>
      </c>
      <c r="G661" t="s">
        <v>7340</v>
      </c>
      <c r="I661" t="s">
        <v>2893</v>
      </c>
    </row>
    <row r="662" spans="1:9" x14ac:dyDescent="0.25">
      <c r="A662" t="s">
        <v>1752</v>
      </c>
      <c r="B662" t="s">
        <v>1753</v>
      </c>
      <c r="C662" s="167">
        <v>103.77</v>
      </c>
      <c r="D662" t="s">
        <v>21</v>
      </c>
      <c r="E662" t="s">
        <v>2853</v>
      </c>
      <c r="F662" t="s">
        <v>7339</v>
      </c>
      <c r="G662" t="s">
        <v>7340</v>
      </c>
      <c r="I662" t="s">
        <v>2893</v>
      </c>
    </row>
    <row r="663" spans="1:9" x14ac:dyDescent="0.25">
      <c r="A663" t="s">
        <v>1768</v>
      </c>
      <c r="B663" t="s">
        <v>1769</v>
      </c>
      <c r="C663" s="167">
        <v>103.77</v>
      </c>
      <c r="D663" t="s">
        <v>563</v>
      </c>
      <c r="E663" t="s">
        <v>2853</v>
      </c>
      <c r="F663" t="s">
        <v>7339</v>
      </c>
      <c r="G663" t="s">
        <v>7340</v>
      </c>
      <c r="I663" t="s">
        <v>2893</v>
      </c>
    </row>
    <row r="664" spans="1:9" x14ac:dyDescent="0.25">
      <c r="A664" t="s">
        <v>4765</v>
      </c>
      <c r="B664" t="s">
        <v>4766</v>
      </c>
      <c r="C664" s="167">
        <v>99.97</v>
      </c>
      <c r="D664" t="s">
        <v>4633</v>
      </c>
      <c r="E664" t="s">
        <v>2853</v>
      </c>
      <c r="F664" t="s">
        <v>7339</v>
      </c>
      <c r="G664" t="s">
        <v>7340</v>
      </c>
      <c r="I664" t="s">
        <v>2893</v>
      </c>
    </row>
    <row r="665" spans="1:9" x14ac:dyDescent="0.25">
      <c r="A665" t="s">
        <v>1784</v>
      </c>
      <c r="B665" t="s">
        <v>1785</v>
      </c>
      <c r="C665" s="167">
        <v>103.77</v>
      </c>
      <c r="D665" t="s">
        <v>671</v>
      </c>
      <c r="E665" t="s">
        <v>2853</v>
      </c>
      <c r="F665" t="s">
        <v>7339</v>
      </c>
      <c r="G665" t="s">
        <v>7340</v>
      </c>
      <c r="I665" t="s">
        <v>2893</v>
      </c>
    </row>
    <row r="666" spans="1:9" x14ac:dyDescent="0.25">
      <c r="A666" t="s">
        <v>1706</v>
      </c>
      <c r="B666" t="s">
        <v>1707</v>
      </c>
      <c r="C666" s="167">
        <v>125.3</v>
      </c>
      <c r="D666" t="s">
        <v>21</v>
      </c>
      <c r="E666" t="s">
        <v>2853</v>
      </c>
      <c r="F666" t="s">
        <v>7341</v>
      </c>
      <c r="G666" t="s">
        <v>7340</v>
      </c>
      <c r="I666" t="s">
        <v>2893</v>
      </c>
    </row>
    <row r="667" spans="1:9" x14ac:dyDescent="0.25">
      <c r="A667" t="s">
        <v>1722</v>
      </c>
      <c r="B667" t="s">
        <v>1723</v>
      </c>
      <c r="C667" s="167">
        <v>125.3</v>
      </c>
      <c r="D667" t="s">
        <v>563</v>
      </c>
      <c r="E667" t="s">
        <v>2853</v>
      </c>
      <c r="F667" t="s">
        <v>7341</v>
      </c>
      <c r="G667" t="s">
        <v>7340</v>
      </c>
      <c r="I667" t="s">
        <v>2893</v>
      </c>
    </row>
    <row r="668" spans="1:9" x14ac:dyDescent="0.25">
      <c r="A668" t="s">
        <v>4751</v>
      </c>
      <c r="B668" t="s">
        <v>4752</v>
      </c>
      <c r="C668" s="167">
        <v>120.23</v>
      </c>
      <c r="D668" t="s">
        <v>4633</v>
      </c>
      <c r="E668" t="s">
        <v>2853</v>
      </c>
      <c r="F668" t="s">
        <v>7341</v>
      </c>
      <c r="G668" t="s">
        <v>7340</v>
      </c>
      <c r="I668" t="s">
        <v>2893</v>
      </c>
    </row>
    <row r="669" spans="1:9" x14ac:dyDescent="0.25">
      <c r="A669" t="s">
        <v>1738</v>
      </c>
      <c r="B669" t="s">
        <v>1739</v>
      </c>
      <c r="C669" s="167">
        <v>125.3</v>
      </c>
      <c r="D669" t="s">
        <v>671</v>
      </c>
      <c r="E669" t="s">
        <v>2853</v>
      </c>
      <c r="F669" t="s">
        <v>7341</v>
      </c>
      <c r="G669" t="s">
        <v>7340</v>
      </c>
      <c r="I669" t="s">
        <v>2893</v>
      </c>
    </row>
    <row r="670" spans="1:9" x14ac:dyDescent="0.25">
      <c r="A670" t="s">
        <v>1754</v>
      </c>
      <c r="B670" t="s">
        <v>1755</v>
      </c>
      <c r="C670" s="167">
        <v>125.3</v>
      </c>
      <c r="D670" t="s">
        <v>21</v>
      </c>
      <c r="E670" t="s">
        <v>2853</v>
      </c>
      <c r="F670" t="s">
        <v>7341</v>
      </c>
      <c r="G670" t="s">
        <v>7340</v>
      </c>
      <c r="I670" t="s">
        <v>2893</v>
      </c>
    </row>
    <row r="671" spans="1:9" x14ac:dyDescent="0.25">
      <c r="A671" t="s">
        <v>1770</v>
      </c>
      <c r="B671" t="s">
        <v>1771</v>
      </c>
      <c r="C671" s="167">
        <v>125.3</v>
      </c>
      <c r="D671" t="s">
        <v>563</v>
      </c>
      <c r="E671" t="s">
        <v>2853</v>
      </c>
      <c r="F671" t="s">
        <v>7341</v>
      </c>
      <c r="G671" t="s">
        <v>7340</v>
      </c>
      <c r="I671" t="s">
        <v>2893</v>
      </c>
    </row>
    <row r="672" spans="1:9" x14ac:dyDescent="0.25">
      <c r="A672" t="s">
        <v>4767</v>
      </c>
      <c r="B672" t="s">
        <v>4768</v>
      </c>
      <c r="C672" s="167">
        <v>120.23</v>
      </c>
      <c r="D672" t="s">
        <v>4633</v>
      </c>
      <c r="E672" t="s">
        <v>2853</v>
      </c>
      <c r="F672" t="s">
        <v>7341</v>
      </c>
      <c r="G672" t="s">
        <v>7340</v>
      </c>
      <c r="I672" t="s">
        <v>2893</v>
      </c>
    </row>
    <row r="673" spans="1:9" x14ac:dyDescent="0.25">
      <c r="A673" t="s">
        <v>1786</v>
      </c>
      <c r="B673" t="s">
        <v>1787</v>
      </c>
      <c r="C673" s="167">
        <v>125.3</v>
      </c>
      <c r="D673" t="s">
        <v>671</v>
      </c>
      <c r="E673" t="s">
        <v>2853</v>
      </c>
      <c r="F673" t="s">
        <v>7341</v>
      </c>
      <c r="G673" t="s">
        <v>7340</v>
      </c>
      <c r="I673" t="s">
        <v>2893</v>
      </c>
    </row>
    <row r="674" spans="1:9" x14ac:dyDescent="0.25">
      <c r="A674" t="s">
        <v>1708</v>
      </c>
      <c r="B674" t="s">
        <v>1709</v>
      </c>
      <c r="C674" s="167">
        <v>140.47</v>
      </c>
      <c r="D674" t="s">
        <v>21</v>
      </c>
      <c r="E674" t="s">
        <v>2853</v>
      </c>
      <c r="F674" t="s">
        <v>7344</v>
      </c>
      <c r="G674" t="s">
        <v>7340</v>
      </c>
      <c r="I674" t="s">
        <v>2893</v>
      </c>
    </row>
    <row r="675" spans="1:9" x14ac:dyDescent="0.25">
      <c r="A675" t="s">
        <v>1724</v>
      </c>
      <c r="B675" t="s">
        <v>1725</v>
      </c>
      <c r="C675" s="167">
        <v>140.47</v>
      </c>
      <c r="D675" t="s">
        <v>563</v>
      </c>
      <c r="E675" t="s">
        <v>2853</v>
      </c>
      <c r="F675" t="s">
        <v>7344</v>
      </c>
      <c r="G675" t="s">
        <v>7340</v>
      </c>
      <c r="I675" t="s">
        <v>2893</v>
      </c>
    </row>
    <row r="676" spans="1:9" x14ac:dyDescent="0.25">
      <c r="A676" t="s">
        <v>4753</v>
      </c>
      <c r="B676" t="s">
        <v>4754</v>
      </c>
      <c r="C676" s="167">
        <v>135.41</v>
      </c>
      <c r="D676" t="s">
        <v>4633</v>
      </c>
      <c r="E676" t="s">
        <v>2853</v>
      </c>
      <c r="F676" t="s">
        <v>7344</v>
      </c>
      <c r="G676" t="s">
        <v>7340</v>
      </c>
      <c r="I676" t="s">
        <v>2893</v>
      </c>
    </row>
    <row r="677" spans="1:9" x14ac:dyDescent="0.25">
      <c r="A677" t="s">
        <v>1740</v>
      </c>
      <c r="B677" t="s">
        <v>1741</v>
      </c>
      <c r="C677" s="167">
        <v>140.47</v>
      </c>
      <c r="D677" t="s">
        <v>671</v>
      </c>
      <c r="E677" t="s">
        <v>2853</v>
      </c>
      <c r="F677" t="s">
        <v>7344</v>
      </c>
      <c r="G677" t="s">
        <v>7340</v>
      </c>
      <c r="I677" t="s">
        <v>2893</v>
      </c>
    </row>
    <row r="678" spans="1:9" x14ac:dyDescent="0.25">
      <c r="A678" t="s">
        <v>1756</v>
      </c>
      <c r="B678" t="s">
        <v>1757</v>
      </c>
      <c r="C678" s="167">
        <v>140.47</v>
      </c>
      <c r="D678" t="s">
        <v>21</v>
      </c>
      <c r="E678" t="s">
        <v>2853</v>
      </c>
      <c r="F678" t="s">
        <v>7344</v>
      </c>
      <c r="G678" t="s">
        <v>7340</v>
      </c>
      <c r="I678" t="s">
        <v>2893</v>
      </c>
    </row>
    <row r="679" spans="1:9" x14ac:dyDescent="0.25">
      <c r="A679" t="s">
        <v>1772</v>
      </c>
      <c r="B679" t="s">
        <v>1773</v>
      </c>
      <c r="C679" s="167">
        <v>140.47</v>
      </c>
      <c r="D679" t="s">
        <v>563</v>
      </c>
      <c r="E679" t="s">
        <v>2853</v>
      </c>
      <c r="F679" t="s">
        <v>7344</v>
      </c>
      <c r="G679" t="s">
        <v>7340</v>
      </c>
      <c r="I679" t="s">
        <v>2893</v>
      </c>
    </row>
    <row r="680" spans="1:9" x14ac:dyDescent="0.25">
      <c r="A680" t="s">
        <v>4769</v>
      </c>
      <c r="B680" t="s">
        <v>4770</v>
      </c>
      <c r="C680" s="167">
        <v>135.41</v>
      </c>
      <c r="D680" t="s">
        <v>4633</v>
      </c>
      <c r="E680" t="s">
        <v>2853</v>
      </c>
      <c r="F680" t="s">
        <v>7344</v>
      </c>
      <c r="G680" t="s">
        <v>7340</v>
      </c>
      <c r="I680" t="s">
        <v>2893</v>
      </c>
    </row>
    <row r="681" spans="1:9" x14ac:dyDescent="0.25">
      <c r="A681" t="s">
        <v>1788</v>
      </c>
      <c r="B681" t="s">
        <v>1789</v>
      </c>
      <c r="C681" s="167">
        <v>140.47</v>
      </c>
      <c r="D681" t="s">
        <v>671</v>
      </c>
      <c r="E681" t="s">
        <v>2853</v>
      </c>
      <c r="F681" t="s">
        <v>7344</v>
      </c>
      <c r="G681" t="s">
        <v>7340</v>
      </c>
      <c r="I681" t="s">
        <v>2893</v>
      </c>
    </row>
    <row r="682" spans="1:9" x14ac:dyDescent="0.25">
      <c r="A682" t="s">
        <v>1710</v>
      </c>
      <c r="B682" t="s">
        <v>1711</v>
      </c>
      <c r="C682" s="167">
        <v>158.19</v>
      </c>
      <c r="D682" t="s">
        <v>21</v>
      </c>
      <c r="E682" t="s">
        <v>2853</v>
      </c>
      <c r="F682" t="s">
        <v>7343</v>
      </c>
      <c r="G682" t="s">
        <v>7340</v>
      </c>
      <c r="I682" t="s">
        <v>2893</v>
      </c>
    </row>
    <row r="683" spans="1:9" x14ac:dyDescent="0.25">
      <c r="A683" t="s">
        <v>1726</v>
      </c>
      <c r="B683" t="s">
        <v>1727</v>
      </c>
      <c r="C683" s="167">
        <v>158.19</v>
      </c>
      <c r="D683" t="s">
        <v>563</v>
      </c>
      <c r="E683" t="s">
        <v>2853</v>
      </c>
      <c r="F683" t="s">
        <v>7343</v>
      </c>
      <c r="G683" t="s">
        <v>7340</v>
      </c>
      <c r="I683" t="s">
        <v>2893</v>
      </c>
    </row>
    <row r="684" spans="1:9" x14ac:dyDescent="0.25">
      <c r="A684" t="s">
        <v>4755</v>
      </c>
      <c r="B684" t="s">
        <v>4756</v>
      </c>
      <c r="C684" s="167">
        <v>151.87</v>
      </c>
      <c r="D684" t="s">
        <v>4633</v>
      </c>
      <c r="E684" t="s">
        <v>2853</v>
      </c>
      <c r="F684" t="s">
        <v>7343</v>
      </c>
      <c r="G684" t="s">
        <v>7340</v>
      </c>
      <c r="I684" t="s">
        <v>2893</v>
      </c>
    </row>
    <row r="685" spans="1:9" x14ac:dyDescent="0.25">
      <c r="A685" t="s">
        <v>1742</v>
      </c>
      <c r="B685" t="s">
        <v>1743</v>
      </c>
      <c r="C685" s="167">
        <v>158.19</v>
      </c>
      <c r="D685" t="s">
        <v>671</v>
      </c>
      <c r="E685" t="s">
        <v>2853</v>
      </c>
      <c r="F685" t="s">
        <v>7343</v>
      </c>
      <c r="G685" t="s">
        <v>7340</v>
      </c>
      <c r="I685" t="s">
        <v>2893</v>
      </c>
    </row>
    <row r="686" spans="1:9" x14ac:dyDescent="0.25">
      <c r="A686" t="s">
        <v>1758</v>
      </c>
      <c r="B686" t="s">
        <v>1759</v>
      </c>
      <c r="C686" s="167">
        <v>158.19</v>
      </c>
      <c r="D686" t="s">
        <v>21</v>
      </c>
      <c r="E686" t="s">
        <v>2853</v>
      </c>
      <c r="F686" t="s">
        <v>7343</v>
      </c>
      <c r="G686" t="s">
        <v>7340</v>
      </c>
      <c r="I686" t="s">
        <v>2893</v>
      </c>
    </row>
    <row r="687" spans="1:9" x14ac:dyDescent="0.25">
      <c r="A687" t="s">
        <v>1774</v>
      </c>
      <c r="B687" t="s">
        <v>1775</v>
      </c>
      <c r="C687" s="167">
        <v>158.19</v>
      </c>
      <c r="D687" t="s">
        <v>563</v>
      </c>
      <c r="E687" t="s">
        <v>2853</v>
      </c>
      <c r="F687" t="s">
        <v>7343</v>
      </c>
      <c r="G687" t="s">
        <v>7340</v>
      </c>
      <c r="I687" t="s">
        <v>2893</v>
      </c>
    </row>
    <row r="688" spans="1:9" x14ac:dyDescent="0.25">
      <c r="A688" t="s">
        <v>4771</v>
      </c>
      <c r="B688" t="s">
        <v>4772</v>
      </c>
      <c r="C688" s="167">
        <v>151.87</v>
      </c>
      <c r="D688" t="s">
        <v>4633</v>
      </c>
      <c r="E688" t="s">
        <v>2853</v>
      </c>
      <c r="F688" t="s">
        <v>7343</v>
      </c>
      <c r="G688" t="s">
        <v>7340</v>
      </c>
      <c r="I688" t="s">
        <v>2893</v>
      </c>
    </row>
    <row r="689" spans="1:9" x14ac:dyDescent="0.25">
      <c r="A689" t="s">
        <v>1790</v>
      </c>
      <c r="B689" t="s">
        <v>1791</v>
      </c>
      <c r="C689" s="167">
        <v>158.19</v>
      </c>
      <c r="D689" t="s">
        <v>671</v>
      </c>
      <c r="E689" t="s">
        <v>2853</v>
      </c>
      <c r="F689" t="s">
        <v>7343</v>
      </c>
      <c r="G689" t="s">
        <v>7340</v>
      </c>
      <c r="I689" t="s">
        <v>2893</v>
      </c>
    </row>
    <row r="690" spans="1:9" x14ac:dyDescent="0.25">
      <c r="A690" t="s">
        <v>825</v>
      </c>
      <c r="B690" t="s">
        <v>2938</v>
      </c>
      <c r="C690" s="167">
        <v>178.49</v>
      </c>
      <c r="D690" t="s">
        <v>21</v>
      </c>
      <c r="E690" t="s">
        <v>1701</v>
      </c>
      <c r="F690" t="s">
        <v>7339</v>
      </c>
      <c r="G690" t="s">
        <v>7340</v>
      </c>
      <c r="I690" t="s">
        <v>2809</v>
      </c>
    </row>
    <row r="691" spans="1:9" x14ac:dyDescent="0.25">
      <c r="A691" t="s">
        <v>828</v>
      </c>
      <c r="B691" t="s">
        <v>2941</v>
      </c>
      <c r="C691" s="167">
        <v>178.49</v>
      </c>
      <c r="D691" t="s">
        <v>563</v>
      </c>
      <c r="E691" t="s">
        <v>1701</v>
      </c>
      <c r="F691" t="s">
        <v>7339</v>
      </c>
      <c r="G691" t="s">
        <v>7340</v>
      </c>
      <c r="I691" t="s">
        <v>2809</v>
      </c>
    </row>
    <row r="692" spans="1:9" x14ac:dyDescent="0.25">
      <c r="A692" t="s">
        <v>831</v>
      </c>
      <c r="B692" t="s">
        <v>2944</v>
      </c>
      <c r="C692" s="167">
        <v>178.49</v>
      </c>
      <c r="D692" t="s">
        <v>671</v>
      </c>
      <c r="E692" t="s">
        <v>1701</v>
      </c>
      <c r="F692" t="s">
        <v>7339</v>
      </c>
      <c r="G692" t="s">
        <v>7340</v>
      </c>
      <c r="I692" t="s">
        <v>2809</v>
      </c>
    </row>
    <row r="693" spans="1:9" x14ac:dyDescent="0.25">
      <c r="A693" t="s">
        <v>826</v>
      </c>
      <c r="B693" t="s">
        <v>2939</v>
      </c>
      <c r="C693" s="167">
        <v>178.49</v>
      </c>
      <c r="D693" t="s">
        <v>21</v>
      </c>
      <c r="E693" t="s">
        <v>1699</v>
      </c>
      <c r="F693" t="s">
        <v>7339</v>
      </c>
      <c r="G693" t="s">
        <v>7340</v>
      </c>
      <c r="I693" t="s">
        <v>2809</v>
      </c>
    </row>
    <row r="694" spans="1:9" x14ac:dyDescent="0.25">
      <c r="A694" t="s">
        <v>829</v>
      </c>
      <c r="B694" t="s">
        <v>2942</v>
      </c>
      <c r="C694" s="167">
        <v>178.49</v>
      </c>
      <c r="D694" t="s">
        <v>563</v>
      </c>
      <c r="E694" t="s">
        <v>1699</v>
      </c>
      <c r="F694" t="s">
        <v>7339</v>
      </c>
      <c r="G694" t="s">
        <v>7340</v>
      </c>
      <c r="I694" t="s">
        <v>2809</v>
      </c>
    </row>
    <row r="695" spans="1:9" x14ac:dyDescent="0.25">
      <c r="A695" t="s">
        <v>832</v>
      </c>
      <c r="B695" t="s">
        <v>2945</v>
      </c>
      <c r="C695" s="167">
        <v>178.49</v>
      </c>
      <c r="D695" t="s">
        <v>671</v>
      </c>
      <c r="E695" t="s">
        <v>1699</v>
      </c>
      <c r="F695" t="s">
        <v>7339</v>
      </c>
      <c r="G695" t="s">
        <v>7340</v>
      </c>
      <c r="I695" t="s">
        <v>2809</v>
      </c>
    </row>
    <row r="696" spans="1:9" x14ac:dyDescent="0.25">
      <c r="A696" t="s">
        <v>827</v>
      </c>
      <c r="B696" t="s">
        <v>2940</v>
      </c>
      <c r="C696" s="167">
        <v>178.49</v>
      </c>
      <c r="D696" t="s">
        <v>21</v>
      </c>
      <c r="E696" t="s">
        <v>1703</v>
      </c>
      <c r="F696" t="s">
        <v>7339</v>
      </c>
      <c r="G696" t="s">
        <v>7340</v>
      </c>
      <c r="I696" t="s">
        <v>2809</v>
      </c>
    </row>
    <row r="697" spans="1:9" x14ac:dyDescent="0.25">
      <c r="A697" t="s">
        <v>830</v>
      </c>
      <c r="B697" t="s">
        <v>2943</v>
      </c>
      <c r="C697" s="167">
        <v>178.49</v>
      </c>
      <c r="D697" t="s">
        <v>563</v>
      </c>
      <c r="E697" t="s">
        <v>1703</v>
      </c>
      <c r="F697" t="s">
        <v>7339</v>
      </c>
      <c r="G697" t="s">
        <v>7340</v>
      </c>
      <c r="I697" t="s">
        <v>2809</v>
      </c>
    </row>
    <row r="698" spans="1:9" x14ac:dyDescent="0.25">
      <c r="A698" t="s">
        <v>833</v>
      </c>
      <c r="B698" t="s">
        <v>2946</v>
      </c>
      <c r="C698" s="167">
        <v>178.49</v>
      </c>
      <c r="D698" t="s">
        <v>671</v>
      </c>
      <c r="E698" t="s">
        <v>1703</v>
      </c>
      <c r="F698" t="s">
        <v>7339</v>
      </c>
      <c r="G698" t="s">
        <v>7340</v>
      </c>
      <c r="I698" t="s">
        <v>2809</v>
      </c>
    </row>
    <row r="699" spans="1:9" x14ac:dyDescent="0.25">
      <c r="A699" t="s">
        <v>834</v>
      </c>
      <c r="B699" t="s">
        <v>2947</v>
      </c>
      <c r="C699" s="167">
        <v>211.55</v>
      </c>
      <c r="D699" t="s">
        <v>21</v>
      </c>
      <c r="E699" t="s">
        <v>1701</v>
      </c>
      <c r="F699" t="s">
        <v>7341</v>
      </c>
      <c r="G699" t="s">
        <v>7340</v>
      </c>
      <c r="I699" t="s">
        <v>2809</v>
      </c>
    </row>
    <row r="700" spans="1:9" x14ac:dyDescent="0.25">
      <c r="A700" t="s">
        <v>837</v>
      </c>
      <c r="B700" t="s">
        <v>2950</v>
      </c>
      <c r="C700" s="167">
        <v>211.55</v>
      </c>
      <c r="D700" t="s">
        <v>563</v>
      </c>
      <c r="E700" t="s">
        <v>1701</v>
      </c>
      <c r="F700" t="s">
        <v>7341</v>
      </c>
      <c r="G700" t="s">
        <v>7340</v>
      </c>
      <c r="I700" t="s">
        <v>2809</v>
      </c>
    </row>
    <row r="701" spans="1:9" x14ac:dyDescent="0.25">
      <c r="A701" t="s">
        <v>840</v>
      </c>
      <c r="B701" t="s">
        <v>2953</v>
      </c>
      <c r="C701" s="167">
        <v>211.55</v>
      </c>
      <c r="D701" t="s">
        <v>671</v>
      </c>
      <c r="E701" t="s">
        <v>1701</v>
      </c>
      <c r="F701" t="s">
        <v>7341</v>
      </c>
      <c r="G701" t="s">
        <v>7340</v>
      </c>
      <c r="I701" t="s">
        <v>2809</v>
      </c>
    </row>
    <row r="702" spans="1:9" x14ac:dyDescent="0.25">
      <c r="A702" t="s">
        <v>835</v>
      </c>
      <c r="B702" t="s">
        <v>2948</v>
      </c>
      <c r="C702" s="167">
        <v>211.55</v>
      </c>
      <c r="D702" t="s">
        <v>21</v>
      </c>
      <c r="E702" t="s">
        <v>1699</v>
      </c>
      <c r="F702" t="s">
        <v>7341</v>
      </c>
      <c r="G702" t="s">
        <v>7340</v>
      </c>
      <c r="I702" t="s">
        <v>2809</v>
      </c>
    </row>
    <row r="703" spans="1:9" x14ac:dyDescent="0.25">
      <c r="A703" t="s">
        <v>838</v>
      </c>
      <c r="B703" t="s">
        <v>2951</v>
      </c>
      <c r="C703" s="167">
        <v>211.55</v>
      </c>
      <c r="D703" t="s">
        <v>563</v>
      </c>
      <c r="E703" t="s">
        <v>1699</v>
      </c>
      <c r="F703" t="s">
        <v>7341</v>
      </c>
      <c r="G703" t="s">
        <v>7340</v>
      </c>
      <c r="I703" t="s">
        <v>2809</v>
      </c>
    </row>
    <row r="704" spans="1:9" x14ac:dyDescent="0.25">
      <c r="A704" t="s">
        <v>841</v>
      </c>
      <c r="B704" t="s">
        <v>2954</v>
      </c>
      <c r="C704" s="167">
        <v>211.55</v>
      </c>
      <c r="D704" t="s">
        <v>671</v>
      </c>
      <c r="E704" t="s">
        <v>1699</v>
      </c>
      <c r="F704" t="s">
        <v>7341</v>
      </c>
      <c r="G704" t="s">
        <v>7340</v>
      </c>
      <c r="I704" t="s">
        <v>2809</v>
      </c>
    </row>
    <row r="705" spans="1:9" x14ac:dyDescent="0.25">
      <c r="A705" t="s">
        <v>836</v>
      </c>
      <c r="B705" t="s">
        <v>2949</v>
      </c>
      <c r="C705" s="167">
        <v>211.55</v>
      </c>
      <c r="D705" t="s">
        <v>21</v>
      </c>
      <c r="E705" t="s">
        <v>1703</v>
      </c>
      <c r="F705" t="s">
        <v>7341</v>
      </c>
      <c r="G705" t="s">
        <v>7340</v>
      </c>
      <c r="I705" t="s">
        <v>2809</v>
      </c>
    </row>
    <row r="706" spans="1:9" x14ac:dyDescent="0.25">
      <c r="A706" t="s">
        <v>839</v>
      </c>
      <c r="B706" t="s">
        <v>2952</v>
      </c>
      <c r="C706" s="167">
        <v>211.55</v>
      </c>
      <c r="D706" t="s">
        <v>563</v>
      </c>
      <c r="E706" t="s">
        <v>1703</v>
      </c>
      <c r="F706" t="s">
        <v>7341</v>
      </c>
      <c r="G706" t="s">
        <v>7340</v>
      </c>
      <c r="I706" t="s">
        <v>2809</v>
      </c>
    </row>
    <row r="707" spans="1:9" x14ac:dyDescent="0.25">
      <c r="A707" t="s">
        <v>842</v>
      </c>
      <c r="B707" t="s">
        <v>2955</v>
      </c>
      <c r="C707" s="167">
        <v>211.55</v>
      </c>
      <c r="D707" t="s">
        <v>671</v>
      </c>
      <c r="E707" t="s">
        <v>1703</v>
      </c>
      <c r="F707" t="s">
        <v>7341</v>
      </c>
      <c r="G707" t="s">
        <v>7340</v>
      </c>
      <c r="I707" t="s">
        <v>2809</v>
      </c>
    </row>
    <row r="708" spans="1:9" x14ac:dyDescent="0.25">
      <c r="A708" t="s">
        <v>843</v>
      </c>
      <c r="B708" t="s">
        <v>2956</v>
      </c>
      <c r="C708" s="167">
        <v>237.99</v>
      </c>
      <c r="D708" t="s">
        <v>21</v>
      </c>
      <c r="E708" t="s">
        <v>1701</v>
      </c>
      <c r="F708" t="s">
        <v>7344</v>
      </c>
      <c r="G708" t="s">
        <v>7340</v>
      </c>
      <c r="I708" t="s">
        <v>2809</v>
      </c>
    </row>
    <row r="709" spans="1:9" x14ac:dyDescent="0.25">
      <c r="A709" t="s">
        <v>846</v>
      </c>
      <c r="B709" t="s">
        <v>2959</v>
      </c>
      <c r="C709" s="167">
        <v>237.99</v>
      </c>
      <c r="D709" t="s">
        <v>563</v>
      </c>
      <c r="E709" t="s">
        <v>1701</v>
      </c>
      <c r="F709" t="s">
        <v>7344</v>
      </c>
      <c r="G709" t="s">
        <v>7340</v>
      </c>
      <c r="I709" t="s">
        <v>2809</v>
      </c>
    </row>
    <row r="710" spans="1:9" x14ac:dyDescent="0.25">
      <c r="A710" t="s">
        <v>849</v>
      </c>
      <c r="B710" t="s">
        <v>2962</v>
      </c>
      <c r="C710" s="167">
        <v>237.99</v>
      </c>
      <c r="D710" t="s">
        <v>671</v>
      </c>
      <c r="E710" t="s">
        <v>1701</v>
      </c>
      <c r="F710" t="s">
        <v>7344</v>
      </c>
      <c r="G710" t="s">
        <v>7340</v>
      </c>
      <c r="I710" t="s">
        <v>2809</v>
      </c>
    </row>
    <row r="711" spans="1:9" x14ac:dyDescent="0.25">
      <c r="A711" t="s">
        <v>844</v>
      </c>
      <c r="B711" t="s">
        <v>2957</v>
      </c>
      <c r="C711" s="167">
        <v>237.99</v>
      </c>
      <c r="D711" t="s">
        <v>21</v>
      </c>
      <c r="E711" t="s">
        <v>1699</v>
      </c>
      <c r="F711" t="s">
        <v>7344</v>
      </c>
      <c r="G711" t="s">
        <v>7340</v>
      </c>
      <c r="I711" t="s">
        <v>2809</v>
      </c>
    </row>
    <row r="712" spans="1:9" x14ac:dyDescent="0.25">
      <c r="A712" t="s">
        <v>847</v>
      </c>
      <c r="B712" t="s">
        <v>2960</v>
      </c>
      <c r="C712" s="167">
        <v>237.99</v>
      </c>
      <c r="D712" t="s">
        <v>563</v>
      </c>
      <c r="E712" t="s">
        <v>1699</v>
      </c>
      <c r="F712" t="s">
        <v>7344</v>
      </c>
      <c r="G712" t="s">
        <v>7340</v>
      </c>
      <c r="I712" t="s">
        <v>2809</v>
      </c>
    </row>
    <row r="713" spans="1:9" x14ac:dyDescent="0.25">
      <c r="A713" t="s">
        <v>850</v>
      </c>
      <c r="B713" t="s">
        <v>2963</v>
      </c>
      <c r="C713" s="167">
        <v>237.99</v>
      </c>
      <c r="D713" t="s">
        <v>671</v>
      </c>
      <c r="E713" t="s">
        <v>1699</v>
      </c>
      <c r="F713" t="s">
        <v>7344</v>
      </c>
      <c r="G713" t="s">
        <v>7340</v>
      </c>
      <c r="I713" t="s">
        <v>2809</v>
      </c>
    </row>
    <row r="714" spans="1:9" x14ac:dyDescent="0.25">
      <c r="A714" t="s">
        <v>845</v>
      </c>
      <c r="B714" t="s">
        <v>2958</v>
      </c>
      <c r="C714" s="167">
        <v>237.99</v>
      </c>
      <c r="D714" t="s">
        <v>21</v>
      </c>
      <c r="E714" t="s">
        <v>1703</v>
      </c>
      <c r="F714" t="s">
        <v>7344</v>
      </c>
      <c r="G714" t="s">
        <v>7340</v>
      </c>
      <c r="I714" t="s">
        <v>2809</v>
      </c>
    </row>
    <row r="715" spans="1:9" x14ac:dyDescent="0.25">
      <c r="A715" t="s">
        <v>848</v>
      </c>
      <c r="B715" t="s">
        <v>2961</v>
      </c>
      <c r="C715" s="167">
        <v>237.99</v>
      </c>
      <c r="D715" t="s">
        <v>563</v>
      </c>
      <c r="E715" t="s">
        <v>1703</v>
      </c>
      <c r="F715" t="s">
        <v>7344</v>
      </c>
      <c r="G715" t="s">
        <v>7340</v>
      </c>
      <c r="I715" t="s">
        <v>2809</v>
      </c>
    </row>
    <row r="716" spans="1:9" x14ac:dyDescent="0.25">
      <c r="A716" t="s">
        <v>851</v>
      </c>
      <c r="B716" t="s">
        <v>2964</v>
      </c>
      <c r="C716" s="167">
        <v>237.99</v>
      </c>
      <c r="D716" t="s">
        <v>671</v>
      </c>
      <c r="E716" t="s">
        <v>1703</v>
      </c>
      <c r="F716" t="s">
        <v>7344</v>
      </c>
      <c r="G716" t="s">
        <v>7340</v>
      </c>
      <c r="I716" t="s">
        <v>2809</v>
      </c>
    </row>
    <row r="717" spans="1:9" x14ac:dyDescent="0.25">
      <c r="A717" t="s">
        <v>852</v>
      </c>
      <c r="B717" t="s">
        <v>2965</v>
      </c>
      <c r="C717" s="167">
        <v>264.44</v>
      </c>
      <c r="D717" t="s">
        <v>21</v>
      </c>
      <c r="E717" t="s">
        <v>1701</v>
      </c>
      <c r="F717" t="s">
        <v>7343</v>
      </c>
      <c r="G717" t="s">
        <v>7340</v>
      </c>
      <c r="I717" t="s">
        <v>2809</v>
      </c>
    </row>
    <row r="718" spans="1:9" x14ac:dyDescent="0.25">
      <c r="A718" t="s">
        <v>855</v>
      </c>
      <c r="B718" t="s">
        <v>2968</v>
      </c>
      <c r="C718" s="167">
        <v>264.44</v>
      </c>
      <c r="D718" t="s">
        <v>563</v>
      </c>
      <c r="E718" t="s">
        <v>1701</v>
      </c>
      <c r="F718" t="s">
        <v>7343</v>
      </c>
      <c r="G718" t="s">
        <v>7340</v>
      </c>
      <c r="I718" t="s">
        <v>2809</v>
      </c>
    </row>
    <row r="719" spans="1:9" x14ac:dyDescent="0.25">
      <c r="A719" t="s">
        <v>858</v>
      </c>
      <c r="B719" t="s">
        <v>2971</v>
      </c>
      <c r="C719" s="167">
        <v>264.44</v>
      </c>
      <c r="D719" t="s">
        <v>671</v>
      </c>
      <c r="E719" t="s">
        <v>1701</v>
      </c>
      <c r="F719" t="s">
        <v>7343</v>
      </c>
      <c r="G719" t="s">
        <v>7340</v>
      </c>
      <c r="I719" t="s">
        <v>2809</v>
      </c>
    </row>
    <row r="720" spans="1:9" x14ac:dyDescent="0.25">
      <c r="A720" t="s">
        <v>853</v>
      </c>
      <c r="B720" t="s">
        <v>2966</v>
      </c>
      <c r="C720" s="167">
        <v>264.44</v>
      </c>
      <c r="D720" t="s">
        <v>21</v>
      </c>
      <c r="E720" t="s">
        <v>1699</v>
      </c>
      <c r="F720" t="s">
        <v>7343</v>
      </c>
      <c r="G720" t="s">
        <v>7340</v>
      </c>
      <c r="I720" t="s">
        <v>2809</v>
      </c>
    </row>
    <row r="721" spans="1:9" x14ac:dyDescent="0.25">
      <c r="A721" t="s">
        <v>856</v>
      </c>
      <c r="B721" t="s">
        <v>2969</v>
      </c>
      <c r="C721" s="167">
        <v>264.44</v>
      </c>
      <c r="D721" t="s">
        <v>563</v>
      </c>
      <c r="E721" t="s">
        <v>1699</v>
      </c>
      <c r="F721" t="s">
        <v>7343</v>
      </c>
      <c r="G721" t="s">
        <v>7340</v>
      </c>
      <c r="I721" t="s">
        <v>2809</v>
      </c>
    </row>
    <row r="722" spans="1:9" x14ac:dyDescent="0.25">
      <c r="A722" t="s">
        <v>859</v>
      </c>
      <c r="B722" t="s">
        <v>2972</v>
      </c>
      <c r="C722" s="167">
        <v>264.44</v>
      </c>
      <c r="D722" t="s">
        <v>671</v>
      </c>
      <c r="E722" t="s">
        <v>1699</v>
      </c>
      <c r="F722" t="s">
        <v>7343</v>
      </c>
      <c r="G722" t="s">
        <v>7340</v>
      </c>
      <c r="I722" t="s">
        <v>2809</v>
      </c>
    </row>
    <row r="723" spans="1:9" x14ac:dyDescent="0.25">
      <c r="A723" t="s">
        <v>854</v>
      </c>
      <c r="B723" t="s">
        <v>2967</v>
      </c>
      <c r="C723" s="167">
        <v>264.44</v>
      </c>
      <c r="D723" t="s">
        <v>21</v>
      </c>
      <c r="E723" t="s">
        <v>1703</v>
      </c>
      <c r="F723" t="s">
        <v>7343</v>
      </c>
      <c r="G723" t="s">
        <v>7340</v>
      </c>
      <c r="I723" t="s">
        <v>2809</v>
      </c>
    </row>
    <row r="724" spans="1:9" x14ac:dyDescent="0.25">
      <c r="A724" t="s">
        <v>857</v>
      </c>
      <c r="B724" t="s">
        <v>2970</v>
      </c>
      <c r="C724" s="167">
        <v>264.44</v>
      </c>
      <c r="D724" t="s">
        <v>563</v>
      </c>
      <c r="E724" t="s">
        <v>1703</v>
      </c>
      <c r="F724" t="s">
        <v>7343</v>
      </c>
      <c r="G724" t="s">
        <v>7340</v>
      </c>
      <c r="I724" t="s">
        <v>2809</v>
      </c>
    </row>
    <row r="725" spans="1:9" x14ac:dyDescent="0.25">
      <c r="A725" t="s">
        <v>860</v>
      </c>
      <c r="B725" t="s">
        <v>2973</v>
      </c>
      <c r="C725" s="167">
        <v>264.44</v>
      </c>
      <c r="D725" t="s">
        <v>671</v>
      </c>
      <c r="E725" t="s">
        <v>1703</v>
      </c>
      <c r="F725" t="s">
        <v>7343</v>
      </c>
      <c r="G725" t="s">
        <v>7340</v>
      </c>
      <c r="I725" t="s">
        <v>2809</v>
      </c>
    </row>
    <row r="726" spans="1:9" x14ac:dyDescent="0.25">
      <c r="A726" t="s">
        <v>861</v>
      </c>
      <c r="B726" t="s">
        <v>2974</v>
      </c>
      <c r="C726" s="167">
        <v>165.27</v>
      </c>
      <c r="D726" t="s">
        <v>21</v>
      </c>
      <c r="E726" t="s">
        <v>1701</v>
      </c>
      <c r="F726" t="s">
        <v>7339</v>
      </c>
      <c r="G726" t="s">
        <v>7340</v>
      </c>
      <c r="I726" t="s">
        <v>2809</v>
      </c>
    </row>
    <row r="727" spans="1:9" x14ac:dyDescent="0.25">
      <c r="A727" t="s">
        <v>864</v>
      </c>
      <c r="B727" t="s">
        <v>2977</v>
      </c>
      <c r="C727" s="167">
        <v>165.27</v>
      </c>
      <c r="D727" t="s">
        <v>563</v>
      </c>
      <c r="E727" t="s">
        <v>1701</v>
      </c>
      <c r="F727" t="s">
        <v>7339</v>
      </c>
      <c r="G727" t="s">
        <v>7340</v>
      </c>
      <c r="I727" t="s">
        <v>2809</v>
      </c>
    </row>
    <row r="728" spans="1:9" x14ac:dyDescent="0.25">
      <c r="A728" t="s">
        <v>867</v>
      </c>
      <c r="B728" t="s">
        <v>2980</v>
      </c>
      <c r="C728" s="167">
        <v>165.27</v>
      </c>
      <c r="D728" t="s">
        <v>671</v>
      </c>
      <c r="E728" t="s">
        <v>1701</v>
      </c>
      <c r="F728" t="s">
        <v>7339</v>
      </c>
      <c r="G728" t="s">
        <v>7340</v>
      </c>
      <c r="I728" t="s">
        <v>2809</v>
      </c>
    </row>
    <row r="729" spans="1:9" x14ac:dyDescent="0.25">
      <c r="A729" t="s">
        <v>862</v>
      </c>
      <c r="B729" t="s">
        <v>2975</v>
      </c>
      <c r="C729" s="167">
        <v>165.27</v>
      </c>
      <c r="D729" t="s">
        <v>21</v>
      </c>
      <c r="E729" t="s">
        <v>1699</v>
      </c>
      <c r="F729" t="s">
        <v>7339</v>
      </c>
      <c r="G729" t="s">
        <v>7340</v>
      </c>
      <c r="I729" t="s">
        <v>2809</v>
      </c>
    </row>
    <row r="730" spans="1:9" x14ac:dyDescent="0.25">
      <c r="A730" t="s">
        <v>865</v>
      </c>
      <c r="B730" t="s">
        <v>2978</v>
      </c>
      <c r="C730" s="167">
        <v>165.27</v>
      </c>
      <c r="D730" t="s">
        <v>563</v>
      </c>
      <c r="E730" t="s">
        <v>1699</v>
      </c>
      <c r="F730" t="s">
        <v>7339</v>
      </c>
      <c r="G730" t="s">
        <v>7340</v>
      </c>
      <c r="I730" t="s">
        <v>2809</v>
      </c>
    </row>
    <row r="731" spans="1:9" x14ac:dyDescent="0.25">
      <c r="A731" t="s">
        <v>868</v>
      </c>
      <c r="B731" t="s">
        <v>2981</v>
      </c>
      <c r="C731" s="167">
        <v>165.27</v>
      </c>
      <c r="D731" t="s">
        <v>671</v>
      </c>
      <c r="E731" t="s">
        <v>1699</v>
      </c>
      <c r="F731" t="s">
        <v>7339</v>
      </c>
      <c r="G731" t="s">
        <v>7340</v>
      </c>
      <c r="I731" t="s">
        <v>2809</v>
      </c>
    </row>
    <row r="732" spans="1:9" x14ac:dyDescent="0.25">
      <c r="A732" t="s">
        <v>863</v>
      </c>
      <c r="B732" t="s">
        <v>2976</v>
      </c>
      <c r="C732" s="167">
        <v>165.27</v>
      </c>
      <c r="D732" t="s">
        <v>21</v>
      </c>
      <c r="E732" t="s">
        <v>1703</v>
      </c>
      <c r="F732" t="s">
        <v>7339</v>
      </c>
      <c r="G732" t="s">
        <v>7340</v>
      </c>
      <c r="I732" t="s">
        <v>2809</v>
      </c>
    </row>
    <row r="733" spans="1:9" x14ac:dyDescent="0.25">
      <c r="A733" t="s">
        <v>866</v>
      </c>
      <c r="B733" t="s">
        <v>2979</v>
      </c>
      <c r="C733" s="167">
        <v>165.27</v>
      </c>
      <c r="D733" t="s">
        <v>563</v>
      </c>
      <c r="E733" t="s">
        <v>1703</v>
      </c>
      <c r="F733" t="s">
        <v>7339</v>
      </c>
      <c r="G733" t="s">
        <v>7340</v>
      </c>
      <c r="I733" t="s">
        <v>2809</v>
      </c>
    </row>
    <row r="734" spans="1:9" x14ac:dyDescent="0.25">
      <c r="A734" t="s">
        <v>869</v>
      </c>
      <c r="B734" t="s">
        <v>2982</v>
      </c>
      <c r="C734" s="167">
        <v>165.27</v>
      </c>
      <c r="D734" t="s">
        <v>671</v>
      </c>
      <c r="E734" t="s">
        <v>1703</v>
      </c>
      <c r="F734" t="s">
        <v>7339</v>
      </c>
      <c r="G734" t="s">
        <v>7340</v>
      </c>
      <c r="I734" t="s">
        <v>2809</v>
      </c>
    </row>
    <row r="735" spans="1:9" x14ac:dyDescent="0.25">
      <c r="A735" t="s">
        <v>870</v>
      </c>
      <c r="B735" t="s">
        <v>2983</v>
      </c>
      <c r="C735" s="167">
        <v>185.1</v>
      </c>
      <c r="D735" t="s">
        <v>21</v>
      </c>
      <c r="E735" t="s">
        <v>1701</v>
      </c>
      <c r="F735" t="s">
        <v>7341</v>
      </c>
      <c r="G735" t="s">
        <v>7340</v>
      </c>
      <c r="I735" t="s">
        <v>2809</v>
      </c>
    </row>
    <row r="736" spans="1:9" x14ac:dyDescent="0.25">
      <c r="A736" t="s">
        <v>873</v>
      </c>
      <c r="B736" t="s">
        <v>2986</v>
      </c>
      <c r="C736" s="167">
        <v>185.1</v>
      </c>
      <c r="D736" t="s">
        <v>563</v>
      </c>
      <c r="E736" t="s">
        <v>1701</v>
      </c>
      <c r="F736" t="s">
        <v>7341</v>
      </c>
      <c r="G736" t="s">
        <v>7340</v>
      </c>
      <c r="I736" t="s">
        <v>2809</v>
      </c>
    </row>
    <row r="737" spans="1:9" x14ac:dyDescent="0.25">
      <c r="A737" t="s">
        <v>876</v>
      </c>
      <c r="B737" t="s">
        <v>2989</v>
      </c>
      <c r="C737" s="167">
        <v>185.1</v>
      </c>
      <c r="D737" t="s">
        <v>671</v>
      </c>
      <c r="E737" t="s">
        <v>1701</v>
      </c>
      <c r="F737" t="s">
        <v>7341</v>
      </c>
      <c r="G737" t="s">
        <v>7340</v>
      </c>
      <c r="I737" t="s">
        <v>2809</v>
      </c>
    </row>
    <row r="738" spans="1:9" x14ac:dyDescent="0.25">
      <c r="A738" t="s">
        <v>871</v>
      </c>
      <c r="B738" t="s">
        <v>2984</v>
      </c>
      <c r="C738" s="167">
        <v>185.1</v>
      </c>
      <c r="D738" t="s">
        <v>21</v>
      </c>
      <c r="E738" t="s">
        <v>1699</v>
      </c>
      <c r="F738" t="s">
        <v>7341</v>
      </c>
      <c r="G738" t="s">
        <v>7340</v>
      </c>
      <c r="I738" t="s">
        <v>2809</v>
      </c>
    </row>
    <row r="739" spans="1:9" x14ac:dyDescent="0.25">
      <c r="A739" t="s">
        <v>874</v>
      </c>
      <c r="B739" t="s">
        <v>2987</v>
      </c>
      <c r="C739" s="167">
        <v>185.1</v>
      </c>
      <c r="D739" t="s">
        <v>563</v>
      </c>
      <c r="E739" t="s">
        <v>1699</v>
      </c>
      <c r="F739" t="s">
        <v>7341</v>
      </c>
      <c r="G739" t="s">
        <v>7340</v>
      </c>
      <c r="I739" t="s">
        <v>2809</v>
      </c>
    </row>
    <row r="740" spans="1:9" x14ac:dyDescent="0.25">
      <c r="A740" t="s">
        <v>877</v>
      </c>
      <c r="B740" t="s">
        <v>2990</v>
      </c>
      <c r="C740" s="167">
        <v>185.1</v>
      </c>
      <c r="D740" t="s">
        <v>671</v>
      </c>
      <c r="E740" t="s">
        <v>1699</v>
      </c>
      <c r="F740" t="s">
        <v>7341</v>
      </c>
      <c r="G740" t="s">
        <v>7340</v>
      </c>
      <c r="I740" t="s">
        <v>2809</v>
      </c>
    </row>
    <row r="741" spans="1:9" x14ac:dyDescent="0.25">
      <c r="A741" t="s">
        <v>872</v>
      </c>
      <c r="B741" t="s">
        <v>2985</v>
      </c>
      <c r="C741" s="167">
        <v>185.1</v>
      </c>
      <c r="D741" t="s">
        <v>21</v>
      </c>
      <c r="E741" t="s">
        <v>1703</v>
      </c>
      <c r="F741" t="s">
        <v>7341</v>
      </c>
      <c r="G741" t="s">
        <v>7340</v>
      </c>
      <c r="I741" t="s">
        <v>2809</v>
      </c>
    </row>
    <row r="742" spans="1:9" x14ac:dyDescent="0.25">
      <c r="A742" t="s">
        <v>875</v>
      </c>
      <c r="B742" t="s">
        <v>2988</v>
      </c>
      <c r="C742" s="167">
        <v>185.1</v>
      </c>
      <c r="D742" t="s">
        <v>563</v>
      </c>
      <c r="E742" t="s">
        <v>1703</v>
      </c>
      <c r="F742" t="s">
        <v>7341</v>
      </c>
      <c r="G742" t="s">
        <v>7340</v>
      </c>
      <c r="I742" t="s">
        <v>2809</v>
      </c>
    </row>
    <row r="743" spans="1:9" x14ac:dyDescent="0.25">
      <c r="A743" t="s">
        <v>878</v>
      </c>
      <c r="B743" t="s">
        <v>2991</v>
      </c>
      <c r="C743" s="167">
        <v>185.1</v>
      </c>
      <c r="D743" t="s">
        <v>671</v>
      </c>
      <c r="E743" t="s">
        <v>1703</v>
      </c>
      <c r="F743" t="s">
        <v>7341</v>
      </c>
      <c r="G743" t="s">
        <v>7340</v>
      </c>
      <c r="I743" t="s">
        <v>2809</v>
      </c>
    </row>
    <row r="744" spans="1:9" x14ac:dyDescent="0.25">
      <c r="A744" t="s">
        <v>879</v>
      </c>
      <c r="B744" t="s">
        <v>2992</v>
      </c>
      <c r="C744" s="167">
        <v>211.55</v>
      </c>
      <c r="D744" t="s">
        <v>21</v>
      </c>
      <c r="E744" t="s">
        <v>1701</v>
      </c>
      <c r="F744" t="s">
        <v>7344</v>
      </c>
      <c r="G744" t="s">
        <v>7340</v>
      </c>
      <c r="I744" t="s">
        <v>2809</v>
      </c>
    </row>
    <row r="745" spans="1:9" x14ac:dyDescent="0.25">
      <c r="A745" t="s">
        <v>882</v>
      </c>
      <c r="B745" t="s">
        <v>2995</v>
      </c>
      <c r="C745" s="167">
        <v>211.55</v>
      </c>
      <c r="D745" t="s">
        <v>563</v>
      </c>
      <c r="E745" t="s">
        <v>1701</v>
      </c>
      <c r="F745" t="s">
        <v>7344</v>
      </c>
      <c r="G745" t="s">
        <v>7340</v>
      </c>
      <c r="I745" t="s">
        <v>2809</v>
      </c>
    </row>
    <row r="746" spans="1:9" x14ac:dyDescent="0.25">
      <c r="A746" t="s">
        <v>885</v>
      </c>
      <c r="B746" t="s">
        <v>2998</v>
      </c>
      <c r="C746" s="167">
        <v>211.55</v>
      </c>
      <c r="D746" t="s">
        <v>671</v>
      </c>
      <c r="E746" t="s">
        <v>1701</v>
      </c>
      <c r="F746" t="s">
        <v>7344</v>
      </c>
      <c r="G746" t="s">
        <v>7340</v>
      </c>
      <c r="I746" t="s">
        <v>2809</v>
      </c>
    </row>
    <row r="747" spans="1:9" x14ac:dyDescent="0.25">
      <c r="A747" t="s">
        <v>880</v>
      </c>
      <c r="B747" t="s">
        <v>2993</v>
      </c>
      <c r="C747" s="167">
        <v>211.55</v>
      </c>
      <c r="D747" t="s">
        <v>21</v>
      </c>
      <c r="E747" t="s">
        <v>1699</v>
      </c>
      <c r="F747" t="s">
        <v>7344</v>
      </c>
      <c r="G747" t="s">
        <v>7340</v>
      </c>
      <c r="I747" t="s">
        <v>2809</v>
      </c>
    </row>
    <row r="748" spans="1:9" x14ac:dyDescent="0.25">
      <c r="A748" t="s">
        <v>883</v>
      </c>
      <c r="B748" t="s">
        <v>2996</v>
      </c>
      <c r="C748" s="167">
        <v>211.55</v>
      </c>
      <c r="D748" t="s">
        <v>563</v>
      </c>
      <c r="E748" t="s">
        <v>1699</v>
      </c>
      <c r="F748" t="s">
        <v>7344</v>
      </c>
      <c r="G748" t="s">
        <v>7340</v>
      </c>
      <c r="I748" t="s">
        <v>2809</v>
      </c>
    </row>
    <row r="749" spans="1:9" x14ac:dyDescent="0.25">
      <c r="A749" t="s">
        <v>886</v>
      </c>
      <c r="B749" t="s">
        <v>2999</v>
      </c>
      <c r="C749" s="167">
        <v>211.55</v>
      </c>
      <c r="D749" t="s">
        <v>671</v>
      </c>
      <c r="E749" t="s">
        <v>1699</v>
      </c>
      <c r="F749" t="s">
        <v>7344</v>
      </c>
      <c r="G749" t="s">
        <v>7340</v>
      </c>
      <c r="I749" t="s">
        <v>2809</v>
      </c>
    </row>
    <row r="750" spans="1:9" x14ac:dyDescent="0.25">
      <c r="A750" t="s">
        <v>881</v>
      </c>
      <c r="B750" t="s">
        <v>2994</v>
      </c>
      <c r="C750" s="167">
        <v>211.55</v>
      </c>
      <c r="D750" t="s">
        <v>21</v>
      </c>
      <c r="E750" t="s">
        <v>1703</v>
      </c>
      <c r="F750" t="s">
        <v>7344</v>
      </c>
      <c r="G750" t="s">
        <v>7340</v>
      </c>
      <c r="I750" t="s">
        <v>2809</v>
      </c>
    </row>
    <row r="751" spans="1:9" x14ac:dyDescent="0.25">
      <c r="A751" t="s">
        <v>884</v>
      </c>
      <c r="B751" t="s">
        <v>2997</v>
      </c>
      <c r="C751" s="167">
        <v>211.55</v>
      </c>
      <c r="D751" t="s">
        <v>563</v>
      </c>
      <c r="E751" t="s">
        <v>1703</v>
      </c>
      <c r="F751" t="s">
        <v>7344</v>
      </c>
      <c r="G751" t="s">
        <v>7340</v>
      </c>
      <c r="I751" t="s">
        <v>2809</v>
      </c>
    </row>
    <row r="752" spans="1:9" x14ac:dyDescent="0.25">
      <c r="A752" t="s">
        <v>887</v>
      </c>
      <c r="B752" t="s">
        <v>3000</v>
      </c>
      <c r="C752" s="167">
        <v>211.55</v>
      </c>
      <c r="D752" t="s">
        <v>671</v>
      </c>
      <c r="E752" t="s">
        <v>1703</v>
      </c>
      <c r="F752" t="s">
        <v>7344</v>
      </c>
      <c r="G752" t="s">
        <v>7340</v>
      </c>
      <c r="I752" t="s">
        <v>2809</v>
      </c>
    </row>
    <row r="753" spans="1:9" x14ac:dyDescent="0.25">
      <c r="A753" t="s">
        <v>888</v>
      </c>
      <c r="B753" t="s">
        <v>3001</v>
      </c>
      <c r="C753" s="167">
        <v>231.38</v>
      </c>
      <c r="D753" t="s">
        <v>21</v>
      </c>
      <c r="E753" t="s">
        <v>1701</v>
      </c>
      <c r="F753" t="s">
        <v>7343</v>
      </c>
      <c r="G753" t="s">
        <v>7340</v>
      </c>
      <c r="I753" t="s">
        <v>2809</v>
      </c>
    </row>
    <row r="754" spans="1:9" x14ac:dyDescent="0.25">
      <c r="A754" t="s">
        <v>891</v>
      </c>
      <c r="B754" t="s">
        <v>3004</v>
      </c>
      <c r="C754" s="167">
        <v>231.38</v>
      </c>
      <c r="D754" t="s">
        <v>563</v>
      </c>
      <c r="E754" t="s">
        <v>1701</v>
      </c>
      <c r="F754" t="s">
        <v>7343</v>
      </c>
      <c r="G754" t="s">
        <v>7340</v>
      </c>
      <c r="I754" t="s">
        <v>2809</v>
      </c>
    </row>
    <row r="755" spans="1:9" x14ac:dyDescent="0.25">
      <c r="A755" t="s">
        <v>894</v>
      </c>
      <c r="B755" t="s">
        <v>3007</v>
      </c>
      <c r="C755" s="167">
        <v>231.38</v>
      </c>
      <c r="D755" t="s">
        <v>671</v>
      </c>
      <c r="E755" t="s">
        <v>1701</v>
      </c>
      <c r="F755" t="s">
        <v>7343</v>
      </c>
      <c r="G755" t="s">
        <v>7340</v>
      </c>
      <c r="I755" t="s">
        <v>2809</v>
      </c>
    </row>
    <row r="756" spans="1:9" x14ac:dyDescent="0.25">
      <c r="A756" t="s">
        <v>889</v>
      </c>
      <c r="B756" t="s">
        <v>3002</v>
      </c>
      <c r="C756" s="167">
        <v>231.38</v>
      </c>
      <c r="D756" t="s">
        <v>21</v>
      </c>
      <c r="E756" t="s">
        <v>1699</v>
      </c>
      <c r="F756" t="s">
        <v>7343</v>
      </c>
      <c r="G756" t="s">
        <v>7340</v>
      </c>
      <c r="I756" t="s">
        <v>2809</v>
      </c>
    </row>
    <row r="757" spans="1:9" x14ac:dyDescent="0.25">
      <c r="A757" t="s">
        <v>892</v>
      </c>
      <c r="B757" t="s">
        <v>3005</v>
      </c>
      <c r="C757" s="167">
        <v>231.38</v>
      </c>
      <c r="D757" t="s">
        <v>563</v>
      </c>
      <c r="E757" t="s">
        <v>1699</v>
      </c>
      <c r="F757" t="s">
        <v>7343</v>
      </c>
      <c r="G757" t="s">
        <v>7340</v>
      </c>
      <c r="I757" t="s">
        <v>2809</v>
      </c>
    </row>
    <row r="758" spans="1:9" x14ac:dyDescent="0.25">
      <c r="A758" t="s">
        <v>895</v>
      </c>
      <c r="B758" t="s">
        <v>3008</v>
      </c>
      <c r="C758" s="167">
        <v>231.38</v>
      </c>
      <c r="D758" t="s">
        <v>671</v>
      </c>
      <c r="E758" t="s">
        <v>1699</v>
      </c>
      <c r="F758" t="s">
        <v>7343</v>
      </c>
      <c r="G758" t="s">
        <v>7340</v>
      </c>
      <c r="I758" t="s">
        <v>2809</v>
      </c>
    </row>
    <row r="759" spans="1:9" x14ac:dyDescent="0.25">
      <c r="A759" t="s">
        <v>890</v>
      </c>
      <c r="B759" t="s">
        <v>3003</v>
      </c>
      <c r="C759" s="167">
        <v>231.38</v>
      </c>
      <c r="D759" t="s">
        <v>21</v>
      </c>
      <c r="E759" t="s">
        <v>1703</v>
      </c>
      <c r="F759" t="s">
        <v>7343</v>
      </c>
      <c r="G759" t="s">
        <v>7340</v>
      </c>
      <c r="I759" t="s">
        <v>2809</v>
      </c>
    </row>
    <row r="760" spans="1:9" x14ac:dyDescent="0.25">
      <c r="A760" t="s">
        <v>893</v>
      </c>
      <c r="B760" t="s">
        <v>3006</v>
      </c>
      <c r="C760" s="167">
        <v>231.38</v>
      </c>
      <c r="D760" t="s">
        <v>563</v>
      </c>
      <c r="E760" t="s">
        <v>1703</v>
      </c>
      <c r="F760" t="s">
        <v>7343</v>
      </c>
      <c r="G760" t="s">
        <v>7340</v>
      </c>
      <c r="I760" t="s">
        <v>2809</v>
      </c>
    </row>
    <row r="761" spans="1:9" x14ac:dyDescent="0.25">
      <c r="A761" t="s">
        <v>896</v>
      </c>
      <c r="B761" t="s">
        <v>3009</v>
      </c>
      <c r="C761" s="167">
        <v>231.38</v>
      </c>
      <c r="D761" t="s">
        <v>671</v>
      </c>
      <c r="E761" t="s">
        <v>1703</v>
      </c>
      <c r="F761" t="s">
        <v>7343</v>
      </c>
      <c r="G761" t="s">
        <v>7340</v>
      </c>
      <c r="I761" t="s">
        <v>2809</v>
      </c>
    </row>
    <row r="762" spans="1:9" x14ac:dyDescent="0.25">
      <c r="A762" t="s">
        <v>897</v>
      </c>
      <c r="B762" t="s">
        <v>3010</v>
      </c>
      <c r="C762" s="167">
        <v>125.61</v>
      </c>
      <c r="D762" t="s">
        <v>21</v>
      </c>
      <c r="E762" t="s">
        <v>1701</v>
      </c>
      <c r="F762" t="s">
        <v>7339</v>
      </c>
      <c r="G762" t="s">
        <v>7340</v>
      </c>
      <c r="I762" t="s">
        <v>2809</v>
      </c>
    </row>
    <row r="763" spans="1:9" x14ac:dyDescent="0.25">
      <c r="A763" t="s">
        <v>900</v>
      </c>
      <c r="B763" t="s">
        <v>3013</v>
      </c>
      <c r="C763" s="167">
        <v>125.61</v>
      </c>
      <c r="D763" t="s">
        <v>563</v>
      </c>
      <c r="E763" t="s">
        <v>1701</v>
      </c>
      <c r="F763" t="s">
        <v>7339</v>
      </c>
      <c r="G763" t="s">
        <v>7340</v>
      </c>
      <c r="I763" t="s">
        <v>2809</v>
      </c>
    </row>
    <row r="764" spans="1:9" x14ac:dyDescent="0.25">
      <c r="A764" t="s">
        <v>903</v>
      </c>
      <c r="B764" t="s">
        <v>3016</v>
      </c>
      <c r="C764" s="167">
        <v>125.61</v>
      </c>
      <c r="D764" t="s">
        <v>671</v>
      </c>
      <c r="E764" t="s">
        <v>1701</v>
      </c>
      <c r="F764" t="s">
        <v>7339</v>
      </c>
      <c r="G764" t="s">
        <v>7340</v>
      </c>
      <c r="I764" t="s">
        <v>2809</v>
      </c>
    </row>
    <row r="765" spans="1:9" x14ac:dyDescent="0.25">
      <c r="A765" t="s">
        <v>898</v>
      </c>
      <c r="B765" t="s">
        <v>3011</v>
      </c>
      <c r="C765" s="167">
        <v>125.61</v>
      </c>
      <c r="D765" t="s">
        <v>21</v>
      </c>
      <c r="E765" t="s">
        <v>1699</v>
      </c>
      <c r="F765" t="s">
        <v>7339</v>
      </c>
      <c r="G765" t="s">
        <v>7340</v>
      </c>
      <c r="I765" t="s">
        <v>2809</v>
      </c>
    </row>
    <row r="766" spans="1:9" x14ac:dyDescent="0.25">
      <c r="A766" t="s">
        <v>901</v>
      </c>
      <c r="B766" t="s">
        <v>3014</v>
      </c>
      <c r="C766" s="167">
        <v>125.61</v>
      </c>
      <c r="D766" t="s">
        <v>563</v>
      </c>
      <c r="E766" t="s">
        <v>1699</v>
      </c>
      <c r="F766" t="s">
        <v>7339</v>
      </c>
      <c r="G766" t="s">
        <v>7340</v>
      </c>
      <c r="I766" t="s">
        <v>2809</v>
      </c>
    </row>
    <row r="767" spans="1:9" x14ac:dyDescent="0.25">
      <c r="A767" t="s">
        <v>904</v>
      </c>
      <c r="B767" t="s">
        <v>3017</v>
      </c>
      <c r="C767" s="167">
        <v>125.61</v>
      </c>
      <c r="D767" t="s">
        <v>671</v>
      </c>
      <c r="E767" t="s">
        <v>1699</v>
      </c>
      <c r="F767" t="s">
        <v>7339</v>
      </c>
      <c r="G767" t="s">
        <v>7340</v>
      </c>
      <c r="I767" t="s">
        <v>2809</v>
      </c>
    </row>
    <row r="768" spans="1:9" x14ac:dyDescent="0.25">
      <c r="A768" t="s">
        <v>899</v>
      </c>
      <c r="B768" t="s">
        <v>3012</v>
      </c>
      <c r="C768" s="167">
        <v>125.61</v>
      </c>
      <c r="D768" t="s">
        <v>21</v>
      </c>
      <c r="E768" t="s">
        <v>1703</v>
      </c>
      <c r="F768" t="s">
        <v>7339</v>
      </c>
      <c r="G768" t="s">
        <v>7340</v>
      </c>
      <c r="I768" t="s">
        <v>2809</v>
      </c>
    </row>
    <row r="769" spans="1:9" x14ac:dyDescent="0.25">
      <c r="A769" t="s">
        <v>902</v>
      </c>
      <c r="B769" t="s">
        <v>3015</v>
      </c>
      <c r="C769" s="167">
        <v>125.61</v>
      </c>
      <c r="D769" t="s">
        <v>563</v>
      </c>
      <c r="E769" t="s">
        <v>1703</v>
      </c>
      <c r="F769" t="s">
        <v>7339</v>
      </c>
      <c r="G769" t="s">
        <v>7340</v>
      </c>
      <c r="I769" t="s">
        <v>2809</v>
      </c>
    </row>
    <row r="770" spans="1:9" x14ac:dyDescent="0.25">
      <c r="A770" t="s">
        <v>905</v>
      </c>
      <c r="B770" t="s">
        <v>3018</v>
      </c>
      <c r="C770" s="167">
        <v>125.61</v>
      </c>
      <c r="D770" t="s">
        <v>671</v>
      </c>
      <c r="E770" t="s">
        <v>1703</v>
      </c>
      <c r="F770" t="s">
        <v>7339</v>
      </c>
      <c r="G770" t="s">
        <v>7340</v>
      </c>
      <c r="I770" t="s">
        <v>2809</v>
      </c>
    </row>
    <row r="771" spans="1:9" x14ac:dyDescent="0.25">
      <c r="A771" t="s">
        <v>906</v>
      </c>
      <c r="B771" t="s">
        <v>3019</v>
      </c>
      <c r="C771" s="167">
        <v>145.44</v>
      </c>
      <c r="D771" t="s">
        <v>21</v>
      </c>
      <c r="E771" t="s">
        <v>1701</v>
      </c>
      <c r="F771" t="s">
        <v>7341</v>
      </c>
      <c r="G771" t="s">
        <v>7340</v>
      </c>
      <c r="I771" t="s">
        <v>2809</v>
      </c>
    </row>
    <row r="772" spans="1:9" x14ac:dyDescent="0.25">
      <c r="A772" t="s">
        <v>909</v>
      </c>
      <c r="B772" t="s">
        <v>3022</v>
      </c>
      <c r="C772" s="167">
        <v>145.44</v>
      </c>
      <c r="D772" t="s">
        <v>563</v>
      </c>
      <c r="E772" t="s">
        <v>1701</v>
      </c>
      <c r="F772" t="s">
        <v>7341</v>
      </c>
      <c r="G772" t="s">
        <v>7340</v>
      </c>
      <c r="I772" t="s">
        <v>2809</v>
      </c>
    </row>
    <row r="773" spans="1:9" x14ac:dyDescent="0.25">
      <c r="A773" t="s">
        <v>912</v>
      </c>
      <c r="B773" t="s">
        <v>3025</v>
      </c>
      <c r="C773" s="167">
        <v>145.44</v>
      </c>
      <c r="D773" t="s">
        <v>671</v>
      </c>
      <c r="E773" t="s">
        <v>1701</v>
      </c>
      <c r="F773" t="s">
        <v>7341</v>
      </c>
      <c r="G773" t="s">
        <v>7340</v>
      </c>
      <c r="I773" t="s">
        <v>2809</v>
      </c>
    </row>
    <row r="774" spans="1:9" x14ac:dyDescent="0.25">
      <c r="A774" t="s">
        <v>907</v>
      </c>
      <c r="B774" t="s">
        <v>3020</v>
      </c>
      <c r="C774" s="167">
        <v>145.44</v>
      </c>
      <c r="D774" t="s">
        <v>21</v>
      </c>
      <c r="E774" t="s">
        <v>1699</v>
      </c>
      <c r="F774" t="s">
        <v>7341</v>
      </c>
      <c r="G774" t="s">
        <v>7340</v>
      </c>
      <c r="I774" t="s">
        <v>2809</v>
      </c>
    </row>
    <row r="775" spans="1:9" x14ac:dyDescent="0.25">
      <c r="A775" t="s">
        <v>910</v>
      </c>
      <c r="B775" t="s">
        <v>3023</v>
      </c>
      <c r="C775" s="167">
        <v>145.44</v>
      </c>
      <c r="D775" t="s">
        <v>563</v>
      </c>
      <c r="E775" t="s">
        <v>1699</v>
      </c>
      <c r="F775" t="s">
        <v>7341</v>
      </c>
      <c r="G775" t="s">
        <v>7340</v>
      </c>
      <c r="I775" t="s">
        <v>2809</v>
      </c>
    </row>
    <row r="776" spans="1:9" x14ac:dyDescent="0.25">
      <c r="A776" t="s">
        <v>913</v>
      </c>
      <c r="B776" t="s">
        <v>3026</v>
      </c>
      <c r="C776" s="167">
        <v>145.44</v>
      </c>
      <c r="D776" t="s">
        <v>671</v>
      </c>
      <c r="E776" t="s">
        <v>1699</v>
      </c>
      <c r="F776" t="s">
        <v>7341</v>
      </c>
      <c r="G776" t="s">
        <v>7340</v>
      </c>
      <c r="I776" t="s">
        <v>2809</v>
      </c>
    </row>
    <row r="777" spans="1:9" x14ac:dyDescent="0.25">
      <c r="A777" t="s">
        <v>908</v>
      </c>
      <c r="B777" t="s">
        <v>3021</v>
      </c>
      <c r="C777" s="167">
        <v>145.44</v>
      </c>
      <c r="D777" t="s">
        <v>21</v>
      </c>
      <c r="E777" t="s">
        <v>1703</v>
      </c>
      <c r="F777" t="s">
        <v>7341</v>
      </c>
      <c r="G777" t="s">
        <v>7340</v>
      </c>
      <c r="I777" t="s">
        <v>2809</v>
      </c>
    </row>
    <row r="778" spans="1:9" x14ac:dyDescent="0.25">
      <c r="A778" t="s">
        <v>911</v>
      </c>
      <c r="B778" t="s">
        <v>3024</v>
      </c>
      <c r="C778" s="167">
        <v>145.44</v>
      </c>
      <c r="D778" t="s">
        <v>563</v>
      </c>
      <c r="E778" t="s">
        <v>1703</v>
      </c>
      <c r="F778" t="s">
        <v>7341</v>
      </c>
      <c r="G778" t="s">
        <v>7340</v>
      </c>
      <c r="I778" t="s">
        <v>2809</v>
      </c>
    </row>
    <row r="779" spans="1:9" x14ac:dyDescent="0.25">
      <c r="A779" t="s">
        <v>914</v>
      </c>
      <c r="B779" t="s">
        <v>3027</v>
      </c>
      <c r="C779" s="167">
        <v>145.44</v>
      </c>
      <c r="D779" t="s">
        <v>671</v>
      </c>
      <c r="E779" t="s">
        <v>1703</v>
      </c>
      <c r="F779" t="s">
        <v>7341</v>
      </c>
      <c r="G779" t="s">
        <v>7340</v>
      </c>
      <c r="I779" t="s">
        <v>2809</v>
      </c>
    </row>
    <row r="780" spans="1:9" x14ac:dyDescent="0.25">
      <c r="A780" t="s">
        <v>915</v>
      </c>
      <c r="B780" t="s">
        <v>3028</v>
      </c>
      <c r="C780" s="167">
        <v>158.66999999999999</v>
      </c>
      <c r="D780" t="s">
        <v>21</v>
      </c>
      <c r="E780" t="s">
        <v>1701</v>
      </c>
      <c r="F780" t="s">
        <v>7344</v>
      </c>
      <c r="G780" t="s">
        <v>7340</v>
      </c>
      <c r="I780" t="s">
        <v>2809</v>
      </c>
    </row>
    <row r="781" spans="1:9" x14ac:dyDescent="0.25">
      <c r="A781" t="s">
        <v>918</v>
      </c>
      <c r="B781" t="s">
        <v>3031</v>
      </c>
      <c r="C781" s="167">
        <v>158.66999999999999</v>
      </c>
      <c r="D781" t="s">
        <v>563</v>
      </c>
      <c r="E781" t="s">
        <v>1701</v>
      </c>
      <c r="F781" t="s">
        <v>7344</v>
      </c>
      <c r="G781" t="s">
        <v>7340</v>
      </c>
      <c r="I781" t="s">
        <v>2809</v>
      </c>
    </row>
    <row r="782" spans="1:9" x14ac:dyDescent="0.25">
      <c r="A782" t="s">
        <v>921</v>
      </c>
      <c r="B782" t="s">
        <v>3034</v>
      </c>
      <c r="C782" s="167">
        <v>158.66999999999999</v>
      </c>
      <c r="D782" t="s">
        <v>671</v>
      </c>
      <c r="E782" t="s">
        <v>1701</v>
      </c>
      <c r="F782" t="s">
        <v>7344</v>
      </c>
      <c r="G782" t="s">
        <v>7340</v>
      </c>
      <c r="I782" t="s">
        <v>2809</v>
      </c>
    </row>
    <row r="783" spans="1:9" x14ac:dyDescent="0.25">
      <c r="A783" t="s">
        <v>916</v>
      </c>
      <c r="B783" t="s">
        <v>3029</v>
      </c>
      <c r="C783" s="167">
        <v>158.66999999999999</v>
      </c>
      <c r="D783" t="s">
        <v>21</v>
      </c>
      <c r="E783" t="s">
        <v>1699</v>
      </c>
      <c r="F783" t="s">
        <v>7344</v>
      </c>
      <c r="G783" t="s">
        <v>7340</v>
      </c>
      <c r="I783" t="s">
        <v>2809</v>
      </c>
    </row>
    <row r="784" spans="1:9" x14ac:dyDescent="0.25">
      <c r="A784" t="s">
        <v>919</v>
      </c>
      <c r="B784" t="s">
        <v>3032</v>
      </c>
      <c r="C784" s="167">
        <v>158.66999999999999</v>
      </c>
      <c r="D784" t="s">
        <v>563</v>
      </c>
      <c r="E784" t="s">
        <v>1699</v>
      </c>
      <c r="F784" t="s">
        <v>7344</v>
      </c>
      <c r="G784" t="s">
        <v>7340</v>
      </c>
      <c r="I784" t="s">
        <v>2809</v>
      </c>
    </row>
    <row r="785" spans="1:9" x14ac:dyDescent="0.25">
      <c r="A785" t="s">
        <v>922</v>
      </c>
      <c r="B785" t="s">
        <v>3035</v>
      </c>
      <c r="C785" s="167">
        <v>158.66999999999999</v>
      </c>
      <c r="D785" t="s">
        <v>671</v>
      </c>
      <c r="E785" t="s">
        <v>1699</v>
      </c>
      <c r="F785" t="s">
        <v>7344</v>
      </c>
      <c r="G785" t="s">
        <v>7340</v>
      </c>
      <c r="I785" t="s">
        <v>2809</v>
      </c>
    </row>
    <row r="786" spans="1:9" x14ac:dyDescent="0.25">
      <c r="A786" t="s">
        <v>917</v>
      </c>
      <c r="B786" t="s">
        <v>3030</v>
      </c>
      <c r="C786" s="167">
        <v>158.66999999999999</v>
      </c>
      <c r="D786" t="s">
        <v>21</v>
      </c>
      <c r="E786" t="s">
        <v>1703</v>
      </c>
      <c r="F786" t="s">
        <v>7344</v>
      </c>
      <c r="G786" t="s">
        <v>7340</v>
      </c>
      <c r="I786" t="s">
        <v>2809</v>
      </c>
    </row>
    <row r="787" spans="1:9" x14ac:dyDescent="0.25">
      <c r="A787" t="s">
        <v>920</v>
      </c>
      <c r="B787" t="s">
        <v>3033</v>
      </c>
      <c r="C787" s="167">
        <v>158.66999999999999</v>
      </c>
      <c r="D787" t="s">
        <v>563</v>
      </c>
      <c r="E787" t="s">
        <v>1703</v>
      </c>
      <c r="F787" t="s">
        <v>7344</v>
      </c>
      <c r="G787" t="s">
        <v>7340</v>
      </c>
      <c r="I787" t="s">
        <v>2809</v>
      </c>
    </row>
    <row r="788" spans="1:9" x14ac:dyDescent="0.25">
      <c r="A788" t="s">
        <v>923</v>
      </c>
      <c r="B788" t="s">
        <v>3036</v>
      </c>
      <c r="C788" s="167">
        <v>158.66999999999999</v>
      </c>
      <c r="D788" t="s">
        <v>671</v>
      </c>
      <c r="E788" t="s">
        <v>1703</v>
      </c>
      <c r="F788" t="s">
        <v>7344</v>
      </c>
      <c r="G788" t="s">
        <v>7340</v>
      </c>
      <c r="I788" t="s">
        <v>2809</v>
      </c>
    </row>
    <row r="789" spans="1:9" x14ac:dyDescent="0.25">
      <c r="A789" t="s">
        <v>924</v>
      </c>
      <c r="B789" t="s">
        <v>3037</v>
      </c>
      <c r="C789" s="167">
        <v>178.49</v>
      </c>
      <c r="D789" t="s">
        <v>21</v>
      </c>
      <c r="E789" t="s">
        <v>1701</v>
      </c>
      <c r="F789" t="s">
        <v>7343</v>
      </c>
      <c r="G789" t="s">
        <v>7340</v>
      </c>
      <c r="I789" t="s">
        <v>2809</v>
      </c>
    </row>
    <row r="790" spans="1:9" x14ac:dyDescent="0.25">
      <c r="A790" t="s">
        <v>927</v>
      </c>
      <c r="B790" t="s">
        <v>3040</v>
      </c>
      <c r="C790" s="167">
        <v>178.49</v>
      </c>
      <c r="D790" t="s">
        <v>563</v>
      </c>
      <c r="E790" t="s">
        <v>1701</v>
      </c>
      <c r="F790" t="s">
        <v>7343</v>
      </c>
      <c r="G790" t="s">
        <v>7340</v>
      </c>
      <c r="I790" t="s">
        <v>2809</v>
      </c>
    </row>
    <row r="791" spans="1:9" x14ac:dyDescent="0.25">
      <c r="A791" t="s">
        <v>930</v>
      </c>
      <c r="B791" t="s">
        <v>3043</v>
      </c>
      <c r="C791" s="167">
        <v>178.49</v>
      </c>
      <c r="D791" t="s">
        <v>671</v>
      </c>
      <c r="E791" t="s">
        <v>1701</v>
      </c>
      <c r="F791" t="s">
        <v>7343</v>
      </c>
      <c r="G791" t="s">
        <v>7340</v>
      </c>
      <c r="I791" t="s">
        <v>2809</v>
      </c>
    </row>
    <row r="792" spans="1:9" x14ac:dyDescent="0.25">
      <c r="A792" t="s">
        <v>925</v>
      </c>
      <c r="B792" t="s">
        <v>3038</v>
      </c>
      <c r="C792" s="167">
        <v>178.49</v>
      </c>
      <c r="D792" t="s">
        <v>21</v>
      </c>
      <c r="E792" t="s">
        <v>1699</v>
      </c>
      <c r="F792" t="s">
        <v>7343</v>
      </c>
      <c r="G792" t="s">
        <v>7340</v>
      </c>
      <c r="I792" t="s">
        <v>2809</v>
      </c>
    </row>
    <row r="793" spans="1:9" x14ac:dyDescent="0.25">
      <c r="A793" t="s">
        <v>928</v>
      </c>
      <c r="B793" t="s">
        <v>3041</v>
      </c>
      <c r="C793" s="167">
        <v>178.49</v>
      </c>
      <c r="D793" t="s">
        <v>563</v>
      </c>
      <c r="E793" t="s">
        <v>1699</v>
      </c>
      <c r="F793" t="s">
        <v>7343</v>
      </c>
      <c r="G793" t="s">
        <v>7340</v>
      </c>
      <c r="I793" t="s">
        <v>2809</v>
      </c>
    </row>
    <row r="794" spans="1:9" x14ac:dyDescent="0.25">
      <c r="A794" t="s">
        <v>931</v>
      </c>
      <c r="B794" t="s">
        <v>3044</v>
      </c>
      <c r="C794" s="167">
        <v>178.49</v>
      </c>
      <c r="D794" t="s">
        <v>671</v>
      </c>
      <c r="E794" t="s">
        <v>1699</v>
      </c>
      <c r="F794" t="s">
        <v>7343</v>
      </c>
      <c r="G794" t="s">
        <v>7340</v>
      </c>
      <c r="I794" t="s">
        <v>2809</v>
      </c>
    </row>
    <row r="795" spans="1:9" x14ac:dyDescent="0.25">
      <c r="A795" t="s">
        <v>926</v>
      </c>
      <c r="B795" t="s">
        <v>3039</v>
      </c>
      <c r="C795" s="167">
        <v>178.49</v>
      </c>
      <c r="D795" t="s">
        <v>21</v>
      </c>
      <c r="E795" t="s">
        <v>1703</v>
      </c>
      <c r="F795" t="s">
        <v>7343</v>
      </c>
      <c r="G795" t="s">
        <v>7340</v>
      </c>
      <c r="I795" t="s">
        <v>2809</v>
      </c>
    </row>
    <row r="796" spans="1:9" x14ac:dyDescent="0.25">
      <c r="A796" t="s">
        <v>929</v>
      </c>
      <c r="B796" t="s">
        <v>3042</v>
      </c>
      <c r="C796" s="167">
        <v>178.49</v>
      </c>
      <c r="D796" t="s">
        <v>563</v>
      </c>
      <c r="E796" t="s">
        <v>1703</v>
      </c>
      <c r="F796" t="s">
        <v>7343</v>
      </c>
      <c r="G796" t="s">
        <v>7340</v>
      </c>
      <c r="I796" t="s">
        <v>2809</v>
      </c>
    </row>
    <row r="797" spans="1:9" x14ac:dyDescent="0.25">
      <c r="A797" t="s">
        <v>932</v>
      </c>
      <c r="B797" t="s">
        <v>3045</v>
      </c>
      <c r="C797" s="167">
        <v>178.49</v>
      </c>
      <c r="D797" t="s">
        <v>671</v>
      </c>
      <c r="E797" t="s">
        <v>1703</v>
      </c>
      <c r="F797" t="s">
        <v>7343</v>
      </c>
      <c r="G797" t="s">
        <v>7340</v>
      </c>
      <c r="I797" t="s">
        <v>2809</v>
      </c>
    </row>
    <row r="798" spans="1:9" x14ac:dyDescent="0.25">
      <c r="A798" t="s">
        <v>933</v>
      </c>
      <c r="B798" t="s">
        <v>3046</v>
      </c>
      <c r="C798" s="167">
        <v>145.44</v>
      </c>
      <c r="D798" t="s">
        <v>21</v>
      </c>
      <c r="E798" t="s">
        <v>1701</v>
      </c>
      <c r="F798" t="s">
        <v>7339</v>
      </c>
      <c r="G798" t="s">
        <v>7340</v>
      </c>
      <c r="I798" t="s">
        <v>2809</v>
      </c>
    </row>
    <row r="799" spans="1:9" x14ac:dyDescent="0.25">
      <c r="A799" t="s">
        <v>936</v>
      </c>
      <c r="B799" t="s">
        <v>3049</v>
      </c>
      <c r="C799" s="167">
        <v>145.44</v>
      </c>
      <c r="D799" t="s">
        <v>563</v>
      </c>
      <c r="E799" t="s">
        <v>1701</v>
      </c>
      <c r="F799" t="s">
        <v>7339</v>
      </c>
      <c r="G799" t="s">
        <v>7340</v>
      </c>
      <c r="I799" t="s">
        <v>2809</v>
      </c>
    </row>
    <row r="800" spans="1:9" x14ac:dyDescent="0.25">
      <c r="A800" t="s">
        <v>939</v>
      </c>
      <c r="B800" t="s">
        <v>3052</v>
      </c>
      <c r="C800" s="167">
        <v>145.44</v>
      </c>
      <c r="D800" t="s">
        <v>671</v>
      </c>
      <c r="E800" t="s">
        <v>1701</v>
      </c>
      <c r="F800" t="s">
        <v>7339</v>
      </c>
      <c r="G800" t="s">
        <v>7340</v>
      </c>
      <c r="I800" t="s">
        <v>2809</v>
      </c>
    </row>
    <row r="801" spans="1:9" x14ac:dyDescent="0.25">
      <c r="A801" t="s">
        <v>934</v>
      </c>
      <c r="B801" t="s">
        <v>3047</v>
      </c>
      <c r="C801" s="167">
        <v>145.44</v>
      </c>
      <c r="D801" t="s">
        <v>21</v>
      </c>
      <c r="E801" t="s">
        <v>1699</v>
      </c>
      <c r="F801" t="s">
        <v>7339</v>
      </c>
      <c r="G801" t="s">
        <v>7340</v>
      </c>
      <c r="I801" t="s">
        <v>2809</v>
      </c>
    </row>
    <row r="802" spans="1:9" x14ac:dyDescent="0.25">
      <c r="A802" t="s">
        <v>937</v>
      </c>
      <c r="B802" t="s">
        <v>3050</v>
      </c>
      <c r="C802" s="167">
        <v>145.44</v>
      </c>
      <c r="D802" t="s">
        <v>563</v>
      </c>
      <c r="E802" t="s">
        <v>1699</v>
      </c>
      <c r="F802" t="s">
        <v>7339</v>
      </c>
      <c r="G802" t="s">
        <v>7340</v>
      </c>
      <c r="I802" t="s">
        <v>2809</v>
      </c>
    </row>
    <row r="803" spans="1:9" x14ac:dyDescent="0.25">
      <c r="A803" t="s">
        <v>940</v>
      </c>
      <c r="B803" t="s">
        <v>3053</v>
      </c>
      <c r="C803" s="167">
        <v>145.44</v>
      </c>
      <c r="D803" t="s">
        <v>671</v>
      </c>
      <c r="E803" t="s">
        <v>1699</v>
      </c>
      <c r="F803" t="s">
        <v>7339</v>
      </c>
      <c r="G803" t="s">
        <v>7340</v>
      </c>
      <c r="I803" t="s">
        <v>2809</v>
      </c>
    </row>
    <row r="804" spans="1:9" x14ac:dyDescent="0.25">
      <c r="A804" t="s">
        <v>935</v>
      </c>
      <c r="B804" t="s">
        <v>3048</v>
      </c>
      <c r="C804" s="167">
        <v>145.44</v>
      </c>
      <c r="D804" t="s">
        <v>21</v>
      </c>
      <c r="E804" t="s">
        <v>1703</v>
      </c>
      <c r="F804" t="s">
        <v>7339</v>
      </c>
      <c r="G804" t="s">
        <v>7340</v>
      </c>
      <c r="I804" t="s">
        <v>2809</v>
      </c>
    </row>
    <row r="805" spans="1:9" x14ac:dyDescent="0.25">
      <c r="A805" t="s">
        <v>938</v>
      </c>
      <c r="B805" t="s">
        <v>3051</v>
      </c>
      <c r="C805" s="167">
        <v>145.44</v>
      </c>
      <c r="D805" t="s">
        <v>563</v>
      </c>
      <c r="E805" t="s">
        <v>1703</v>
      </c>
      <c r="F805" t="s">
        <v>7339</v>
      </c>
      <c r="G805" t="s">
        <v>7340</v>
      </c>
      <c r="I805" t="s">
        <v>2809</v>
      </c>
    </row>
    <row r="806" spans="1:9" x14ac:dyDescent="0.25">
      <c r="A806" t="s">
        <v>941</v>
      </c>
      <c r="B806" t="s">
        <v>3054</v>
      </c>
      <c r="C806" s="167">
        <v>145.44</v>
      </c>
      <c r="D806" t="s">
        <v>671</v>
      </c>
      <c r="E806" t="s">
        <v>1703</v>
      </c>
      <c r="F806" t="s">
        <v>7339</v>
      </c>
      <c r="G806" t="s">
        <v>7340</v>
      </c>
      <c r="I806" t="s">
        <v>2809</v>
      </c>
    </row>
    <row r="807" spans="1:9" x14ac:dyDescent="0.25">
      <c r="A807" t="s">
        <v>942</v>
      </c>
      <c r="B807" t="s">
        <v>3055</v>
      </c>
      <c r="C807" s="167">
        <v>165.27</v>
      </c>
      <c r="D807" t="s">
        <v>21</v>
      </c>
      <c r="E807" t="s">
        <v>1701</v>
      </c>
      <c r="F807" t="s">
        <v>7341</v>
      </c>
      <c r="G807" t="s">
        <v>7340</v>
      </c>
      <c r="I807" t="s">
        <v>2809</v>
      </c>
    </row>
    <row r="808" spans="1:9" x14ac:dyDescent="0.25">
      <c r="A808" t="s">
        <v>945</v>
      </c>
      <c r="B808" t="s">
        <v>3058</v>
      </c>
      <c r="C808" s="167">
        <v>165.27</v>
      </c>
      <c r="D808" t="s">
        <v>563</v>
      </c>
      <c r="E808" t="s">
        <v>1701</v>
      </c>
      <c r="F808" t="s">
        <v>7341</v>
      </c>
      <c r="G808" t="s">
        <v>7340</v>
      </c>
      <c r="I808" t="s">
        <v>2809</v>
      </c>
    </row>
    <row r="809" spans="1:9" x14ac:dyDescent="0.25">
      <c r="A809" t="s">
        <v>948</v>
      </c>
      <c r="B809" t="s">
        <v>3061</v>
      </c>
      <c r="C809" s="167">
        <v>165.27</v>
      </c>
      <c r="D809" t="s">
        <v>671</v>
      </c>
      <c r="E809" t="s">
        <v>1701</v>
      </c>
      <c r="F809" t="s">
        <v>7341</v>
      </c>
      <c r="G809" t="s">
        <v>7340</v>
      </c>
      <c r="I809" t="s">
        <v>2809</v>
      </c>
    </row>
    <row r="810" spans="1:9" x14ac:dyDescent="0.25">
      <c r="A810" t="s">
        <v>943</v>
      </c>
      <c r="B810" t="s">
        <v>3056</v>
      </c>
      <c r="C810" s="167">
        <v>165.27</v>
      </c>
      <c r="D810" t="s">
        <v>21</v>
      </c>
      <c r="E810" t="s">
        <v>1699</v>
      </c>
      <c r="F810" t="s">
        <v>7341</v>
      </c>
      <c r="G810" t="s">
        <v>7340</v>
      </c>
      <c r="I810" t="s">
        <v>2809</v>
      </c>
    </row>
    <row r="811" spans="1:9" x14ac:dyDescent="0.25">
      <c r="A811" t="s">
        <v>946</v>
      </c>
      <c r="B811" t="s">
        <v>3059</v>
      </c>
      <c r="C811" s="167">
        <v>165.27</v>
      </c>
      <c r="D811" t="s">
        <v>563</v>
      </c>
      <c r="E811" t="s">
        <v>1699</v>
      </c>
      <c r="F811" t="s">
        <v>7341</v>
      </c>
      <c r="G811" t="s">
        <v>7340</v>
      </c>
      <c r="I811" t="s">
        <v>2809</v>
      </c>
    </row>
    <row r="812" spans="1:9" x14ac:dyDescent="0.25">
      <c r="A812" t="s">
        <v>949</v>
      </c>
      <c r="B812" t="s">
        <v>3062</v>
      </c>
      <c r="C812" s="167">
        <v>165.27</v>
      </c>
      <c r="D812" t="s">
        <v>671</v>
      </c>
      <c r="E812" t="s">
        <v>1699</v>
      </c>
      <c r="F812" t="s">
        <v>7341</v>
      </c>
      <c r="G812" t="s">
        <v>7340</v>
      </c>
      <c r="I812" t="s">
        <v>2809</v>
      </c>
    </row>
    <row r="813" spans="1:9" x14ac:dyDescent="0.25">
      <c r="A813" t="s">
        <v>944</v>
      </c>
      <c r="B813" t="s">
        <v>3057</v>
      </c>
      <c r="C813" s="167">
        <v>165.27</v>
      </c>
      <c r="D813" t="s">
        <v>21</v>
      </c>
      <c r="E813" t="s">
        <v>1703</v>
      </c>
      <c r="F813" t="s">
        <v>7341</v>
      </c>
      <c r="G813" t="s">
        <v>7340</v>
      </c>
      <c r="I813" t="s">
        <v>2809</v>
      </c>
    </row>
    <row r="814" spans="1:9" x14ac:dyDescent="0.25">
      <c r="A814" t="s">
        <v>947</v>
      </c>
      <c r="B814" t="s">
        <v>3060</v>
      </c>
      <c r="C814" s="167">
        <v>165.27</v>
      </c>
      <c r="D814" t="s">
        <v>563</v>
      </c>
      <c r="E814" t="s">
        <v>1703</v>
      </c>
      <c r="F814" t="s">
        <v>7341</v>
      </c>
      <c r="G814" t="s">
        <v>7340</v>
      </c>
      <c r="I814" t="s">
        <v>2809</v>
      </c>
    </row>
    <row r="815" spans="1:9" x14ac:dyDescent="0.25">
      <c r="A815" t="s">
        <v>950</v>
      </c>
      <c r="B815" t="s">
        <v>3063</v>
      </c>
      <c r="C815" s="167">
        <v>165.27</v>
      </c>
      <c r="D815" t="s">
        <v>671</v>
      </c>
      <c r="E815" t="s">
        <v>1703</v>
      </c>
      <c r="F815" t="s">
        <v>7341</v>
      </c>
      <c r="G815" t="s">
        <v>7340</v>
      </c>
      <c r="I815" t="s">
        <v>2809</v>
      </c>
    </row>
    <row r="816" spans="1:9" x14ac:dyDescent="0.25">
      <c r="A816" t="s">
        <v>951</v>
      </c>
      <c r="B816" t="s">
        <v>3064</v>
      </c>
      <c r="C816" s="167">
        <v>185.1</v>
      </c>
      <c r="D816" t="s">
        <v>21</v>
      </c>
      <c r="E816" t="s">
        <v>1701</v>
      </c>
      <c r="F816" t="s">
        <v>7344</v>
      </c>
      <c r="G816" t="s">
        <v>7340</v>
      </c>
      <c r="I816" t="s">
        <v>2809</v>
      </c>
    </row>
    <row r="817" spans="1:9" x14ac:dyDescent="0.25">
      <c r="A817" t="s">
        <v>954</v>
      </c>
      <c r="B817" t="s">
        <v>3067</v>
      </c>
      <c r="C817" s="167">
        <v>185.1</v>
      </c>
      <c r="D817" t="s">
        <v>563</v>
      </c>
      <c r="E817" t="s">
        <v>1701</v>
      </c>
      <c r="F817" t="s">
        <v>7344</v>
      </c>
      <c r="G817" t="s">
        <v>7340</v>
      </c>
      <c r="I817" t="s">
        <v>2809</v>
      </c>
    </row>
    <row r="818" spans="1:9" x14ac:dyDescent="0.25">
      <c r="A818" t="s">
        <v>957</v>
      </c>
      <c r="B818" t="s">
        <v>3070</v>
      </c>
      <c r="C818" s="167">
        <v>185.1</v>
      </c>
      <c r="D818" t="s">
        <v>671</v>
      </c>
      <c r="E818" t="s">
        <v>1701</v>
      </c>
      <c r="F818" t="s">
        <v>7344</v>
      </c>
      <c r="G818" t="s">
        <v>7340</v>
      </c>
      <c r="I818" t="s">
        <v>2809</v>
      </c>
    </row>
    <row r="819" spans="1:9" x14ac:dyDescent="0.25">
      <c r="A819" t="s">
        <v>952</v>
      </c>
      <c r="B819" t="s">
        <v>3065</v>
      </c>
      <c r="C819" s="167">
        <v>185.1</v>
      </c>
      <c r="D819" t="s">
        <v>21</v>
      </c>
      <c r="E819" t="s">
        <v>1699</v>
      </c>
      <c r="F819" t="s">
        <v>7344</v>
      </c>
      <c r="G819" t="s">
        <v>7340</v>
      </c>
      <c r="I819" t="s">
        <v>2809</v>
      </c>
    </row>
    <row r="820" spans="1:9" x14ac:dyDescent="0.25">
      <c r="A820" t="s">
        <v>955</v>
      </c>
      <c r="B820" t="s">
        <v>3068</v>
      </c>
      <c r="C820" s="167">
        <v>185.1</v>
      </c>
      <c r="D820" t="s">
        <v>563</v>
      </c>
      <c r="E820" t="s">
        <v>1699</v>
      </c>
      <c r="F820" t="s">
        <v>7344</v>
      </c>
      <c r="G820" t="s">
        <v>7340</v>
      </c>
      <c r="I820" t="s">
        <v>2809</v>
      </c>
    </row>
    <row r="821" spans="1:9" x14ac:dyDescent="0.25">
      <c r="A821" t="s">
        <v>958</v>
      </c>
      <c r="B821" t="s">
        <v>3071</v>
      </c>
      <c r="C821" s="167">
        <v>185.1</v>
      </c>
      <c r="D821" t="s">
        <v>671</v>
      </c>
      <c r="E821" t="s">
        <v>1699</v>
      </c>
      <c r="F821" t="s">
        <v>7344</v>
      </c>
      <c r="G821" t="s">
        <v>7340</v>
      </c>
      <c r="I821" t="s">
        <v>2809</v>
      </c>
    </row>
    <row r="822" spans="1:9" x14ac:dyDescent="0.25">
      <c r="A822" t="s">
        <v>953</v>
      </c>
      <c r="B822" t="s">
        <v>3066</v>
      </c>
      <c r="C822" s="167">
        <v>185.1</v>
      </c>
      <c r="D822" t="s">
        <v>21</v>
      </c>
      <c r="E822" t="s">
        <v>1703</v>
      </c>
      <c r="F822" t="s">
        <v>7344</v>
      </c>
      <c r="G822" t="s">
        <v>7340</v>
      </c>
      <c r="I822" t="s">
        <v>2809</v>
      </c>
    </row>
    <row r="823" spans="1:9" x14ac:dyDescent="0.25">
      <c r="A823" t="s">
        <v>956</v>
      </c>
      <c r="B823" t="s">
        <v>3069</v>
      </c>
      <c r="C823" s="167">
        <v>185.1</v>
      </c>
      <c r="D823" t="s">
        <v>563</v>
      </c>
      <c r="E823" t="s">
        <v>1703</v>
      </c>
      <c r="F823" t="s">
        <v>7344</v>
      </c>
      <c r="G823" t="s">
        <v>7340</v>
      </c>
      <c r="I823" t="s">
        <v>2809</v>
      </c>
    </row>
    <row r="824" spans="1:9" x14ac:dyDescent="0.25">
      <c r="A824" t="s">
        <v>959</v>
      </c>
      <c r="B824" t="s">
        <v>3072</v>
      </c>
      <c r="C824" s="167">
        <v>185.1</v>
      </c>
      <c r="D824" t="s">
        <v>671</v>
      </c>
      <c r="E824" t="s">
        <v>1703</v>
      </c>
      <c r="F824" t="s">
        <v>7344</v>
      </c>
      <c r="G824" t="s">
        <v>7340</v>
      </c>
      <c r="I824" t="s">
        <v>2809</v>
      </c>
    </row>
    <row r="825" spans="1:9" x14ac:dyDescent="0.25">
      <c r="A825" t="s">
        <v>960</v>
      </c>
      <c r="B825" t="s">
        <v>3073</v>
      </c>
      <c r="C825" s="167">
        <v>204.93</v>
      </c>
      <c r="D825" t="s">
        <v>21</v>
      </c>
      <c r="E825" t="s">
        <v>1701</v>
      </c>
      <c r="F825" t="s">
        <v>7343</v>
      </c>
      <c r="G825" t="s">
        <v>7340</v>
      </c>
      <c r="I825" t="s">
        <v>2809</v>
      </c>
    </row>
    <row r="826" spans="1:9" x14ac:dyDescent="0.25">
      <c r="A826" t="s">
        <v>963</v>
      </c>
      <c r="B826" t="s">
        <v>3076</v>
      </c>
      <c r="C826" s="167">
        <v>204.93</v>
      </c>
      <c r="D826" t="s">
        <v>563</v>
      </c>
      <c r="E826" t="s">
        <v>1701</v>
      </c>
      <c r="F826" t="s">
        <v>7343</v>
      </c>
      <c r="G826" t="s">
        <v>7340</v>
      </c>
      <c r="I826" t="s">
        <v>2809</v>
      </c>
    </row>
    <row r="827" spans="1:9" x14ac:dyDescent="0.25">
      <c r="A827" t="s">
        <v>966</v>
      </c>
      <c r="B827" t="s">
        <v>3079</v>
      </c>
      <c r="C827" s="167">
        <v>204.93</v>
      </c>
      <c r="D827" t="s">
        <v>671</v>
      </c>
      <c r="E827" t="s">
        <v>1701</v>
      </c>
      <c r="F827" t="s">
        <v>7343</v>
      </c>
      <c r="G827" t="s">
        <v>7340</v>
      </c>
      <c r="I827" t="s">
        <v>2809</v>
      </c>
    </row>
    <row r="828" spans="1:9" x14ac:dyDescent="0.25">
      <c r="A828" t="s">
        <v>961</v>
      </c>
      <c r="B828" t="s">
        <v>3074</v>
      </c>
      <c r="C828" s="167">
        <v>204.93</v>
      </c>
      <c r="D828" t="s">
        <v>21</v>
      </c>
      <c r="E828" t="s">
        <v>1699</v>
      </c>
      <c r="F828" t="s">
        <v>7343</v>
      </c>
      <c r="G828" t="s">
        <v>7340</v>
      </c>
      <c r="I828" t="s">
        <v>2809</v>
      </c>
    </row>
    <row r="829" spans="1:9" x14ac:dyDescent="0.25">
      <c r="A829" t="s">
        <v>964</v>
      </c>
      <c r="B829" t="s">
        <v>3077</v>
      </c>
      <c r="C829" s="167">
        <v>204.93</v>
      </c>
      <c r="D829" t="s">
        <v>563</v>
      </c>
      <c r="E829" t="s">
        <v>1699</v>
      </c>
      <c r="F829" t="s">
        <v>7343</v>
      </c>
      <c r="G829" t="s">
        <v>7340</v>
      </c>
      <c r="I829" t="s">
        <v>2809</v>
      </c>
    </row>
    <row r="830" spans="1:9" x14ac:dyDescent="0.25">
      <c r="A830" t="s">
        <v>967</v>
      </c>
      <c r="B830" t="s">
        <v>3080</v>
      </c>
      <c r="C830" s="167">
        <v>204.93</v>
      </c>
      <c r="D830" t="s">
        <v>671</v>
      </c>
      <c r="E830" t="s">
        <v>1699</v>
      </c>
      <c r="F830" t="s">
        <v>7343</v>
      </c>
      <c r="G830" t="s">
        <v>7340</v>
      </c>
      <c r="I830" t="s">
        <v>2809</v>
      </c>
    </row>
    <row r="831" spans="1:9" x14ac:dyDescent="0.25">
      <c r="A831" t="s">
        <v>962</v>
      </c>
      <c r="B831" t="s">
        <v>3075</v>
      </c>
      <c r="C831" s="167">
        <v>204.93</v>
      </c>
      <c r="D831" t="s">
        <v>21</v>
      </c>
      <c r="E831" t="s">
        <v>1703</v>
      </c>
      <c r="F831" t="s">
        <v>7343</v>
      </c>
      <c r="G831" t="s">
        <v>7340</v>
      </c>
      <c r="I831" t="s">
        <v>2809</v>
      </c>
    </row>
    <row r="832" spans="1:9" x14ac:dyDescent="0.25">
      <c r="A832" t="s">
        <v>965</v>
      </c>
      <c r="B832" t="s">
        <v>3078</v>
      </c>
      <c r="C832" s="167">
        <v>204.93</v>
      </c>
      <c r="D832" t="s">
        <v>563</v>
      </c>
      <c r="E832" t="s">
        <v>1703</v>
      </c>
      <c r="F832" t="s">
        <v>7343</v>
      </c>
      <c r="G832" t="s">
        <v>7340</v>
      </c>
      <c r="I832" t="s">
        <v>2809</v>
      </c>
    </row>
    <row r="833" spans="1:9" x14ac:dyDescent="0.25">
      <c r="A833" t="s">
        <v>968</v>
      </c>
      <c r="B833" t="s">
        <v>3081</v>
      </c>
      <c r="C833" s="167">
        <v>204.93</v>
      </c>
      <c r="D833" t="s">
        <v>671</v>
      </c>
      <c r="E833" t="s">
        <v>1703</v>
      </c>
      <c r="F833" t="s">
        <v>7343</v>
      </c>
      <c r="G833" t="s">
        <v>7340</v>
      </c>
      <c r="I833" t="s">
        <v>2809</v>
      </c>
    </row>
    <row r="834" spans="1:9" x14ac:dyDescent="0.25">
      <c r="A834" t="s">
        <v>1923</v>
      </c>
      <c r="B834" t="s">
        <v>3784</v>
      </c>
      <c r="C834" s="167">
        <v>180.89</v>
      </c>
      <c r="D834" t="s">
        <v>21</v>
      </c>
      <c r="E834" t="s">
        <v>1701</v>
      </c>
      <c r="F834" t="s">
        <v>7339</v>
      </c>
      <c r="G834" t="s">
        <v>7340</v>
      </c>
      <c r="I834" t="s">
        <v>2809</v>
      </c>
    </row>
    <row r="835" spans="1:9" x14ac:dyDescent="0.25">
      <c r="A835" t="s">
        <v>1926</v>
      </c>
      <c r="B835" t="s">
        <v>3787</v>
      </c>
      <c r="C835" s="167">
        <v>180.89</v>
      </c>
      <c r="D835" t="s">
        <v>563</v>
      </c>
      <c r="E835" t="s">
        <v>1701</v>
      </c>
      <c r="F835" t="s">
        <v>7339</v>
      </c>
      <c r="G835" t="s">
        <v>7340</v>
      </c>
      <c r="I835" t="s">
        <v>2809</v>
      </c>
    </row>
    <row r="836" spans="1:9" x14ac:dyDescent="0.25">
      <c r="A836" t="s">
        <v>1929</v>
      </c>
      <c r="B836" t="s">
        <v>3790</v>
      </c>
      <c r="C836" s="167">
        <v>180.89</v>
      </c>
      <c r="D836" t="s">
        <v>671</v>
      </c>
      <c r="E836" t="s">
        <v>1701</v>
      </c>
      <c r="F836" t="s">
        <v>7339</v>
      </c>
      <c r="G836" t="s">
        <v>7340</v>
      </c>
      <c r="I836" t="s">
        <v>2809</v>
      </c>
    </row>
    <row r="837" spans="1:9" x14ac:dyDescent="0.25">
      <c r="A837" t="s">
        <v>1924</v>
      </c>
      <c r="B837" t="s">
        <v>3785</v>
      </c>
      <c r="C837" s="167">
        <v>180.89</v>
      </c>
      <c r="D837" t="s">
        <v>21</v>
      </c>
      <c r="E837" t="s">
        <v>1699</v>
      </c>
      <c r="F837" t="s">
        <v>7339</v>
      </c>
      <c r="G837" t="s">
        <v>7340</v>
      </c>
      <c r="I837" t="s">
        <v>2809</v>
      </c>
    </row>
    <row r="838" spans="1:9" x14ac:dyDescent="0.25">
      <c r="A838" t="s">
        <v>1927</v>
      </c>
      <c r="B838" t="s">
        <v>3788</v>
      </c>
      <c r="C838" s="167">
        <v>180.89</v>
      </c>
      <c r="D838" t="s">
        <v>563</v>
      </c>
      <c r="E838" t="s">
        <v>1699</v>
      </c>
      <c r="F838" t="s">
        <v>7339</v>
      </c>
      <c r="G838" t="s">
        <v>7340</v>
      </c>
      <c r="I838" t="s">
        <v>2809</v>
      </c>
    </row>
    <row r="839" spans="1:9" x14ac:dyDescent="0.25">
      <c r="A839" t="s">
        <v>1930</v>
      </c>
      <c r="B839" t="s">
        <v>3791</v>
      </c>
      <c r="C839" s="167">
        <v>180.89</v>
      </c>
      <c r="D839" t="s">
        <v>671</v>
      </c>
      <c r="E839" t="s">
        <v>1699</v>
      </c>
      <c r="F839" t="s">
        <v>7339</v>
      </c>
      <c r="G839" t="s">
        <v>7340</v>
      </c>
      <c r="I839" t="s">
        <v>2809</v>
      </c>
    </row>
    <row r="840" spans="1:9" x14ac:dyDescent="0.25">
      <c r="A840" t="s">
        <v>1925</v>
      </c>
      <c r="B840" t="s">
        <v>3786</v>
      </c>
      <c r="C840" s="167">
        <v>180.89</v>
      </c>
      <c r="D840" t="s">
        <v>21</v>
      </c>
      <c r="E840" t="s">
        <v>1703</v>
      </c>
      <c r="F840" t="s">
        <v>7339</v>
      </c>
      <c r="G840" t="s">
        <v>7340</v>
      </c>
      <c r="I840" t="s">
        <v>2809</v>
      </c>
    </row>
    <row r="841" spans="1:9" x14ac:dyDescent="0.25">
      <c r="A841" t="s">
        <v>1928</v>
      </c>
      <c r="B841" t="s">
        <v>3789</v>
      </c>
      <c r="C841" s="167">
        <v>180.89</v>
      </c>
      <c r="D841" t="s">
        <v>563</v>
      </c>
      <c r="E841" t="s">
        <v>1703</v>
      </c>
      <c r="F841" t="s">
        <v>7339</v>
      </c>
      <c r="G841" t="s">
        <v>7340</v>
      </c>
      <c r="I841" t="s">
        <v>2809</v>
      </c>
    </row>
    <row r="842" spans="1:9" x14ac:dyDescent="0.25">
      <c r="A842" t="s">
        <v>1931</v>
      </c>
      <c r="B842" t="s">
        <v>3792</v>
      </c>
      <c r="C842" s="167">
        <v>180.89</v>
      </c>
      <c r="D842" t="s">
        <v>671</v>
      </c>
      <c r="E842" t="s">
        <v>1703</v>
      </c>
      <c r="F842" t="s">
        <v>7339</v>
      </c>
      <c r="G842" t="s">
        <v>7340</v>
      </c>
      <c r="I842" t="s">
        <v>2809</v>
      </c>
    </row>
    <row r="843" spans="1:9" x14ac:dyDescent="0.25">
      <c r="A843" t="s">
        <v>1932</v>
      </c>
      <c r="B843" t="s">
        <v>3793</v>
      </c>
      <c r="C843" s="167">
        <v>213.95</v>
      </c>
      <c r="D843" t="s">
        <v>21</v>
      </c>
      <c r="E843" t="s">
        <v>1701</v>
      </c>
      <c r="F843" t="s">
        <v>7341</v>
      </c>
      <c r="G843" t="s">
        <v>7340</v>
      </c>
      <c r="I843" t="s">
        <v>2809</v>
      </c>
    </row>
    <row r="844" spans="1:9" x14ac:dyDescent="0.25">
      <c r="A844" t="s">
        <v>1935</v>
      </c>
      <c r="B844" t="s">
        <v>3796</v>
      </c>
      <c r="C844" s="167">
        <v>213.95</v>
      </c>
      <c r="D844" t="s">
        <v>563</v>
      </c>
      <c r="E844" t="s">
        <v>1701</v>
      </c>
      <c r="F844" t="s">
        <v>7341</v>
      </c>
      <c r="G844" t="s">
        <v>7340</v>
      </c>
      <c r="I844" t="s">
        <v>2809</v>
      </c>
    </row>
    <row r="845" spans="1:9" x14ac:dyDescent="0.25">
      <c r="A845" t="s">
        <v>1938</v>
      </c>
      <c r="B845" t="s">
        <v>3799</v>
      </c>
      <c r="C845" s="167">
        <v>213.95</v>
      </c>
      <c r="D845" t="s">
        <v>671</v>
      </c>
      <c r="E845" t="s">
        <v>1701</v>
      </c>
      <c r="F845" t="s">
        <v>7341</v>
      </c>
      <c r="G845" t="s">
        <v>7340</v>
      </c>
      <c r="I845" t="s">
        <v>2809</v>
      </c>
    </row>
    <row r="846" spans="1:9" x14ac:dyDescent="0.25">
      <c r="A846" t="s">
        <v>1933</v>
      </c>
      <c r="B846" t="s">
        <v>3794</v>
      </c>
      <c r="C846" s="167">
        <v>213.95</v>
      </c>
      <c r="D846" t="s">
        <v>21</v>
      </c>
      <c r="E846" t="s">
        <v>1699</v>
      </c>
      <c r="F846" t="s">
        <v>7341</v>
      </c>
      <c r="G846" t="s">
        <v>7340</v>
      </c>
      <c r="I846" t="s">
        <v>2809</v>
      </c>
    </row>
    <row r="847" spans="1:9" x14ac:dyDescent="0.25">
      <c r="A847" t="s">
        <v>1936</v>
      </c>
      <c r="B847" t="s">
        <v>3797</v>
      </c>
      <c r="C847" s="167">
        <v>213.95</v>
      </c>
      <c r="D847" t="s">
        <v>563</v>
      </c>
      <c r="E847" t="s">
        <v>1699</v>
      </c>
      <c r="F847" t="s">
        <v>7341</v>
      </c>
      <c r="G847" t="s">
        <v>7340</v>
      </c>
      <c r="I847" t="s">
        <v>2809</v>
      </c>
    </row>
    <row r="848" spans="1:9" x14ac:dyDescent="0.25">
      <c r="A848" t="s">
        <v>1939</v>
      </c>
      <c r="B848" t="s">
        <v>3800</v>
      </c>
      <c r="C848" s="167">
        <v>213.95</v>
      </c>
      <c r="D848" t="s">
        <v>671</v>
      </c>
      <c r="E848" t="s">
        <v>1699</v>
      </c>
      <c r="F848" t="s">
        <v>7341</v>
      </c>
      <c r="G848" t="s">
        <v>7340</v>
      </c>
      <c r="I848" t="s">
        <v>2809</v>
      </c>
    </row>
    <row r="849" spans="1:9" x14ac:dyDescent="0.25">
      <c r="A849" t="s">
        <v>1934</v>
      </c>
      <c r="B849" t="s">
        <v>3795</v>
      </c>
      <c r="C849" s="167">
        <v>213.95</v>
      </c>
      <c r="D849" t="s">
        <v>21</v>
      </c>
      <c r="E849" t="s">
        <v>1703</v>
      </c>
      <c r="F849" t="s">
        <v>7341</v>
      </c>
      <c r="G849" t="s">
        <v>7340</v>
      </c>
      <c r="I849" t="s">
        <v>2809</v>
      </c>
    </row>
    <row r="850" spans="1:9" x14ac:dyDescent="0.25">
      <c r="A850" t="s">
        <v>1937</v>
      </c>
      <c r="B850" t="s">
        <v>3798</v>
      </c>
      <c r="C850" s="167">
        <v>213.95</v>
      </c>
      <c r="D850" t="s">
        <v>563</v>
      </c>
      <c r="E850" t="s">
        <v>1703</v>
      </c>
      <c r="F850" t="s">
        <v>7341</v>
      </c>
      <c r="G850" t="s">
        <v>7340</v>
      </c>
      <c r="I850" t="s">
        <v>2809</v>
      </c>
    </row>
    <row r="851" spans="1:9" x14ac:dyDescent="0.25">
      <c r="A851" t="s">
        <v>1940</v>
      </c>
      <c r="B851" t="s">
        <v>3801</v>
      </c>
      <c r="C851" s="167">
        <v>213.95</v>
      </c>
      <c r="D851" t="s">
        <v>671</v>
      </c>
      <c r="E851" t="s">
        <v>1703</v>
      </c>
      <c r="F851" t="s">
        <v>7341</v>
      </c>
      <c r="G851" t="s">
        <v>7340</v>
      </c>
      <c r="I851" t="s">
        <v>2809</v>
      </c>
    </row>
    <row r="852" spans="1:9" x14ac:dyDescent="0.25">
      <c r="A852" t="s">
        <v>1941</v>
      </c>
      <c r="B852" t="s">
        <v>3802</v>
      </c>
      <c r="C852" s="167">
        <v>240.39</v>
      </c>
      <c r="D852" t="s">
        <v>21</v>
      </c>
      <c r="E852" t="s">
        <v>1701</v>
      </c>
      <c r="F852" t="s">
        <v>7344</v>
      </c>
      <c r="G852" t="s">
        <v>7340</v>
      </c>
      <c r="I852" t="s">
        <v>2809</v>
      </c>
    </row>
    <row r="853" spans="1:9" x14ac:dyDescent="0.25">
      <c r="A853" t="s">
        <v>1944</v>
      </c>
      <c r="B853" t="s">
        <v>3805</v>
      </c>
      <c r="C853" s="167">
        <v>240.39</v>
      </c>
      <c r="D853" t="s">
        <v>563</v>
      </c>
      <c r="E853" t="s">
        <v>1701</v>
      </c>
      <c r="F853" t="s">
        <v>7344</v>
      </c>
      <c r="G853" t="s">
        <v>7340</v>
      </c>
      <c r="I853" t="s">
        <v>2809</v>
      </c>
    </row>
    <row r="854" spans="1:9" x14ac:dyDescent="0.25">
      <c r="A854" t="s">
        <v>1947</v>
      </c>
      <c r="B854" t="s">
        <v>3808</v>
      </c>
      <c r="C854" s="167">
        <v>240.39</v>
      </c>
      <c r="D854" t="s">
        <v>671</v>
      </c>
      <c r="E854" t="s">
        <v>1701</v>
      </c>
      <c r="F854" t="s">
        <v>7344</v>
      </c>
      <c r="G854" t="s">
        <v>7340</v>
      </c>
      <c r="I854" t="s">
        <v>2809</v>
      </c>
    </row>
    <row r="855" spans="1:9" x14ac:dyDescent="0.25">
      <c r="A855" t="s">
        <v>1942</v>
      </c>
      <c r="B855" t="s">
        <v>3803</v>
      </c>
      <c r="C855" s="167">
        <v>240.39</v>
      </c>
      <c r="D855" t="s">
        <v>21</v>
      </c>
      <c r="E855" t="s">
        <v>1699</v>
      </c>
      <c r="F855" t="s">
        <v>7344</v>
      </c>
      <c r="G855" t="s">
        <v>7340</v>
      </c>
      <c r="I855" t="s">
        <v>2809</v>
      </c>
    </row>
    <row r="856" spans="1:9" x14ac:dyDescent="0.25">
      <c r="A856" t="s">
        <v>1945</v>
      </c>
      <c r="B856" t="s">
        <v>3806</v>
      </c>
      <c r="C856" s="167">
        <v>240.39</v>
      </c>
      <c r="D856" t="s">
        <v>563</v>
      </c>
      <c r="E856" t="s">
        <v>1699</v>
      </c>
      <c r="F856" t="s">
        <v>7344</v>
      </c>
      <c r="G856" t="s">
        <v>7340</v>
      </c>
      <c r="I856" t="s">
        <v>2809</v>
      </c>
    </row>
    <row r="857" spans="1:9" x14ac:dyDescent="0.25">
      <c r="A857" t="s">
        <v>1948</v>
      </c>
      <c r="B857" t="s">
        <v>3809</v>
      </c>
      <c r="C857" s="167">
        <v>240.39</v>
      </c>
      <c r="D857" t="s">
        <v>671</v>
      </c>
      <c r="E857" t="s">
        <v>1699</v>
      </c>
      <c r="F857" t="s">
        <v>7344</v>
      </c>
      <c r="G857" t="s">
        <v>7340</v>
      </c>
      <c r="I857" t="s">
        <v>2809</v>
      </c>
    </row>
    <row r="858" spans="1:9" x14ac:dyDescent="0.25">
      <c r="A858" t="s">
        <v>1943</v>
      </c>
      <c r="B858" t="s">
        <v>3804</v>
      </c>
      <c r="C858" s="167">
        <v>240.39</v>
      </c>
      <c r="D858" t="s">
        <v>21</v>
      </c>
      <c r="E858" t="s">
        <v>1703</v>
      </c>
      <c r="F858" t="s">
        <v>7344</v>
      </c>
      <c r="G858" t="s">
        <v>7340</v>
      </c>
      <c r="I858" t="s">
        <v>2809</v>
      </c>
    </row>
    <row r="859" spans="1:9" x14ac:dyDescent="0.25">
      <c r="A859" t="s">
        <v>1946</v>
      </c>
      <c r="B859" t="s">
        <v>3807</v>
      </c>
      <c r="C859" s="167">
        <v>240.39</v>
      </c>
      <c r="D859" t="s">
        <v>563</v>
      </c>
      <c r="E859" t="s">
        <v>1703</v>
      </c>
      <c r="F859" t="s">
        <v>7344</v>
      </c>
      <c r="G859" t="s">
        <v>7340</v>
      </c>
      <c r="I859" t="s">
        <v>2809</v>
      </c>
    </row>
    <row r="860" spans="1:9" x14ac:dyDescent="0.25">
      <c r="A860" t="s">
        <v>1949</v>
      </c>
      <c r="B860" t="s">
        <v>3810</v>
      </c>
      <c r="C860" s="167">
        <v>240.39</v>
      </c>
      <c r="D860" t="s">
        <v>671</v>
      </c>
      <c r="E860" t="s">
        <v>1703</v>
      </c>
      <c r="F860" t="s">
        <v>7344</v>
      </c>
      <c r="G860" t="s">
        <v>7340</v>
      </c>
      <c r="I860" t="s">
        <v>2809</v>
      </c>
    </row>
    <row r="861" spans="1:9" x14ac:dyDescent="0.25">
      <c r="A861" t="s">
        <v>1950</v>
      </c>
      <c r="B861" t="s">
        <v>3811</v>
      </c>
      <c r="C861" s="167">
        <v>266.83999999999997</v>
      </c>
      <c r="D861" t="s">
        <v>21</v>
      </c>
      <c r="E861" t="s">
        <v>1701</v>
      </c>
      <c r="F861" t="s">
        <v>7343</v>
      </c>
      <c r="G861" t="s">
        <v>7340</v>
      </c>
      <c r="I861" t="s">
        <v>2809</v>
      </c>
    </row>
    <row r="862" spans="1:9" x14ac:dyDescent="0.25">
      <c r="A862" t="s">
        <v>1953</v>
      </c>
      <c r="B862" t="s">
        <v>3814</v>
      </c>
      <c r="C862" s="167">
        <v>266.83999999999997</v>
      </c>
      <c r="D862" t="s">
        <v>563</v>
      </c>
      <c r="E862" t="s">
        <v>1701</v>
      </c>
      <c r="F862" t="s">
        <v>7343</v>
      </c>
      <c r="G862" t="s">
        <v>7340</v>
      </c>
      <c r="I862" t="s">
        <v>2809</v>
      </c>
    </row>
    <row r="863" spans="1:9" x14ac:dyDescent="0.25">
      <c r="A863" t="s">
        <v>1956</v>
      </c>
      <c r="B863" t="s">
        <v>3817</v>
      </c>
      <c r="C863" s="167">
        <v>266.83999999999997</v>
      </c>
      <c r="D863" t="s">
        <v>671</v>
      </c>
      <c r="E863" t="s">
        <v>1701</v>
      </c>
      <c r="F863" t="s">
        <v>7343</v>
      </c>
      <c r="G863" t="s">
        <v>7340</v>
      </c>
      <c r="I863" t="s">
        <v>2809</v>
      </c>
    </row>
    <row r="864" spans="1:9" x14ac:dyDescent="0.25">
      <c r="A864" t="s">
        <v>1951</v>
      </c>
      <c r="B864" t="s">
        <v>3812</v>
      </c>
      <c r="C864" s="167">
        <v>266.83999999999997</v>
      </c>
      <c r="D864" t="s">
        <v>21</v>
      </c>
      <c r="E864" t="s">
        <v>1699</v>
      </c>
      <c r="F864" t="s">
        <v>7343</v>
      </c>
      <c r="G864" t="s">
        <v>7340</v>
      </c>
      <c r="I864" t="s">
        <v>2809</v>
      </c>
    </row>
    <row r="865" spans="1:9" x14ac:dyDescent="0.25">
      <c r="A865" t="s">
        <v>1954</v>
      </c>
      <c r="B865" t="s">
        <v>3815</v>
      </c>
      <c r="C865" s="167">
        <v>266.83999999999997</v>
      </c>
      <c r="D865" t="s">
        <v>563</v>
      </c>
      <c r="E865" t="s">
        <v>1699</v>
      </c>
      <c r="F865" t="s">
        <v>7343</v>
      </c>
      <c r="G865" t="s">
        <v>7340</v>
      </c>
      <c r="I865" t="s">
        <v>2809</v>
      </c>
    </row>
    <row r="866" spans="1:9" x14ac:dyDescent="0.25">
      <c r="A866" t="s">
        <v>1957</v>
      </c>
      <c r="B866" t="s">
        <v>3818</v>
      </c>
      <c r="C866" s="167">
        <v>266.83999999999997</v>
      </c>
      <c r="D866" t="s">
        <v>671</v>
      </c>
      <c r="E866" t="s">
        <v>1699</v>
      </c>
      <c r="F866" t="s">
        <v>7343</v>
      </c>
      <c r="G866" t="s">
        <v>7340</v>
      </c>
      <c r="I866" t="s">
        <v>2809</v>
      </c>
    </row>
    <row r="867" spans="1:9" x14ac:dyDescent="0.25">
      <c r="A867" t="s">
        <v>1952</v>
      </c>
      <c r="B867" t="s">
        <v>3813</v>
      </c>
      <c r="C867" s="167">
        <v>266.83999999999997</v>
      </c>
      <c r="D867" t="s">
        <v>21</v>
      </c>
      <c r="E867" t="s">
        <v>1703</v>
      </c>
      <c r="F867" t="s">
        <v>7343</v>
      </c>
      <c r="G867" t="s">
        <v>7340</v>
      </c>
      <c r="I867" t="s">
        <v>2809</v>
      </c>
    </row>
    <row r="868" spans="1:9" x14ac:dyDescent="0.25">
      <c r="A868" t="s">
        <v>1955</v>
      </c>
      <c r="B868" t="s">
        <v>3816</v>
      </c>
      <c r="C868" s="167">
        <v>266.83999999999997</v>
      </c>
      <c r="D868" t="s">
        <v>563</v>
      </c>
      <c r="E868" t="s">
        <v>1703</v>
      </c>
      <c r="F868" t="s">
        <v>7343</v>
      </c>
      <c r="G868" t="s">
        <v>7340</v>
      </c>
      <c r="I868" t="s">
        <v>2809</v>
      </c>
    </row>
    <row r="869" spans="1:9" x14ac:dyDescent="0.25">
      <c r="A869" t="s">
        <v>1958</v>
      </c>
      <c r="B869" t="s">
        <v>3819</v>
      </c>
      <c r="C869" s="167">
        <v>266.83999999999997</v>
      </c>
      <c r="D869" t="s">
        <v>671</v>
      </c>
      <c r="E869" t="s">
        <v>1703</v>
      </c>
      <c r="F869" t="s">
        <v>7343</v>
      </c>
      <c r="G869" t="s">
        <v>7340</v>
      </c>
      <c r="I869" t="s">
        <v>2809</v>
      </c>
    </row>
    <row r="870" spans="1:9" x14ac:dyDescent="0.25">
      <c r="A870" t="s">
        <v>1959</v>
      </c>
      <c r="B870" t="s">
        <v>3820</v>
      </c>
      <c r="C870" s="167">
        <v>167.67</v>
      </c>
      <c r="D870" t="s">
        <v>21</v>
      </c>
      <c r="E870" t="s">
        <v>1701</v>
      </c>
      <c r="F870" t="s">
        <v>7339</v>
      </c>
      <c r="G870" t="s">
        <v>7340</v>
      </c>
      <c r="I870" t="s">
        <v>2809</v>
      </c>
    </row>
    <row r="871" spans="1:9" x14ac:dyDescent="0.25">
      <c r="A871" t="s">
        <v>1962</v>
      </c>
      <c r="B871" t="s">
        <v>3823</v>
      </c>
      <c r="C871" s="167">
        <v>167.67</v>
      </c>
      <c r="D871" t="s">
        <v>563</v>
      </c>
      <c r="E871" t="s">
        <v>1701</v>
      </c>
      <c r="F871" t="s">
        <v>7339</v>
      </c>
      <c r="G871" t="s">
        <v>7340</v>
      </c>
      <c r="I871" t="s">
        <v>2809</v>
      </c>
    </row>
    <row r="872" spans="1:9" x14ac:dyDescent="0.25">
      <c r="A872" t="s">
        <v>1965</v>
      </c>
      <c r="B872" t="s">
        <v>3826</v>
      </c>
      <c r="C872" s="167">
        <v>167.67</v>
      </c>
      <c r="D872" t="s">
        <v>671</v>
      </c>
      <c r="E872" t="s">
        <v>1701</v>
      </c>
      <c r="F872" t="s">
        <v>7339</v>
      </c>
      <c r="G872" t="s">
        <v>7340</v>
      </c>
      <c r="I872" t="s">
        <v>2809</v>
      </c>
    </row>
    <row r="873" spans="1:9" x14ac:dyDescent="0.25">
      <c r="A873" t="s">
        <v>1960</v>
      </c>
      <c r="B873" t="s">
        <v>3821</v>
      </c>
      <c r="C873" s="167">
        <v>167.67</v>
      </c>
      <c r="D873" t="s">
        <v>21</v>
      </c>
      <c r="E873" t="s">
        <v>1699</v>
      </c>
      <c r="F873" t="s">
        <v>7339</v>
      </c>
      <c r="G873" t="s">
        <v>7340</v>
      </c>
      <c r="I873" t="s">
        <v>2809</v>
      </c>
    </row>
    <row r="874" spans="1:9" x14ac:dyDescent="0.25">
      <c r="A874" t="s">
        <v>1963</v>
      </c>
      <c r="B874" t="s">
        <v>3824</v>
      </c>
      <c r="C874" s="167">
        <v>167.67</v>
      </c>
      <c r="D874" t="s">
        <v>563</v>
      </c>
      <c r="E874" t="s">
        <v>1699</v>
      </c>
      <c r="F874" t="s">
        <v>7339</v>
      </c>
      <c r="G874" t="s">
        <v>7340</v>
      </c>
      <c r="I874" t="s">
        <v>2809</v>
      </c>
    </row>
    <row r="875" spans="1:9" x14ac:dyDescent="0.25">
      <c r="A875" t="s">
        <v>1966</v>
      </c>
      <c r="B875" t="s">
        <v>3827</v>
      </c>
      <c r="C875" s="167">
        <v>167.67</v>
      </c>
      <c r="D875" t="s">
        <v>671</v>
      </c>
      <c r="E875" t="s">
        <v>1699</v>
      </c>
      <c r="F875" t="s">
        <v>7339</v>
      </c>
      <c r="G875" t="s">
        <v>7340</v>
      </c>
      <c r="I875" t="s">
        <v>2809</v>
      </c>
    </row>
    <row r="876" spans="1:9" x14ac:dyDescent="0.25">
      <c r="A876" t="s">
        <v>1961</v>
      </c>
      <c r="B876" t="s">
        <v>3822</v>
      </c>
      <c r="C876" s="167">
        <v>167.67</v>
      </c>
      <c r="D876" t="s">
        <v>21</v>
      </c>
      <c r="E876" t="s">
        <v>1703</v>
      </c>
      <c r="F876" t="s">
        <v>7339</v>
      </c>
      <c r="G876" t="s">
        <v>7340</v>
      </c>
      <c r="I876" t="s">
        <v>2809</v>
      </c>
    </row>
    <row r="877" spans="1:9" x14ac:dyDescent="0.25">
      <c r="A877" t="s">
        <v>1964</v>
      </c>
      <c r="B877" t="s">
        <v>3825</v>
      </c>
      <c r="C877" s="167">
        <v>167.67</v>
      </c>
      <c r="D877" t="s">
        <v>563</v>
      </c>
      <c r="E877" t="s">
        <v>1703</v>
      </c>
      <c r="F877" t="s">
        <v>7339</v>
      </c>
      <c r="G877" t="s">
        <v>7340</v>
      </c>
      <c r="I877" t="s">
        <v>2809</v>
      </c>
    </row>
    <row r="878" spans="1:9" x14ac:dyDescent="0.25">
      <c r="A878" t="s">
        <v>1967</v>
      </c>
      <c r="B878" t="s">
        <v>3828</v>
      </c>
      <c r="C878" s="167">
        <v>167.67</v>
      </c>
      <c r="D878" t="s">
        <v>671</v>
      </c>
      <c r="E878" t="s">
        <v>1703</v>
      </c>
      <c r="F878" t="s">
        <v>7339</v>
      </c>
      <c r="G878" t="s">
        <v>7340</v>
      </c>
      <c r="I878" t="s">
        <v>2809</v>
      </c>
    </row>
    <row r="879" spans="1:9" x14ac:dyDescent="0.25">
      <c r="A879" t="s">
        <v>1968</v>
      </c>
      <c r="B879" t="s">
        <v>3829</v>
      </c>
      <c r="C879" s="167">
        <v>187.5</v>
      </c>
      <c r="D879" t="s">
        <v>21</v>
      </c>
      <c r="E879" t="s">
        <v>1701</v>
      </c>
      <c r="F879" t="s">
        <v>7341</v>
      </c>
      <c r="G879" t="s">
        <v>7340</v>
      </c>
      <c r="I879" t="s">
        <v>2809</v>
      </c>
    </row>
    <row r="880" spans="1:9" x14ac:dyDescent="0.25">
      <c r="A880" t="s">
        <v>1971</v>
      </c>
      <c r="B880" t="s">
        <v>3832</v>
      </c>
      <c r="C880" s="167">
        <v>187.5</v>
      </c>
      <c r="D880" t="s">
        <v>563</v>
      </c>
      <c r="E880" t="s">
        <v>1701</v>
      </c>
      <c r="F880" t="s">
        <v>7341</v>
      </c>
      <c r="G880" t="s">
        <v>7340</v>
      </c>
      <c r="I880" t="s">
        <v>2809</v>
      </c>
    </row>
    <row r="881" spans="1:9" x14ac:dyDescent="0.25">
      <c r="A881" t="s">
        <v>1974</v>
      </c>
      <c r="B881" t="s">
        <v>3835</v>
      </c>
      <c r="C881" s="167">
        <v>187.5</v>
      </c>
      <c r="D881" t="s">
        <v>671</v>
      </c>
      <c r="E881" t="s">
        <v>1701</v>
      </c>
      <c r="F881" t="s">
        <v>7341</v>
      </c>
      <c r="G881" t="s">
        <v>7340</v>
      </c>
      <c r="I881" t="s">
        <v>2809</v>
      </c>
    </row>
    <row r="882" spans="1:9" x14ac:dyDescent="0.25">
      <c r="A882" t="s">
        <v>1969</v>
      </c>
      <c r="B882" t="s">
        <v>3830</v>
      </c>
      <c r="C882" s="167">
        <v>187.5</v>
      </c>
      <c r="D882" t="s">
        <v>21</v>
      </c>
      <c r="E882" t="s">
        <v>1699</v>
      </c>
      <c r="F882" t="s">
        <v>7341</v>
      </c>
      <c r="G882" t="s">
        <v>7340</v>
      </c>
      <c r="I882" t="s">
        <v>2809</v>
      </c>
    </row>
    <row r="883" spans="1:9" x14ac:dyDescent="0.25">
      <c r="A883" t="s">
        <v>1972</v>
      </c>
      <c r="B883" t="s">
        <v>3833</v>
      </c>
      <c r="C883" s="167">
        <v>187.5</v>
      </c>
      <c r="D883" t="s">
        <v>563</v>
      </c>
      <c r="E883" t="s">
        <v>1699</v>
      </c>
      <c r="F883" t="s">
        <v>7341</v>
      </c>
      <c r="G883" t="s">
        <v>7340</v>
      </c>
      <c r="I883" t="s">
        <v>2809</v>
      </c>
    </row>
    <row r="884" spans="1:9" x14ac:dyDescent="0.25">
      <c r="A884" t="s">
        <v>1975</v>
      </c>
      <c r="B884" t="s">
        <v>3836</v>
      </c>
      <c r="C884" s="167">
        <v>187.5</v>
      </c>
      <c r="D884" t="s">
        <v>671</v>
      </c>
      <c r="E884" t="s">
        <v>1699</v>
      </c>
      <c r="F884" t="s">
        <v>7341</v>
      </c>
      <c r="G884" t="s">
        <v>7340</v>
      </c>
      <c r="I884" t="s">
        <v>2809</v>
      </c>
    </row>
    <row r="885" spans="1:9" x14ac:dyDescent="0.25">
      <c r="A885" t="s">
        <v>1970</v>
      </c>
      <c r="B885" t="s">
        <v>3831</v>
      </c>
      <c r="C885" s="167">
        <v>187.5</v>
      </c>
      <c r="D885" t="s">
        <v>21</v>
      </c>
      <c r="E885" t="s">
        <v>1703</v>
      </c>
      <c r="F885" t="s">
        <v>7341</v>
      </c>
      <c r="G885" t="s">
        <v>7340</v>
      </c>
      <c r="I885" t="s">
        <v>2809</v>
      </c>
    </row>
    <row r="886" spans="1:9" x14ac:dyDescent="0.25">
      <c r="A886" t="s">
        <v>1973</v>
      </c>
      <c r="B886" t="s">
        <v>3834</v>
      </c>
      <c r="C886" s="167">
        <v>187.5</v>
      </c>
      <c r="D886" t="s">
        <v>563</v>
      </c>
      <c r="E886" t="s">
        <v>1703</v>
      </c>
      <c r="F886" t="s">
        <v>7341</v>
      </c>
      <c r="G886" t="s">
        <v>7340</v>
      </c>
      <c r="I886" t="s">
        <v>2809</v>
      </c>
    </row>
    <row r="887" spans="1:9" x14ac:dyDescent="0.25">
      <c r="A887" t="s">
        <v>1976</v>
      </c>
      <c r="B887" t="s">
        <v>3837</v>
      </c>
      <c r="C887" s="167">
        <v>187.5</v>
      </c>
      <c r="D887" t="s">
        <v>671</v>
      </c>
      <c r="E887" t="s">
        <v>1703</v>
      </c>
      <c r="F887" t="s">
        <v>7341</v>
      </c>
      <c r="G887" t="s">
        <v>7340</v>
      </c>
      <c r="I887" t="s">
        <v>2809</v>
      </c>
    </row>
    <row r="888" spans="1:9" x14ac:dyDescent="0.25">
      <c r="A888" t="s">
        <v>1977</v>
      </c>
      <c r="B888" t="s">
        <v>3838</v>
      </c>
      <c r="C888" s="167">
        <v>213.95</v>
      </c>
      <c r="D888" t="s">
        <v>21</v>
      </c>
      <c r="E888" t="s">
        <v>1701</v>
      </c>
      <c r="F888" t="s">
        <v>7344</v>
      </c>
      <c r="G888" t="s">
        <v>7340</v>
      </c>
      <c r="I888" t="s">
        <v>2809</v>
      </c>
    </row>
    <row r="889" spans="1:9" x14ac:dyDescent="0.25">
      <c r="A889" t="s">
        <v>1980</v>
      </c>
      <c r="B889" t="s">
        <v>3841</v>
      </c>
      <c r="C889" s="167">
        <v>213.95</v>
      </c>
      <c r="D889" t="s">
        <v>563</v>
      </c>
      <c r="E889" t="s">
        <v>1701</v>
      </c>
      <c r="F889" t="s">
        <v>7344</v>
      </c>
      <c r="G889" t="s">
        <v>7340</v>
      </c>
      <c r="I889" t="s">
        <v>2809</v>
      </c>
    </row>
    <row r="890" spans="1:9" x14ac:dyDescent="0.25">
      <c r="A890" t="s">
        <v>1983</v>
      </c>
      <c r="B890" t="s">
        <v>3844</v>
      </c>
      <c r="C890" s="167">
        <v>213.95</v>
      </c>
      <c r="D890" t="s">
        <v>671</v>
      </c>
      <c r="E890" t="s">
        <v>1701</v>
      </c>
      <c r="F890" t="s">
        <v>7344</v>
      </c>
      <c r="G890" t="s">
        <v>7340</v>
      </c>
      <c r="I890" t="s">
        <v>2809</v>
      </c>
    </row>
    <row r="891" spans="1:9" x14ac:dyDescent="0.25">
      <c r="A891" t="s">
        <v>1978</v>
      </c>
      <c r="B891" t="s">
        <v>3839</v>
      </c>
      <c r="C891" s="167">
        <v>213.95</v>
      </c>
      <c r="D891" t="s">
        <v>21</v>
      </c>
      <c r="E891" t="s">
        <v>1699</v>
      </c>
      <c r="F891" t="s">
        <v>7344</v>
      </c>
      <c r="G891" t="s">
        <v>7340</v>
      </c>
      <c r="I891" t="s">
        <v>2809</v>
      </c>
    </row>
    <row r="892" spans="1:9" x14ac:dyDescent="0.25">
      <c r="A892" t="s">
        <v>1981</v>
      </c>
      <c r="B892" t="s">
        <v>3842</v>
      </c>
      <c r="C892" s="167">
        <v>213.95</v>
      </c>
      <c r="D892" t="s">
        <v>563</v>
      </c>
      <c r="E892" t="s">
        <v>1699</v>
      </c>
      <c r="F892" t="s">
        <v>7344</v>
      </c>
      <c r="G892" t="s">
        <v>7340</v>
      </c>
      <c r="I892" t="s">
        <v>2809</v>
      </c>
    </row>
    <row r="893" spans="1:9" x14ac:dyDescent="0.25">
      <c r="A893" t="s">
        <v>1984</v>
      </c>
      <c r="B893" t="s">
        <v>3845</v>
      </c>
      <c r="C893" s="167">
        <v>213.95</v>
      </c>
      <c r="D893" t="s">
        <v>671</v>
      </c>
      <c r="E893" t="s">
        <v>1699</v>
      </c>
      <c r="F893" t="s">
        <v>7344</v>
      </c>
      <c r="G893" t="s">
        <v>7340</v>
      </c>
      <c r="I893" t="s">
        <v>2809</v>
      </c>
    </row>
    <row r="894" spans="1:9" x14ac:dyDescent="0.25">
      <c r="A894" t="s">
        <v>1979</v>
      </c>
      <c r="B894" t="s">
        <v>3840</v>
      </c>
      <c r="C894" s="167">
        <v>213.95</v>
      </c>
      <c r="D894" t="s">
        <v>21</v>
      </c>
      <c r="E894" t="s">
        <v>1703</v>
      </c>
      <c r="F894" t="s">
        <v>7344</v>
      </c>
      <c r="G894" t="s">
        <v>7340</v>
      </c>
      <c r="I894" t="s">
        <v>2809</v>
      </c>
    </row>
    <row r="895" spans="1:9" x14ac:dyDescent="0.25">
      <c r="A895" t="s">
        <v>1982</v>
      </c>
      <c r="B895" t="s">
        <v>3843</v>
      </c>
      <c r="C895" s="167">
        <v>213.95</v>
      </c>
      <c r="D895" t="s">
        <v>563</v>
      </c>
      <c r="E895" t="s">
        <v>1703</v>
      </c>
      <c r="F895" t="s">
        <v>7344</v>
      </c>
      <c r="G895" t="s">
        <v>7340</v>
      </c>
      <c r="I895" t="s">
        <v>2809</v>
      </c>
    </row>
    <row r="896" spans="1:9" x14ac:dyDescent="0.25">
      <c r="A896" t="s">
        <v>1985</v>
      </c>
      <c r="B896" t="s">
        <v>3846</v>
      </c>
      <c r="C896" s="167">
        <v>213.95</v>
      </c>
      <c r="D896" t="s">
        <v>671</v>
      </c>
      <c r="E896" t="s">
        <v>1703</v>
      </c>
      <c r="F896" t="s">
        <v>7344</v>
      </c>
      <c r="G896" t="s">
        <v>7340</v>
      </c>
      <c r="I896" t="s">
        <v>2809</v>
      </c>
    </row>
    <row r="897" spans="1:9" x14ac:dyDescent="0.25">
      <c r="A897" t="s">
        <v>1986</v>
      </c>
      <c r="B897" t="s">
        <v>3847</v>
      </c>
      <c r="C897" s="167">
        <v>233.78</v>
      </c>
      <c r="D897" t="s">
        <v>21</v>
      </c>
      <c r="E897" t="s">
        <v>1701</v>
      </c>
      <c r="F897" t="s">
        <v>7343</v>
      </c>
      <c r="G897" t="s">
        <v>7340</v>
      </c>
      <c r="I897" t="s">
        <v>2809</v>
      </c>
    </row>
    <row r="898" spans="1:9" x14ac:dyDescent="0.25">
      <c r="A898" t="s">
        <v>1989</v>
      </c>
      <c r="B898" t="s">
        <v>3850</v>
      </c>
      <c r="C898" s="167">
        <v>233.78</v>
      </c>
      <c r="D898" t="s">
        <v>563</v>
      </c>
      <c r="E898" t="s">
        <v>1701</v>
      </c>
      <c r="F898" t="s">
        <v>7343</v>
      </c>
      <c r="G898" t="s">
        <v>7340</v>
      </c>
      <c r="I898" t="s">
        <v>2809</v>
      </c>
    </row>
    <row r="899" spans="1:9" x14ac:dyDescent="0.25">
      <c r="A899" t="s">
        <v>1992</v>
      </c>
      <c r="B899" t="s">
        <v>3853</v>
      </c>
      <c r="C899" s="167">
        <v>233.78</v>
      </c>
      <c r="D899" t="s">
        <v>671</v>
      </c>
      <c r="E899" t="s">
        <v>1701</v>
      </c>
      <c r="F899" t="s">
        <v>7343</v>
      </c>
      <c r="G899" t="s">
        <v>7340</v>
      </c>
      <c r="I899" t="s">
        <v>2809</v>
      </c>
    </row>
    <row r="900" spans="1:9" x14ac:dyDescent="0.25">
      <c r="A900" t="s">
        <v>1987</v>
      </c>
      <c r="B900" t="s">
        <v>3848</v>
      </c>
      <c r="C900" s="167">
        <v>233.78</v>
      </c>
      <c r="D900" t="s">
        <v>21</v>
      </c>
      <c r="E900" t="s">
        <v>1699</v>
      </c>
      <c r="F900" t="s">
        <v>7343</v>
      </c>
      <c r="G900" t="s">
        <v>7340</v>
      </c>
      <c r="I900" t="s">
        <v>2809</v>
      </c>
    </row>
    <row r="901" spans="1:9" x14ac:dyDescent="0.25">
      <c r="A901" t="s">
        <v>1990</v>
      </c>
      <c r="B901" t="s">
        <v>3851</v>
      </c>
      <c r="C901" s="167">
        <v>233.78</v>
      </c>
      <c r="D901" t="s">
        <v>563</v>
      </c>
      <c r="E901" t="s">
        <v>1699</v>
      </c>
      <c r="F901" t="s">
        <v>7343</v>
      </c>
      <c r="G901" t="s">
        <v>7340</v>
      </c>
      <c r="I901" t="s">
        <v>2809</v>
      </c>
    </row>
    <row r="902" spans="1:9" x14ac:dyDescent="0.25">
      <c r="A902" t="s">
        <v>1993</v>
      </c>
      <c r="B902" t="s">
        <v>3854</v>
      </c>
      <c r="C902" s="167">
        <v>233.78</v>
      </c>
      <c r="D902" t="s">
        <v>671</v>
      </c>
      <c r="E902" t="s">
        <v>1699</v>
      </c>
      <c r="F902" t="s">
        <v>7343</v>
      </c>
      <c r="G902" t="s">
        <v>7340</v>
      </c>
      <c r="I902" t="s">
        <v>2809</v>
      </c>
    </row>
    <row r="903" spans="1:9" x14ac:dyDescent="0.25">
      <c r="A903" t="s">
        <v>1988</v>
      </c>
      <c r="B903" t="s">
        <v>3849</v>
      </c>
      <c r="C903" s="167">
        <v>233.78</v>
      </c>
      <c r="D903" t="s">
        <v>21</v>
      </c>
      <c r="E903" t="s">
        <v>1703</v>
      </c>
      <c r="F903" t="s">
        <v>7343</v>
      </c>
      <c r="G903" t="s">
        <v>7340</v>
      </c>
      <c r="I903" t="s">
        <v>2809</v>
      </c>
    </row>
    <row r="904" spans="1:9" x14ac:dyDescent="0.25">
      <c r="A904" t="s">
        <v>1991</v>
      </c>
      <c r="B904" t="s">
        <v>3852</v>
      </c>
      <c r="C904" s="167">
        <v>233.78</v>
      </c>
      <c r="D904" t="s">
        <v>563</v>
      </c>
      <c r="E904" t="s">
        <v>1703</v>
      </c>
      <c r="F904" t="s">
        <v>7343</v>
      </c>
      <c r="G904" t="s">
        <v>7340</v>
      </c>
      <c r="I904" t="s">
        <v>2809</v>
      </c>
    </row>
    <row r="905" spans="1:9" x14ac:dyDescent="0.25">
      <c r="A905" t="s">
        <v>1994</v>
      </c>
      <c r="B905" t="s">
        <v>3855</v>
      </c>
      <c r="C905" s="167">
        <v>233.78</v>
      </c>
      <c r="D905" t="s">
        <v>671</v>
      </c>
      <c r="E905" t="s">
        <v>1703</v>
      </c>
      <c r="F905" t="s">
        <v>7343</v>
      </c>
      <c r="G905" t="s">
        <v>7340</v>
      </c>
      <c r="I905" t="s">
        <v>2809</v>
      </c>
    </row>
    <row r="906" spans="1:9" x14ac:dyDescent="0.25">
      <c r="A906" t="s">
        <v>1995</v>
      </c>
      <c r="B906" t="s">
        <v>3856</v>
      </c>
      <c r="C906" s="167">
        <v>128.01</v>
      </c>
      <c r="D906" t="s">
        <v>21</v>
      </c>
      <c r="E906" t="s">
        <v>1701</v>
      </c>
      <c r="F906" t="s">
        <v>7339</v>
      </c>
      <c r="G906" t="s">
        <v>7340</v>
      </c>
      <c r="I906" t="s">
        <v>2809</v>
      </c>
    </row>
    <row r="907" spans="1:9" x14ac:dyDescent="0.25">
      <c r="A907" t="s">
        <v>1998</v>
      </c>
      <c r="B907" t="s">
        <v>3859</v>
      </c>
      <c r="C907" s="167">
        <v>128.01</v>
      </c>
      <c r="D907" t="s">
        <v>563</v>
      </c>
      <c r="E907" t="s">
        <v>1701</v>
      </c>
      <c r="F907" t="s">
        <v>7339</v>
      </c>
      <c r="G907" t="s">
        <v>7340</v>
      </c>
      <c r="I907" t="s">
        <v>2809</v>
      </c>
    </row>
    <row r="908" spans="1:9" x14ac:dyDescent="0.25">
      <c r="A908" t="s">
        <v>2001</v>
      </c>
      <c r="B908" t="s">
        <v>3862</v>
      </c>
      <c r="C908" s="167">
        <v>128.01</v>
      </c>
      <c r="D908" t="s">
        <v>671</v>
      </c>
      <c r="E908" t="s">
        <v>1701</v>
      </c>
      <c r="F908" t="s">
        <v>7339</v>
      </c>
      <c r="G908" t="s">
        <v>7340</v>
      </c>
      <c r="I908" t="s">
        <v>2809</v>
      </c>
    </row>
    <row r="909" spans="1:9" x14ac:dyDescent="0.25">
      <c r="A909" t="s">
        <v>1996</v>
      </c>
      <c r="B909" t="s">
        <v>3857</v>
      </c>
      <c r="C909" s="167">
        <v>128.01</v>
      </c>
      <c r="D909" t="s">
        <v>21</v>
      </c>
      <c r="E909" t="s">
        <v>1699</v>
      </c>
      <c r="F909" t="s">
        <v>7339</v>
      </c>
      <c r="G909" t="s">
        <v>7340</v>
      </c>
      <c r="I909" t="s">
        <v>2809</v>
      </c>
    </row>
    <row r="910" spans="1:9" x14ac:dyDescent="0.25">
      <c r="A910" t="s">
        <v>1999</v>
      </c>
      <c r="B910" t="s">
        <v>3860</v>
      </c>
      <c r="C910" s="167">
        <v>128.01</v>
      </c>
      <c r="D910" t="s">
        <v>563</v>
      </c>
      <c r="E910" t="s">
        <v>1699</v>
      </c>
      <c r="F910" t="s">
        <v>7339</v>
      </c>
      <c r="G910" t="s">
        <v>7340</v>
      </c>
      <c r="I910" t="s">
        <v>2809</v>
      </c>
    </row>
    <row r="911" spans="1:9" x14ac:dyDescent="0.25">
      <c r="A911" t="s">
        <v>2002</v>
      </c>
      <c r="B911" t="s">
        <v>3863</v>
      </c>
      <c r="C911" s="167">
        <v>128.01</v>
      </c>
      <c r="D911" t="s">
        <v>671</v>
      </c>
      <c r="E911" t="s">
        <v>1699</v>
      </c>
      <c r="F911" t="s">
        <v>7339</v>
      </c>
      <c r="G911" t="s">
        <v>7340</v>
      </c>
      <c r="I911" t="s">
        <v>2809</v>
      </c>
    </row>
    <row r="912" spans="1:9" x14ac:dyDescent="0.25">
      <c r="A912" t="s">
        <v>1997</v>
      </c>
      <c r="B912" t="s">
        <v>3858</v>
      </c>
      <c r="C912" s="167">
        <v>128.01</v>
      </c>
      <c r="D912" t="s">
        <v>21</v>
      </c>
      <c r="E912" t="s">
        <v>1703</v>
      </c>
      <c r="F912" t="s">
        <v>7339</v>
      </c>
      <c r="G912" t="s">
        <v>7340</v>
      </c>
      <c r="I912" t="s">
        <v>2809</v>
      </c>
    </row>
    <row r="913" spans="1:9" x14ac:dyDescent="0.25">
      <c r="A913" t="s">
        <v>2000</v>
      </c>
      <c r="B913" t="s">
        <v>3861</v>
      </c>
      <c r="C913" s="167">
        <v>128.01</v>
      </c>
      <c r="D913" t="s">
        <v>563</v>
      </c>
      <c r="E913" t="s">
        <v>1703</v>
      </c>
      <c r="F913" t="s">
        <v>7339</v>
      </c>
      <c r="G913" t="s">
        <v>7340</v>
      </c>
      <c r="I913" t="s">
        <v>2809</v>
      </c>
    </row>
    <row r="914" spans="1:9" x14ac:dyDescent="0.25">
      <c r="A914" t="s">
        <v>2003</v>
      </c>
      <c r="B914" t="s">
        <v>3864</v>
      </c>
      <c r="C914" s="167">
        <v>128.01</v>
      </c>
      <c r="D914" t="s">
        <v>671</v>
      </c>
      <c r="E914" t="s">
        <v>1703</v>
      </c>
      <c r="F914" t="s">
        <v>7339</v>
      </c>
      <c r="G914" t="s">
        <v>7340</v>
      </c>
      <c r="I914" t="s">
        <v>2809</v>
      </c>
    </row>
    <row r="915" spans="1:9" x14ac:dyDescent="0.25">
      <c r="A915" t="s">
        <v>2004</v>
      </c>
      <c r="B915" t="s">
        <v>3865</v>
      </c>
      <c r="C915" s="167">
        <v>147.84</v>
      </c>
      <c r="D915" t="s">
        <v>21</v>
      </c>
      <c r="E915" t="s">
        <v>1701</v>
      </c>
      <c r="F915" t="s">
        <v>7341</v>
      </c>
      <c r="G915" t="s">
        <v>7340</v>
      </c>
      <c r="I915" t="s">
        <v>2809</v>
      </c>
    </row>
    <row r="916" spans="1:9" x14ac:dyDescent="0.25">
      <c r="A916" t="s">
        <v>2007</v>
      </c>
      <c r="B916" t="s">
        <v>3868</v>
      </c>
      <c r="C916" s="167">
        <v>147.84</v>
      </c>
      <c r="D916" t="s">
        <v>563</v>
      </c>
      <c r="E916" t="s">
        <v>1701</v>
      </c>
      <c r="F916" t="s">
        <v>7341</v>
      </c>
      <c r="G916" t="s">
        <v>7340</v>
      </c>
      <c r="I916" t="s">
        <v>2809</v>
      </c>
    </row>
    <row r="917" spans="1:9" x14ac:dyDescent="0.25">
      <c r="A917" t="s">
        <v>2010</v>
      </c>
      <c r="B917" t="s">
        <v>3871</v>
      </c>
      <c r="C917" s="167">
        <v>147.84</v>
      </c>
      <c r="D917" t="s">
        <v>671</v>
      </c>
      <c r="E917" t="s">
        <v>1701</v>
      </c>
      <c r="F917" t="s">
        <v>7341</v>
      </c>
      <c r="G917" t="s">
        <v>7340</v>
      </c>
      <c r="I917" t="s">
        <v>2809</v>
      </c>
    </row>
    <row r="918" spans="1:9" x14ac:dyDescent="0.25">
      <c r="A918" t="s">
        <v>2005</v>
      </c>
      <c r="B918" t="s">
        <v>3866</v>
      </c>
      <c r="C918" s="167">
        <v>147.84</v>
      </c>
      <c r="D918" t="s">
        <v>21</v>
      </c>
      <c r="E918" t="s">
        <v>1699</v>
      </c>
      <c r="F918" t="s">
        <v>7341</v>
      </c>
      <c r="G918" t="s">
        <v>7340</v>
      </c>
      <c r="I918" t="s">
        <v>2809</v>
      </c>
    </row>
    <row r="919" spans="1:9" x14ac:dyDescent="0.25">
      <c r="A919" t="s">
        <v>2008</v>
      </c>
      <c r="B919" t="s">
        <v>3869</v>
      </c>
      <c r="C919" s="167">
        <v>147.84</v>
      </c>
      <c r="D919" t="s">
        <v>563</v>
      </c>
      <c r="E919" t="s">
        <v>1699</v>
      </c>
      <c r="F919" t="s">
        <v>7341</v>
      </c>
      <c r="G919" t="s">
        <v>7340</v>
      </c>
      <c r="I919" t="s">
        <v>2809</v>
      </c>
    </row>
    <row r="920" spans="1:9" x14ac:dyDescent="0.25">
      <c r="A920" t="s">
        <v>2011</v>
      </c>
      <c r="B920" t="s">
        <v>3872</v>
      </c>
      <c r="C920" s="167">
        <v>147.84</v>
      </c>
      <c r="D920" t="s">
        <v>671</v>
      </c>
      <c r="E920" t="s">
        <v>1699</v>
      </c>
      <c r="F920" t="s">
        <v>7341</v>
      </c>
      <c r="G920" t="s">
        <v>7340</v>
      </c>
      <c r="I920" t="s">
        <v>2809</v>
      </c>
    </row>
    <row r="921" spans="1:9" x14ac:dyDescent="0.25">
      <c r="A921" t="s">
        <v>2006</v>
      </c>
      <c r="B921" t="s">
        <v>3867</v>
      </c>
      <c r="C921" s="167">
        <v>147.84</v>
      </c>
      <c r="D921" t="s">
        <v>21</v>
      </c>
      <c r="E921" t="s">
        <v>1703</v>
      </c>
      <c r="F921" t="s">
        <v>7341</v>
      </c>
      <c r="G921" t="s">
        <v>7340</v>
      </c>
      <c r="I921" t="s">
        <v>2809</v>
      </c>
    </row>
    <row r="922" spans="1:9" x14ac:dyDescent="0.25">
      <c r="A922" t="s">
        <v>2009</v>
      </c>
      <c r="B922" t="s">
        <v>3870</v>
      </c>
      <c r="C922" s="167">
        <v>147.84</v>
      </c>
      <c r="D922" t="s">
        <v>563</v>
      </c>
      <c r="E922" t="s">
        <v>1703</v>
      </c>
      <c r="F922" t="s">
        <v>7341</v>
      </c>
      <c r="G922" t="s">
        <v>7340</v>
      </c>
      <c r="I922" t="s">
        <v>2809</v>
      </c>
    </row>
    <row r="923" spans="1:9" x14ac:dyDescent="0.25">
      <c r="A923" t="s">
        <v>2012</v>
      </c>
      <c r="B923" t="s">
        <v>3873</v>
      </c>
      <c r="C923" s="167">
        <v>147.84</v>
      </c>
      <c r="D923" t="s">
        <v>671</v>
      </c>
      <c r="E923" t="s">
        <v>1703</v>
      </c>
      <c r="F923" t="s">
        <v>7341</v>
      </c>
      <c r="G923" t="s">
        <v>7340</v>
      </c>
      <c r="I923" t="s">
        <v>2809</v>
      </c>
    </row>
    <row r="924" spans="1:9" x14ac:dyDescent="0.25">
      <c r="A924" t="s">
        <v>2013</v>
      </c>
      <c r="B924" t="s">
        <v>3874</v>
      </c>
      <c r="C924" s="167">
        <v>161.07</v>
      </c>
      <c r="D924" t="s">
        <v>21</v>
      </c>
      <c r="E924" t="s">
        <v>1701</v>
      </c>
      <c r="F924" t="s">
        <v>7344</v>
      </c>
      <c r="G924" t="s">
        <v>7340</v>
      </c>
      <c r="I924" t="s">
        <v>2809</v>
      </c>
    </row>
    <row r="925" spans="1:9" x14ac:dyDescent="0.25">
      <c r="A925" t="s">
        <v>2016</v>
      </c>
      <c r="B925" t="s">
        <v>3877</v>
      </c>
      <c r="C925" s="167">
        <v>161.07</v>
      </c>
      <c r="D925" t="s">
        <v>563</v>
      </c>
      <c r="E925" t="s">
        <v>1701</v>
      </c>
      <c r="F925" t="s">
        <v>7344</v>
      </c>
      <c r="G925" t="s">
        <v>7340</v>
      </c>
      <c r="I925" t="s">
        <v>2809</v>
      </c>
    </row>
    <row r="926" spans="1:9" x14ac:dyDescent="0.25">
      <c r="A926" t="s">
        <v>2019</v>
      </c>
      <c r="B926" t="s">
        <v>3880</v>
      </c>
      <c r="C926" s="167">
        <v>161.07</v>
      </c>
      <c r="D926" t="s">
        <v>671</v>
      </c>
      <c r="E926" t="s">
        <v>1701</v>
      </c>
      <c r="F926" t="s">
        <v>7344</v>
      </c>
      <c r="G926" t="s">
        <v>7340</v>
      </c>
      <c r="I926" t="s">
        <v>2809</v>
      </c>
    </row>
    <row r="927" spans="1:9" x14ac:dyDescent="0.25">
      <c r="A927" t="s">
        <v>2014</v>
      </c>
      <c r="B927" t="s">
        <v>3875</v>
      </c>
      <c r="C927" s="167">
        <v>161.07</v>
      </c>
      <c r="D927" t="s">
        <v>21</v>
      </c>
      <c r="E927" t="s">
        <v>1699</v>
      </c>
      <c r="F927" t="s">
        <v>7344</v>
      </c>
      <c r="G927" t="s">
        <v>7340</v>
      </c>
      <c r="I927" t="s">
        <v>2809</v>
      </c>
    </row>
    <row r="928" spans="1:9" x14ac:dyDescent="0.25">
      <c r="A928" t="s">
        <v>2017</v>
      </c>
      <c r="B928" t="s">
        <v>3878</v>
      </c>
      <c r="C928" s="167">
        <v>161.07</v>
      </c>
      <c r="D928" t="s">
        <v>563</v>
      </c>
      <c r="E928" t="s">
        <v>1699</v>
      </c>
      <c r="F928" t="s">
        <v>7344</v>
      </c>
      <c r="G928" t="s">
        <v>7340</v>
      </c>
      <c r="I928" t="s">
        <v>2809</v>
      </c>
    </row>
    <row r="929" spans="1:9" x14ac:dyDescent="0.25">
      <c r="A929" t="s">
        <v>2020</v>
      </c>
      <c r="B929" t="s">
        <v>3881</v>
      </c>
      <c r="C929" s="167">
        <v>161.07</v>
      </c>
      <c r="D929" t="s">
        <v>671</v>
      </c>
      <c r="E929" t="s">
        <v>1699</v>
      </c>
      <c r="F929" t="s">
        <v>7344</v>
      </c>
      <c r="G929" t="s">
        <v>7340</v>
      </c>
      <c r="I929" t="s">
        <v>2809</v>
      </c>
    </row>
    <row r="930" spans="1:9" x14ac:dyDescent="0.25">
      <c r="A930" t="s">
        <v>2015</v>
      </c>
      <c r="B930" t="s">
        <v>3876</v>
      </c>
      <c r="C930" s="167">
        <v>161.07</v>
      </c>
      <c r="D930" t="s">
        <v>21</v>
      </c>
      <c r="E930" t="s">
        <v>1703</v>
      </c>
      <c r="F930" t="s">
        <v>7344</v>
      </c>
      <c r="G930" t="s">
        <v>7340</v>
      </c>
      <c r="I930" t="s">
        <v>2809</v>
      </c>
    </row>
    <row r="931" spans="1:9" x14ac:dyDescent="0.25">
      <c r="A931" t="s">
        <v>2018</v>
      </c>
      <c r="B931" t="s">
        <v>3879</v>
      </c>
      <c r="C931" s="167">
        <v>161.07</v>
      </c>
      <c r="D931" t="s">
        <v>563</v>
      </c>
      <c r="E931" t="s">
        <v>1703</v>
      </c>
      <c r="F931" t="s">
        <v>7344</v>
      </c>
      <c r="G931" t="s">
        <v>7340</v>
      </c>
      <c r="I931" t="s">
        <v>2809</v>
      </c>
    </row>
    <row r="932" spans="1:9" x14ac:dyDescent="0.25">
      <c r="A932" t="s">
        <v>2021</v>
      </c>
      <c r="B932" t="s">
        <v>3882</v>
      </c>
      <c r="C932" s="167">
        <v>161.07</v>
      </c>
      <c r="D932" t="s">
        <v>671</v>
      </c>
      <c r="E932" t="s">
        <v>1703</v>
      </c>
      <c r="F932" t="s">
        <v>7344</v>
      </c>
      <c r="G932" t="s">
        <v>7340</v>
      </c>
      <c r="I932" t="s">
        <v>2809</v>
      </c>
    </row>
    <row r="933" spans="1:9" x14ac:dyDescent="0.25">
      <c r="A933" t="s">
        <v>2022</v>
      </c>
      <c r="B933" t="s">
        <v>3883</v>
      </c>
      <c r="C933" s="167">
        <v>180.89</v>
      </c>
      <c r="D933" t="s">
        <v>21</v>
      </c>
      <c r="E933" t="s">
        <v>1701</v>
      </c>
      <c r="F933" t="s">
        <v>7343</v>
      </c>
      <c r="G933" t="s">
        <v>7340</v>
      </c>
      <c r="I933" t="s">
        <v>2809</v>
      </c>
    </row>
    <row r="934" spans="1:9" x14ac:dyDescent="0.25">
      <c r="A934" t="s">
        <v>2025</v>
      </c>
      <c r="B934" t="s">
        <v>3886</v>
      </c>
      <c r="C934" s="167">
        <v>180.89</v>
      </c>
      <c r="D934" t="s">
        <v>563</v>
      </c>
      <c r="E934" t="s">
        <v>1701</v>
      </c>
      <c r="F934" t="s">
        <v>7343</v>
      </c>
      <c r="G934" t="s">
        <v>7340</v>
      </c>
      <c r="I934" t="s">
        <v>2809</v>
      </c>
    </row>
    <row r="935" spans="1:9" x14ac:dyDescent="0.25">
      <c r="A935" t="s">
        <v>2028</v>
      </c>
      <c r="B935" t="s">
        <v>3889</v>
      </c>
      <c r="C935" s="167">
        <v>180.89</v>
      </c>
      <c r="D935" t="s">
        <v>671</v>
      </c>
      <c r="E935" t="s">
        <v>1701</v>
      </c>
      <c r="F935" t="s">
        <v>7343</v>
      </c>
      <c r="G935" t="s">
        <v>7340</v>
      </c>
      <c r="I935" t="s">
        <v>2809</v>
      </c>
    </row>
    <row r="936" spans="1:9" x14ac:dyDescent="0.25">
      <c r="A936" t="s">
        <v>2023</v>
      </c>
      <c r="B936" t="s">
        <v>3884</v>
      </c>
      <c r="C936" s="167">
        <v>180.89</v>
      </c>
      <c r="D936" t="s">
        <v>21</v>
      </c>
      <c r="E936" t="s">
        <v>1699</v>
      </c>
      <c r="F936" t="s">
        <v>7343</v>
      </c>
      <c r="G936" t="s">
        <v>7340</v>
      </c>
      <c r="I936" t="s">
        <v>2809</v>
      </c>
    </row>
    <row r="937" spans="1:9" x14ac:dyDescent="0.25">
      <c r="A937" t="s">
        <v>2026</v>
      </c>
      <c r="B937" t="s">
        <v>3887</v>
      </c>
      <c r="C937" s="167">
        <v>180.89</v>
      </c>
      <c r="D937" t="s">
        <v>563</v>
      </c>
      <c r="E937" t="s">
        <v>1699</v>
      </c>
      <c r="F937" t="s">
        <v>7343</v>
      </c>
      <c r="G937" t="s">
        <v>7340</v>
      </c>
      <c r="I937" t="s">
        <v>2809</v>
      </c>
    </row>
    <row r="938" spans="1:9" x14ac:dyDescent="0.25">
      <c r="A938" t="s">
        <v>2029</v>
      </c>
      <c r="B938" t="s">
        <v>3890</v>
      </c>
      <c r="C938" s="167">
        <v>180.89</v>
      </c>
      <c r="D938" t="s">
        <v>671</v>
      </c>
      <c r="E938" t="s">
        <v>1699</v>
      </c>
      <c r="F938" t="s">
        <v>7343</v>
      </c>
      <c r="G938" t="s">
        <v>7340</v>
      </c>
      <c r="I938" t="s">
        <v>2809</v>
      </c>
    </row>
    <row r="939" spans="1:9" x14ac:dyDescent="0.25">
      <c r="A939" t="s">
        <v>2024</v>
      </c>
      <c r="B939" t="s">
        <v>3885</v>
      </c>
      <c r="C939" s="167">
        <v>180.89</v>
      </c>
      <c r="D939" t="s">
        <v>21</v>
      </c>
      <c r="E939" t="s">
        <v>1703</v>
      </c>
      <c r="F939" t="s">
        <v>7343</v>
      </c>
      <c r="G939" t="s">
        <v>7340</v>
      </c>
      <c r="I939" t="s">
        <v>2809</v>
      </c>
    </row>
    <row r="940" spans="1:9" x14ac:dyDescent="0.25">
      <c r="A940" t="s">
        <v>2027</v>
      </c>
      <c r="B940" t="s">
        <v>3888</v>
      </c>
      <c r="C940" s="167">
        <v>180.89</v>
      </c>
      <c r="D940" t="s">
        <v>563</v>
      </c>
      <c r="E940" t="s">
        <v>1703</v>
      </c>
      <c r="F940" t="s">
        <v>7343</v>
      </c>
      <c r="G940" t="s">
        <v>7340</v>
      </c>
      <c r="I940" t="s">
        <v>2809</v>
      </c>
    </row>
    <row r="941" spans="1:9" x14ac:dyDescent="0.25">
      <c r="A941" t="s">
        <v>2030</v>
      </c>
      <c r="B941" t="s">
        <v>3891</v>
      </c>
      <c r="C941" s="167">
        <v>180.89</v>
      </c>
      <c r="D941" t="s">
        <v>671</v>
      </c>
      <c r="E941" t="s">
        <v>1703</v>
      </c>
      <c r="F941" t="s">
        <v>7343</v>
      </c>
      <c r="G941" t="s">
        <v>7340</v>
      </c>
      <c r="I941" t="s">
        <v>2809</v>
      </c>
    </row>
    <row r="942" spans="1:9" x14ac:dyDescent="0.25">
      <c r="A942" t="s">
        <v>2031</v>
      </c>
      <c r="B942" t="s">
        <v>3892</v>
      </c>
      <c r="C942" s="167">
        <v>147.84</v>
      </c>
      <c r="D942" t="s">
        <v>21</v>
      </c>
      <c r="E942" t="s">
        <v>1701</v>
      </c>
      <c r="F942" t="s">
        <v>7339</v>
      </c>
      <c r="G942" t="s">
        <v>7340</v>
      </c>
      <c r="I942" t="s">
        <v>2809</v>
      </c>
    </row>
    <row r="943" spans="1:9" x14ac:dyDescent="0.25">
      <c r="A943" t="s">
        <v>2034</v>
      </c>
      <c r="B943" t="s">
        <v>3895</v>
      </c>
      <c r="C943" s="167">
        <v>147.84</v>
      </c>
      <c r="D943" t="s">
        <v>563</v>
      </c>
      <c r="E943" t="s">
        <v>1701</v>
      </c>
      <c r="F943" t="s">
        <v>7339</v>
      </c>
      <c r="G943" t="s">
        <v>7340</v>
      </c>
      <c r="I943" t="s">
        <v>2809</v>
      </c>
    </row>
    <row r="944" spans="1:9" x14ac:dyDescent="0.25">
      <c r="A944" t="s">
        <v>2037</v>
      </c>
      <c r="B944" t="s">
        <v>3898</v>
      </c>
      <c r="C944" s="167">
        <v>147.84</v>
      </c>
      <c r="D944" t="s">
        <v>671</v>
      </c>
      <c r="E944" t="s">
        <v>1701</v>
      </c>
      <c r="F944" t="s">
        <v>7339</v>
      </c>
      <c r="G944" t="s">
        <v>7340</v>
      </c>
      <c r="I944" t="s">
        <v>2809</v>
      </c>
    </row>
    <row r="945" spans="1:9" x14ac:dyDescent="0.25">
      <c r="A945" t="s">
        <v>2032</v>
      </c>
      <c r="B945" t="s">
        <v>3893</v>
      </c>
      <c r="C945" s="167">
        <v>147.84</v>
      </c>
      <c r="D945" t="s">
        <v>21</v>
      </c>
      <c r="E945" t="s">
        <v>1699</v>
      </c>
      <c r="F945" t="s">
        <v>7339</v>
      </c>
      <c r="G945" t="s">
        <v>7340</v>
      </c>
      <c r="I945" t="s">
        <v>2809</v>
      </c>
    </row>
    <row r="946" spans="1:9" x14ac:dyDescent="0.25">
      <c r="A946" t="s">
        <v>2035</v>
      </c>
      <c r="B946" t="s">
        <v>3896</v>
      </c>
      <c r="C946" s="167">
        <v>147.84</v>
      </c>
      <c r="D946" t="s">
        <v>563</v>
      </c>
      <c r="E946" t="s">
        <v>1699</v>
      </c>
      <c r="F946" t="s">
        <v>7339</v>
      </c>
      <c r="G946" t="s">
        <v>7340</v>
      </c>
      <c r="I946" t="s">
        <v>2809</v>
      </c>
    </row>
    <row r="947" spans="1:9" x14ac:dyDescent="0.25">
      <c r="A947" t="s">
        <v>2038</v>
      </c>
      <c r="B947" t="s">
        <v>3899</v>
      </c>
      <c r="C947" s="167">
        <v>147.84</v>
      </c>
      <c r="D947" t="s">
        <v>671</v>
      </c>
      <c r="E947" t="s">
        <v>1699</v>
      </c>
      <c r="F947" t="s">
        <v>7339</v>
      </c>
      <c r="G947" t="s">
        <v>7340</v>
      </c>
      <c r="I947" t="s">
        <v>2809</v>
      </c>
    </row>
    <row r="948" spans="1:9" x14ac:dyDescent="0.25">
      <c r="A948" t="s">
        <v>2033</v>
      </c>
      <c r="B948" t="s">
        <v>3894</v>
      </c>
      <c r="C948" s="167">
        <v>147.84</v>
      </c>
      <c r="D948" t="s">
        <v>21</v>
      </c>
      <c r="E948" t="s">
        <v>1703</v>
      </c>
      <c r="F948" t="s">
        <v>7339</v>
      </c>
      <c r="G948" t="s">
        <v>7340</v>
      </c>
      <c r="I948" t="s">
        <v>2809</v>
      </c>
    </row>
    <row r="949" spans="1:9" x14ac:dyDescent="0.25">
      <c r="A949" t="s">
        <v>2036</v>
      </c>
      <c r="B949" t="s">
        <v>3897</v>
      </c>
      <c r="C949" s="167">
        <v>147.84</v>
      </c>
      <c r="D949" t="s">
        <v>563</v>
      </c>
      <c r="E949" t="s">
        <v>1703</v>
      </c>
      <c r="F949" t="s">
        <v>7339</v>
      </c>
      <c r="G949" t="s">
        <v>7340</v>
      </c>
      <c r="I949" t="s">
        <v>2809</v>
      </c>
    </row>
    <row r="950" spans="1:9" x14ac:dyDescent="0.25">
      <c r="A950" t="s">
        <v>2039</v>
      </c>
      <c r="B950" t="s">
        <v>3900</v>
      </c>
      <c r="C950" s="167">
        <v>147.84</v>
      </c>
      <c r="D950" t="s">
        <v>671</v>
      </c>
      <c r="E950" t="s">
        <v>1703</v>
      </c>
      <c r="F950" t="s">
        <v>7339</v>
      </c>
      <c r="G950" t="s">
        <v>7340</v>
      </c>
      <c r="I950" t="s">
        <v>2809</v>
      </c>
    </row>
    <row r="951" spans="1:9" x14ac:dyDescent="0.25">
      <c r="A951" t="s">
        <v>2040</v>
      </c>
      <c r="B951" t="s">
        <v>3901</v>
      </c>
      <c r="C951" s="167">
        <v>167.67</v>
      </c>
      <c r="D951" t="s">
        <v>21</v>
      </c>
      <c r="E951" t="s">
        <v>1701</v>
      </c>
      <c r="F951" t="s">
        <v>7341</v>
      </c>
      <c r="G951" t="s">
        <v>7340</v>
      </c>
      <c r="I951" t="s">
        <v>2809</v>
      </c>
    </row>
    <row r="952" spans="1:9" x14ac:dyDescent="0.25">
      <c r="A952" t="s">
        <v>2043</v>
      </c>
      <c r="B952" t="s">
        <v>3904</v>
      </c>
      <c r="C952" s="167">
        <v>167.67</v>
      </c>
      <c r="D952" t="s">
        <v>563</v>
      </c>
      <c r="E952" t="s">
        <v>1701</v>
      </c>
      <c r="F952" t="s">
        <v>7341</v>
      </c>
      <c r="G952" t="s">
        <v>7340</v>
      </c>
      <c r="I952" t="s">
        <v>2809</v>
      </c>
    </row>
    <row r="953" spans="1:9" x14ac:dyDescent="0.25">
      <c r="A953" t="s">
        <v>2046</v>
      </c>
      <c r="B953" t="s">
        <v>3907</v>
      </c>
      <c r="C953" s="167">
        <v>167.67</v>
      </c>
      <c r="D953" t="s">
        <v>671</v>
      </c>
      <c r="E953" t="s">
        <v>1701</v>
      </c>
      <c r="F953" t="s">
        <v>7341</v>
      </c>
      <c r="G953" t="s">
        <v>7340</v>
      </c>
      <c r="I953" t="s">
        <v>2809</v>
      </c>
    </row>
    <row r="954" spans="1:9" x14ac:dyDescent="0.25">
      <c r="A954" t="s">
        <v>2041</v>
      </c>
      <c r="B954" t="s">
        <v>3902</v>
      </c>
      <c r="C954" s="167">
        <v>167.67</v>
      </c>
      <c r="D954" t="s">
        <v>21</v>
      </c>
      <c r="E954" t="s">
        <v>1699</v>
      </c>
      <c r="F954" t="s">
        <v>7341</v>
      </c>
      <c r="G954" t="s">
        <v>7340</v>
      </c>
      <c r="I954" t="s">
        <v>2809</v>
      </c>
    </row>
    <row r="955" spans="1:9" x14ac:dyDescent="0.25">
      <c r="A955" t="s">
        <v>2044</v>
      </c>
      <c r="B955" t="s">
        <v>3905</v>
      </c>
      <c r="C955" s="167">
        <v>167.67</v>
      </c>
      <c r="D955" t="s">
        <v>563</v>
      </c>
      <c r="E955" t="s">
        <v>1699</v>
      </c>
      <c r="F955" t="s">
        <v>7341</v>
      </c>
      <c r="G955" t="s">
        <v>7340</v>
      </c>
      <c r="I955" t="s">
        <v>2809</v>
      </c>
    </row>
    <row r="956" spans="1:9" x14ac:dyDescent="0.25">
      <c r="A956" t="s">
        <v>2047</v>
      </c>
      <c r="B956" t="s">
        <v>3908</v>
      </c>
      <c r="C956" s="167">
        <v>167.67</v>
      </c>
      <c r="D956" t="s">
        <v>671</v>
      </c>
      <c r="E956" t="s">
        <v>1699</v>
      </c>
      <c r="F956" t="s">
        <v>7341</v>
      </c>
      <c r="G956" t="s">
        <v>7340</v>
      </c>
      <c r="I956" t="s">
        <v>2809</v>
      </c>
    </row>
    <row r="957" spans="1:9" x14ac:dyDescent="0.25">
      <c r="A957" t="s">
        <v>2042</v>
      </c>
      <c r="B957" t="s">
        <v>3903</v>
      </c>
      <c r="C957" s="167">
        <v>167.67</v>
      </c>
      <c r="D957" t="s">
        <v>21</v>
      </c>
      <c r="E957" t="s">
        <v>1703</v>
      </c>
      <c r="F957" t="s">
        <v>7341</v>
      </c>
      <c r="G957" t="s">
        <v>7340</v>
      </c>
      <c r="I957" t="s">
        <v>2809</v>
      </c>
    </row>
    <row r="958" spans="1:9" x14ac:dyDescent="0.25">
      <c r="A958" t="s">
        <v>2045</v>
      </c>
      <c r="B958" t="s">
        <v>3906</v>
      </c>
      <c r="C958" s="167">
        <v>167.67</v>
      </c>
      <c r="D958" t="s">
        <v>563</v>
      </c>
      <c r="E958" t="s">
        <v>1703</v>
      </c>
      <c r="F958" t="s">
        <v>7341</v>
      </c>
      <c r="G958" t="s">
        <v>7340</v>
      </c>
      <c r="I958" t="s">
        <v>2809</v>
      </c>
    </row>
    <row r="959" spans="1:9" x14ac:dyDescent="0.25">
      <c r="A959" t="s">
        <v>2048</v>
      </c>
      <c r="B959" t="s">
        <v>3909</v>
      </c>
      <c r="C959" s="167">
        <v>167.67</v>
      </c>
      <c r="D959" t="s">
        <v>671</v>
      </c>
      <c r="E959" t="s">
        <v>1703</v>
      </c>
      <c r="F959" t="s">
        <v>7341</v>
      </c>
      <c r="G959" t="s">
        <v>7340</v>
      </c>
      <c r="I959" t="s">
        <v>2809</v>
      </c>
    </row>
    <row r="960" spans="1:9" x14ac:dyDescent="0.25">
      <c r="A960" t="s">
        <v>2049</v>
      </c>
      <c r="B960" t="s">
        <v>3910</v>
      </c>
      <c r="C960" s="167">
        <v>187.5</v>
      </c>
      <c r="D960" t="s">
        <v>21</v>
      </c>
      <c r="E960" t="s">
        <v>1701</v>
      </c>
      <c r="F960" t="s">
        <v>7344</v>
      </c>
      <c r="G960" t="s">
        <v>7340</v>
      </c>
      <c r="I960" t="s">
        <v>2809</v>
      </c>
    </row>
    <row r="961" spans="1:9" x14ac:dyDescent="0.25">
      <c r="A961" t="s">
        <v>2052</v>
      </c>
      <c r="B961" t="s">
        <v>3913</v>
      </c>
      <c r="C961" s="167">
        <v>187.5</v>
      </c>
      <c r="D961" t="s">
        <v>563</v>
      </c>
      <c r="E961" t="s">
        <v>1701</v>
      </c>
      <c r="F961" t="s">
        <v>7344</v>
      </c>
      <c r="G961" t="s">
        <v>7340</v>
      </c>
      <c r="I961" t="s">
        <v>2809</v>
      </c>
    </row>
    <row r="962" spans="1:9" x14ac:dyDescent="0.25">
      <c r="A962" t="s">
        <v>2055</v>
      </c>
      <c r="B962" t="s">
        <v>3916</v>
      </c>
      <c r="C962" s="167">
        <v>187.5</v>
      </c>
      <c r="D962" t="s">
        <v>671</v>
      </c>
      <c r="E962" t="s">
        <v>1701</v>
      </c>
      <c r="F962" t="s">
        <v>7344</v>
      </c>
      <c r="G962" t="s">
        <v>7340</v>
      </c>
      <c r="I962" t="s">
        <v>2809</v>
      </c>
    </row>
    <row r="963" spans="1:9" x14ac:dyDescent="0.25">
      <c r="A963" t="s">
        <v>2050</v>
      </c>
      <c r="B963" t="s">
        <v>3911</v>
      </c>
      <c r="C963" s="167">
        <v>187.5</v>
      </c>
      <c r="D963" t="s">
        <v>21</v>
      </c>
      <c r="E963" t="s">
        <v>1699</v>
      </c>
      <c r="F963" t="s">
        <v>7344</v>
      </c>
      <c r="G963" t="s">
        <v>7340</v>
      </c>
      <c r="I963" t="s">
        <v>2809</v>
      </c>
    </row>
    <row r="964" spans="1:9" x14ac:dyDescent="0.25">
      <c r="A964" t="s">
        <v>2053</v>
      </c>
      <c r="B964" t="s">
        <v>3914</v>
      </c>
      <c r="C964" s="167">
        <v>187.5</v>
      </c>
      <c r="D964" t="s">
        <v>563</v>
      </c>
      <c r="E964" t="s">
        <v>1699</v>
      </c>
      <c r="F964" t="s">
        <v>7344</v>
      </c>
      <c r="G964" t="s">
        <v>7340</v>
      </c>
      <c r="I964" t="s">
        <v>2809</v>
      </c>
    </row>
    <row r="965" spans="1:9" x14ac:dyDescent="0.25">
      <c r="A965" t="s">
        <v>2056</v>
      </c>
      <c r="B965" t="s">
        <v>3917</v>
      </c>
      <c r="C965" s="167">
        <v>187.5</v>
      </c>
      <c r="D965" t="s">
        <v>671</v>
      </c>
      <c r="E965" t="s">
        <v>1699</v>
      </c>
      <c r="F965" t="s">
        <v>7344</v>
      </c>
      <c r="G965" t="s">
        <v>7340</v>
      </c>
      <c r="I965" t="s">
        <v>2809</v>
      </c>
    </row>
    <row r="966" spans="1:9" x14ac:dyDescent="0.25">
      <c r="A966" t="s">
        <v>2051</v>
      </c>
      <c r="B966" t="s">
        <v>3912</v>
      </c>
      <c r="C966" s="167">
        <v>187.5</v>
      </c>
      <c r="D966" t="s">
        <v>21</v>
      </c>
      <c r="E966" t="s">
        <v>1703</v>
      </c>
      <c r="F966" t="s">
        <v>7344</v>
      </c>
      <c r="G966" t="s">
        <v>7340</v>
      </c>
      <c r="I966" t="s">
        <v>2809</v>
      </c>
    </row>
    <row r="967" spans="1:9" x14ac:dyDescent="0.25">
      <c r="A967" t="s">
        <v>2054</v>
      </c>
      <c r="B967" t="s">
        <v>3915</v>
      </c>
      <c r="C967" s="167">
        <v>187.5</v>
      </c>
      <c r="D967" t="s">
        <v>563</v>
      </c>
      <c r="E967" t="s">
        <v>1703</v>
      </c>
      <c r="F967" t="s">
        <v>7344</v>
      </c>
      <c r="G967" t="s">
        <v>7340</v>
      </c>
      <c r="I967" t="s">
        <v>2809</v>
      </c>
    </row>
    <row r="968" spans="1:9" x14ac:dyDescent="0.25">
      <c r="A968" t="s">
        <v>2057</v>
      </c>
      <c r="B968" t="s">
        <v>3918</v>
      </c>
      <c r="C968" s="167">
        <v>187.5</v>
      </c>
      <c r="D968" t="s">
        <v>671</v>
      </c>
      <c r="E968" t="s">
        <v>1703</v>
      </c>
      <c r="F968" t="s">
        <v>7344</v>
      </c>
      <c r="G968" t="s">
        <v>7340</v>
      </c>
      <c r="I968" t="s">
        <v>2809</v>
      </c>
    </row>
    <row r="969" spans="1:9" x14ac:dyDescent="0.25">
      <c r="A969" t="s">
        <v>2058</v>
      </c>
      <c r="B969" t="s">
        <v>3919</v>
      </c>
      <c r="C969" s="167">
        <v>207.33</v>
      </c>
      <c r="D969" t="s">
        <v>21</v>
      </c>
      <c r="E969" t="s">
        <v>1701</v>
      </c>
      <c r="F969" t="s">
        <v>7343</v>
      </c>
      <c r="G969" t="s">
        <v>7340</v>
      </c>
      <c r="I969" t="s">
        <v>2809</v>
      </c>
    </row>
    <row r="970" spans="1:9" x14ac:dyDescent="0.25">
      <c r="A970" t="s">
        <v>2061</v>
      </c>
      <c r="B970" t="s">
        <v>3922</v>
      </c>
      <c r="C970" s="167">
        <v>207.33</v>
      </c>
      <c r="D970" t="s">
        <v>563</v>
      </c>
      <c r="E970" t="s">
        <v>1701</v>
      </c>
      <c r="F970" t="s">
        <v>7343</v>
      </c>
      <c r="G970" t="s">
        <v>7340</v>
      </c>
      <c r="I970" t="s">
        <v>2809</v>
      </c>
    </row>
    <row r="971" spans="1:9" x14ac:dyDescent="0.25">
      <c r="A971" t="s">
        <v>2064</v>
      </c>
      <c r="B971" t="s">
        <v>3925</v>
      </c>
      <c r="C971" s="167">
        <v>207.33</v>
      </c>
      <c r="D971" t="s">
        <v>671</v>
      </c>
      <c r="E971" t="s">
        <v>1701</v>
      </c>
      <c r="F971" t="s">
        <v>7343</v>
      </c>
      <c r="G971" t="s">
        <v>7340</v>
      </c>
      <c r="I971" t="s">
        <v>2809</v>
      </c>
    </row>
    <row r="972" spans="1:9" x14ac:dyDescent="0.25">
      <c r="A972" t="s">
        <v>2059</v>
      </c>
      <c r="B972" t="s">
        <v>3920</v>
      </c>
      <c r="C972" s="167">
        <v>207.33</v>
      </c>
      <c r="D972" t="s">
        <v>21</v>
      </c>
      <c r="E972" t="s">
        <v>1699</v>
      </c>
      <c r="F972" t="s">
        <v>7343</v>
      </c>
      <c r="G972" t="s">
        <v>7340</v>
      </c>
      <c r="I972" t="s">
        <v>2809</v>
      </c>
    </row>
    <row r="973" spans="1:9" x14ac:dyDescent="0.25">
      <c r="A973" t="s">
        <v>2062</v>
      </c>
      <c r="B973" t="s">
        <v>3923</v>
      </c>
      <c r="C973" s="167">
        <v>207.33</v>
      </c>
      <c r="D973" t="s">
        <v>563</v>
      </c>
      <c r="E973" t="s">
        <v>1699</v>
      </c>
      <c r="F973" t="s">
        <v>7343</v>
      </c>
      <c r="G973" t="s">
        <v>7340</v>
      </c>
      <c r="I973" t="s">
        <v>2809</v>
      </c>
    </row>
    <row r="974" spans="1:9" x14ac:dyDescent="0.25">
      <c r="A974" t="s">
        <v>2065</v>
      </c>
      <c r="B974" t="s">
        <v>3926</v>
      </c>
      <c r="C974" s="167">
        <v>207.33</v>
      </c>
      <c r="D974" t="s">
        <v>671</v>
      </c>
      <c r="E974" t="s">
        <v>1699</v>
      </c>
      <c r="F974" t="s">
        <v>7343</v>
      </c>
      <c r="G974" t="s">
        <v>7340</v>
      </c>
      <c r="I974" t="s">
        <v>2809</v>
      </c>
    </row>
    <row r="975" spans="1:9" x14ac:dyDescent="0.25">
      <c r="A975" t="s">
        <v>2060</v>
      </c>
      <c r="B975" t="s">
        <v>3921</v>
      </c>
      <c r="C975" s="167">
        <v>207.33</v>
      </c>
      <c r="D975" t="s">
        <v>21</v>
      </c>
      <c r="E975" t="s">
        <v>1703</v>
      </c>
      <c r="F975" t="s">
        <v>7343</v>
      </c>
      <c r="G975" t="s">
        <v>7340</v>
      </c>
      <c r="I975" t="s">
        <v>2809</v>
      </c>
    </row>
    <row r="976" spans="1:9" x14ac:dyDescent="0.25">
      <c r="A976" t="s">
        <v>2063</v>
      </c>
      <c r="B976" t="s">
        <v>3924</v>
      </c>
      <c r="C976" s="167">
        <v>207.33</v>
      </c>
      <c r="D976" t="s">
        <v>563</v>
      </c>
      <c r="E976" t="s">
        <v>1703</v>
      </c>
      <c r="F976" t="s">
        <v>7343</v>
      </c>
      <c r="G976" t="s">
        <v>7340</v>
      </c>
      <c r="I976" t="s">
        <v>2809</v>
      </c>
    </row>
    <row r="977" spans="1:9" x14ac:dyDescent="0.25">
      <c r="A977" t="s">
        <v>2066</v>
      </c>
      <c r="B977" t="s">
        <v>3927</v>
      </c>
      <c r="C977" s="167">
        <v>207.33</v>
      </c>
      <c r="D977" t="s">
        <v>671</v>
      </c>
      <c r="E977" t="s">
        <v>1703</v>
      </c>
      <c r="F977" t="s">
        <v>7343</v>
      </c>
      <c r="G977" t="s">
        <v>7340</v>
      </c>
      <c r="I977" t="s">
        <v>2809</v>
      </c>
    </row>
    <row r="978" spans="1:9" x14ac:dyDescent="0.25">
      <c r="A978" t="s">
        <v>969</v>
      </c>
      <c r="B978" t="s">
        <v>3082</v>
      </c>
      <c r="C978" s="167">
        <v>145.44</v>
      </c>
      <c r="D978" t="s">
        <v>21</v>
      </c>
      <c r="E978" t="s">
        <v>1701</v>
      </c>
      <c r="F978" t="s">
        <v>7339</v>
      </c>
      <c r="G978" t="s">
        <v>7340</v>
      </c>
      <c r="I978" t="s">
        <v>2809</v>
      </c>
    </row>
    <row r="979" spans="1:9" x14ac:dyDescent="0.25">
      <c r="A979" t="s">
        <v>972</v>
      </c>
      <c r="B979" t="s">
        <v>3085</v>
      </c>
      <c r="C979" s="167">
        <v>145.44</v>
      </c>
      <c r="D979" t="s">
        <v>563</v>
      </c>
      <c r="E979" t="s">
        <v>1701</v>
      </c>
      <c r="F979" t="s">
        <v>7339</v>
      </c>
      <c r="G979" t="s">
        <v>7340</v>
      </c>
      <c r="I979" t="s">
        <v>2809</v>
      </c>
    </row>
    <row r="980" spans="1:9" x14ac:dyDescent="0.25">
      <c r="A980" t="s">
        <v>975</v>
      </c>
      <c r="B980" t="s">
        <v>3088</v>
      </c>
      <c r="C980" s="167">
        <v>145.44</v>
      </c>
      <c r="D980" t="s">
        <v>671</v>
      </c>
      <c r="E980" t="s">
        <v>1701</v>
      </c>
      <c r="F980" t="s">
        <v>7339</v>
      </c>
      <c r="G980" t="s">
        <v>7340</v>
      </c>
      <c r="I980" t="s">
        <v>2809</v>
      </c>
    </row>
    <row r="981" spans="1:9" x14ac:dyDescent="0.25">
      <c r="A981" t="s">
        <v>970</v>
      </c>
      <c r="B981" t="s">
        <v>3083</v>
      </c>
      <c r="C981" s="167">
        <v>145.44</v>
      </c>
      <c r="D981" t="s">
        <v>21</v>
      </c>
      <c r="E981" t="s">
        <v>1699</v>
      </c>
      <c r="F981" t="s">
        <v>7339</v>
      </c>
      <c r="G981" t="s">
        <v>7340</v>
      </c>
      <c r="I981" t="s">
        <v>2809</v>
      </c>
    </row>
    <row r="982" spans="1:9" x14ac:dyDescent="0.25">
      <c r="A982" t="s">
        <v>973</v>
      </c>
      <c r="B982" t="s">
        <v>3086</v>
      </c>
      <c r="C982" s="167">
        <v>145.44</v>
      </c>
      <c r="D982" t="s">
        <v>563</v>
      </c>
      <c r="E982" t="s">
        <v>1699</v>
      </c>
      <c r="F982" t="s">
        <v>7339</v>
      </c>
      <c r="G982" t="s">
        <v>7340</v>
      </c>
      <c r="I982" t="s">
        <v>2809</v>
      </c>
    </row>
    <row r="983" spans="1:9" x14ac:dyDescent="0.25">
      <c r="A983" t="s">
        <v>976</v>
      </c>
      <c r="B983" t="s">
        <v>3089</v>
      </c>
      <c r="C983" s="167">
        <v>145.44</v>
      </c>
      <c r="D983" t="s">
        <v>671</v>
      </c>
      <c r="E983" t="s">
        <v>1699</v>
      </c>
      <c r="F983" t="s">
        <v>7339</v>
      </c>
      <c r="G983" t="s">
        <v>7340</v>
      </c>
      <c r="I983" t="s">
        <v>2809</v>
      </c>
    </row>
    <row r="984" spans="1:9" x14ac:dyDescent="0.25">
      <c r="A984" t="s">
        <v>971</v>
      </c>
      <c r="B984" t="s">
        <v>3084</v>
      </c>
      <c r="C984" s="167">
        <v>145.44</v>
      </c>
      <c r="D984" t="s">
        <v>21</v>
      </c>
      <c r="E984" t="s">
        <v>1703</v>
      </c>
      <c r="F984" t="s">
        <v>7339</v>
      </c>
      <c r="G984" t="s">
        <v>7340</v>
      </c>
      <c r="I984" t="s">
        <v>2809</v>
      </c>
    </row>
    <row r="985" spans="1:9" x14ac:dyDescent="0.25">
      <c r="A985" t="s">
        <v>974</v>
      </c>
      <c r="B985" t="s">
        <v>3087</v>
      </c>
      <c r="C985" s="167">
        <v>145.44</v>
      </c>
      <c r="D985" t="s">
        <v>563</v>
      </c>
      <c r="E985" t="s">
        <v>1703</v>
      </c>
      <c r="F985" t="s">
        <v>7339</v>
      </c>
      <c r="G985" t="s">
        <v>7340</v>
      </c>
      <c r="I985" t="s">
        <v>2809</v>
      </c>
    </row>
    <row r="986" spans="1:9" x14ac:dyDescent="0.25">
      <c r="A986" t="s">
        <v>977</v>
      </c>
      <c r="B986" t="s">
        <v>3090</v>
      </c>
      <c r="C986" s="167">
        <v>145.44</v>
      </c>
      <c r="D986" t="s">
        <v>671</v>
      </c>
      <c r="E986" t="s">
        <v>1703</v>
      </c>
      <c r="F986" t="s">
        <v>7339</v>
      </c>
      <c r="G986" t="s">
        <v>7340</v>
      </c>
      <c r="I986" t="s">
        <v>2809</v>
      </c>
    </row>
    <row r="987" spans="1:9" x14ac:dyDescent="0.25">
      <c r="A987" t="s">
        <v>978</v>
      </c>
      <c r="B987" t="s">
        <v>3091</v>
      </c>
      <c r="C987" s="167">
        <v>185.1</v>
      </c>
      <c r="D987" t="s">
        <v>21</v>
      </c>
      <c r="E987" t="s">
        <v>1701</v>
      </c>
      <c r="F987" t="s">
        <v>7341</v>
      </c>
      <c r="G987" t="s">
        <v>7340</v>
      </c>
      <c r="I987" t="s">
        <v>2809</v>
      </c>
    </row>
    <row r="988" spans="1:9" x14ac:dyDescent="0.25">
      <c r="A988" t="s">
        <v>981</v>
      </c>
      <c r="B988" t="s">
        <v>3094</v>
      </c>
      <c r="C988" s="167">
        <v>185.1</v>
      </c>
      <c r="D988" t="s">
        <v>563</v>
      </c>
      <c r="E988" t="s">
        <v>1701</v>
      </c>
      <c r="F988" t="s">
        <v>7341</v>
      </c>
      <c r="G988" t="s">
        <v>7340</v>
      </c>
      <c r="I988" t="s">
        <v>2809</v>
      </c>
    </row>
    <row r="989" spans="1:9" x14ac:dyDescent="0.25">
      <c r="A989" t="s">
        <v>984</v>
      </c>
      <c r="B989" t="s">
        <v>3097</v>
      </c>
      <c r="C989" s="167">
        <v>185.1</v>
      </c>
      <c r="D989" t="s">
        <v>671</v>
      </c>
      <c r="E989" t="s">
        <v>1701</v>
      </c>
      <c r="F989" t="s">
        <v>7341</v>
      </c>
      <c r="G989" t="s">
        <v>7340</v>
      </c>
      <c r="I989" t="s">
        <v>2809</v>
      </c>
    </row>
    <row r="990" spans="1:9" x14ac:dyDescent="0.25">
      <c r="A990" t="s">
        <v>979</v>
      </c>
      <c r="B990" t="s">
        <v>3092</v>
      </c>
      <c r="C990" s="167">
        <v>185.1</v>
      </c>
      <c r="D990" t="s">
        <v>21</v>
      </c>
      <c r="E990" t="s">
        <v>1699</v>
      </c>
      <c r="F990" t="s">
        <v>7341</v>
      </c>
      <c r="G990" t="s">
        <v>7340</v>
      </c>
      <c r="I990" t="s">
        <v>2809</v>
      </c>
    </row>
    <row r="991" spans="1:9" x14ac:dyDescent="0.25">
      <c r="A991" t="s">
        <v>982</v>
      </c>
      <c r="B991" t="s">
        <v>3095</v>
      </c>
      <c r="C991" s="167">
        <v>185.1</v>
      </c>
      <c r="D991" t="s">
        <v>563</v>
      </c>
      <c r="E991" t="s">
        <v>1699</v>
      </c>
      <c r="F991" t="s">
        <v>7341</v>
      </c>
      <c r="G991" t="s">
        <v>7340</v>
      </c>
      <c r="I991" t="s">
        <v>2809</v>
      </c>
    </row>
    <row r="992" spans="1:9" x14ac:dyDescent="0.25">
      <c r="A992" t="s">
        <v>985</v>
      </c>
      <c r="B992" t="s">
        <v>3098</v>
      </c>
      <c r="C992" s="167">
        <v>185.1</v>
      </c>
      <c r="D992" t="s">
        <v>671</v>
      </c>
      <c r="E992" t="s">
        <v>1699</v>
      </c>
      <c r="F992" t="s">
        <v>7341</v>
      </c>
      <c r="G992" t="s">
        <v>7340</v>
      </c>
      <c r="I992" t="s">
        <v>2809</v>
      </c>
    </row>
    <row r="993" spans="1:9" x14ac:dyDescent="0.25">
      <c r="A993" t="s">
        <v>980</v>
      </c>
      <c r="B993" t="s">
        <v>3093</v>
      </c>
      <c r="C993" s="167">
        <v>185.1</v>
      </c>
      <c r="D993" t="s">
        <v>21</v>
      </c>
      <c r="E993" t="s">
        <v>1703</v>
      </c>
      <c r="F993" t="s">
        <v>7341</v>
      </c>
      <c r="G993" t="s">
        <v>7340</v>
      </c>
      <c r="I993" t="s">
        <v>2809</v>
      </c>
    </row>
    <row r="994" spans="1:9" x14ac:dyDescent="0.25">
      <c r="A994" t="s">
        <v>983</v>
      </c>
      <c r="B994" t="s">
        <v>3096</v>
      </c>
      <c r="C994" s="167">
        <v>185.1</v>
      </c>
      <c r="D994" t="s">
        <v>563</v>
      </c>
      <c r="E994" t="s">
        <v>1703</v>
      </c>
      <c r="F994" t="s">
        <v>7341</v>
      </c>
      <c r="G994" t="s">
        <v>7340</v>
      </c>
      <c r="I994" t="s">
        <v>2809</v>
      </c>
    </row>
    <row r="995" spans="1:9" x14ac:dyDescent="0.25">
      <c r="A995" t="s">
        <v>986</v>
      </c>
      <c r="B995" t="s">
        <v>3099</v>
      </c>
      <c r="C995" s="167">
        <v>185.1</v>
      </c>
      <c r="D995" t="s">
        <v>671</v>
      </c>
      <c r="E995" t="s">
        <v>1703</v>
      </c>
      <c r="F995" t="s">
        <v>7341</v>
      </c>
      <c r="G995" t="s">
        <v>7340</v>
      </c>
      <c r="I995" t="s">
        <v>2809</v>
      </c>
    </row>
    <row r="996" spans="1:9" x14ac:dyDescent="0.25">
      <c r="A996" t="s">
        <v>987</v>
      </c>
      <c r="B996" t="s">
        <v>3100</v>
      </c>
      <c r="C996" s="167">
        <v>218.15</v>
      </c>
      <c r="D996" t="s">
        <v>21</v>
      </c>
      <c r="E996" t="s">
        <v>1701</v>
      </c>
      <c r="F996" t="s">
        <v>7344</v>
      </c>
      <c r="G996" t="s">
        <v>7340</v>
      </c>
      <c r="I996" t="s">
        <v>2809</v>
      </c>
    </row>
    <row r="997" spans="1:9" x14ac:dyDescent="0.25">
      <c r="A997" t="s">
        <v>990</v>
      </c>
      <c r="B997" t="s">
        <v>3103</v>
      </c>
      <c r="C997" s="167">
        <v>218.15</v>
      </c>
      <c r="D997" t="s">
        <v>563</v>
      </c>
      <c r="E997" t="s">
        <v>1701</v>
      </c>
      <c r="F997" t="s">
        <v>7344</v>
      </c>
      <c r="G997" t="s">
        <v>7340</v>
      </c>
      <c r="I997" t="s">
        <v>2809</v>
      </c>
    </row>
    <row r="998" spans="1:9" x14ac:dyDescent="0.25">
      <c r="A998" t="s">
        <v>993</v>
      </c>
      <c r="B998" t="s">
        <v>3106</v>
      </c>
      <c r="C998" s="167">
        <v>218.15</v>
      </c>
      <c r="D998" t="s">
        <v>671</v>
      </c>
      <c r="E998" t="s">
        <v>1701</v>
      </c>
      <c r="F998" t="s">
        <v>7344</v>
      </c>
      <c r="G998" t="s">
        <v>7340</v>
      </c>
      <c r="I998" t="s">
        <v>2809</v>
      </c>
    </row>
    <row r="999" spans="1:9" x14ac:dyDescent="0.25">
      <c r="A999" t="s">
        <v>988</v>
      </c>
      <c r="B999" t="s">
        <v>3101</v>
      </c>
      <c r="C999" s="167">
        <v>218.15</v>
      </c>
      <c r="D999" t="s">
        <v>21</v>
      </c>
      <c r="E999" t="s">
        <v>1699</v>
      </c>
      <c r="F999" t="s">
        <v>7344</v>
      </c>
      <c r="G999" t="s">
        <v>7340</v>
      </c>
      <c r="I999" t="s">
        <v>2809</v>
      </c>
    </row>
    <row r="1000" spans="1:9" x14ac:dyDescent="0.25">
      <c r="A1000" t="s">
        <v>991</v>
      </c>
      <c r="B1000" t="s">
        <v>3104</v>
      </c>
      <c r="C1000" s="167">
        <v>218.15</v>
      </c>
      <c r="D1000" t="s">
        <v>563</v>
      </c>
      <c r="E1000" t="s">
        <v>1699</v>
      </c>
      <c r="F1000" t="s">
        <v>7344</v>
      </c>
      <c r="G1000" t="s">
        <v>7340</v>
      </c>
      <c r="I1000" t="s">
        <v>2809</v>
      </c>
    </row>
    <row r="1001" spans="1:9" x14ac:dyDescent="0.25">
      <c r="A1001" t="s">
        <v>994</v>
      </c>
      <c r="B1001" t="s">
        <v>3107</v>
      </c>
      <c r="C1001" s="167">
        <v>218.15</v>
      </c>
      <c r="D1001" t="s">
        <v>671</v>
      </c>
      <c r="E1001" t="s">
        <v>1699</v>
      </c>
      <c r="F1001" t="s">
        <v>7344</v>
      </c>
      <c r="G1001" t="s">
        <v>7340</v>
      </c>
      <c r="I1001" t="s">
        <v>2809</v>
      </c>
    </row>
    <row r="1002" spans="1:9" x14ac:dyDescent="0.25">
      <c r="A1002" t="s">
        <v>989</v>
      </c>
      <c r="B1002" t="s">
        <v>3102</v>
      </c>
      <c r="C1002" s="167">
        <v>218.15</v>
      </c>
      <c r="D1002" t="s">
        <v>21</v>
      </c>
      <c r="E1002" t="s">
        <v>1703</v>
      </c>
      <c r="F1002" t="s">
        <v>7344</v>
      </c>
      <c r="G1002" t="s">
        <v>7340</v>
      </c>
      <c r="I1002" t="s">
        <v>2809</v>
      </c>
    </row>
    <row r="1003" spans="1:9" x14ac:dyDescent="0.25">
      <c r="A1003" t="s">
        <v>992</v>
      </c>
      <c r="B1003" t="s">
        <v>3105</v>
      </c>
      <c r="C1003" s="167">
        <v>218.15</v>
      </c>
      <c r="D1003" t="s">
        <v>563</v>
      </c>
      <c r="E1003" t="s">
        <v>1703</v>
      </c>
      <c r="F1003" t="s">
        <v>7344</v>
      </c>
      <c r="G1003" t="s">
        <v>7340</v>
      </c>
      <c r="I1003" t="s">
        <v>2809</v>
      </c>
    </row>
    <row r="1004" spans="1:9" x14ac:dyDescent="0.25">
      <c r="A1004" t="s">
        <v>995</v>
      </c>
      <c r="B1004" t="s">
        <v>3108</v>
      </c>
      <c r="C1004" s="167">
        <v>218.15</v>
      </c>
      <c r="D1004" t="s">
        <v>671</v>
      </c>
      <c r="E1004" t="s">
        <v>1703</v>
      </c>
      <c r="F1004" t="s">
        <v>7344</v>
      </c>
      <c r="G1004" t="s">
        <v>7340</v>
      </c>
      <c r="I1004" t="s">
        <v>2809</v>
      </c>
    </row>
    <row r="1005" spans="1:9" x14ac:dyDescent="0.25">
      <c r="A1005" t="s">
        <v>996</v>
      </c>
      <c r="B1005" t="s">
        <v>3109</v>
      </c>
      <c r="C1005" s="167">
        <v>257.83</v>
      </c>
      <c r="D1005" t="s">
        <v>21</v>
      </c>
      <c r="E1005" t="s">
        <v>1701</v>
      </c>
      <c r="F1005" t="s">
        <v>7343</v>
      </c>
      <c r="G1005" t="s">
        <v>7340</v>
      </c>
      <c r="I1005" t="s">
        <v>2809</v>
      </c>
    </row>
    <row r="1006" spans="1:9" x14ac:dyDescent="0.25">
      <c r="A1006" t="s">
        <v>999</v>
      </c>
      <c r="B1006" t="s">
        <v>3112</v>
      </c>
      <c r="C1006" s="167">
        <v>257.83</v>
      </c>
      <c r="D1006" t="s">
        <v>563</v>
      </c>
      <c r="E1006" t="s">
        <v>1701</v>
      </c>
      <c r="F1006" t="s">
        <v>7343</v>
      </c>
      <c r="G1006" t="s">
        <v>7340</v>
      </c>
      <c r="I1006" t="s">
        <v>2809</v>
      </c>
    </row>
    <row r="1007" spans="1:9" x14ac:dyDescent="0.25">
      <c r="A1007" t="s">
        <v>1002</v>
      </c>
      <c r="B1007" t="s">
        <v>3115</v>
      </c>
      <c r="C1007" s="167">
        <v>257.83</v>
      </c>
      <c r="D1007" t="s">
        <v>671</v>
      </c>
      <c r="E1007" t="s">
        <v>1701</v>
      </c>
      <c r="F1007" t="s">
        <v>7343</v>
      </c>
      <c r="G1007" t="s">
        <v>7340</v>
      </c>
      <c r="I1007" t="s">
        <v>2809</v>
      </c>
    </row>
    <row r="1008" spans="1:9" x14ac:dyDescent="0.25">
      <c r="A1008" t="s">
        <v>997</v>
      </c>
      <c r="B1008" t="s">
        <v>3110</v>
      </c>
      <c r="C1008" s="167">
        <v>257.83</v>
      </c>
      <c r="D1008" t="s">
        <v>21</v>
      </c>
      <c r="E1008" t="s">
        <v>1699</v>
      </c>
      <c r="F1008" t="s">
        <v>7343</v>
      </c>
      <c r="G1008" t="s">
        <v>7340</v>
      </c>
      <c r="I1008" t="s">
        <v>2809</v>
      </c>
    </row>
    <row r="1009" spans="1:9" x14ac:dyDescent="0.25">
      <c r="A1009" t="s">
        <v>1000</v>
      </c>
      <c r="B1009" t="s">
        <v>3113</v>
      </c>
      <c r="C1009" s="167">
        <v>257.83</v>
      </c>
      <c r="D1009" t="s">
        <v>563</v>
      </c>
      <c r="E1009" t="s">
        <v>1699</v>
      </c>
      <c r="F1009" t="s">
        <v>7343</v>
      </c>
      <c r="G1009" t="s">
        <v>7340</v>
      </c>
      <c r="I1009" t="s">
        <v>2809</v>
      </c>
    </row>
    <row r="1010" spans="1:9" x14ac:dyDescent="0.25">
      <c r="A1010" t="s">
        <v>1003</v>
      </c>
      <c r="B1010" t="s">
        <v>3116</v>
      </c>
      <c r="C1010" s="167">
        <v>257.83</v>
      </c>
      <c r="D1010" t="s">
        <v>671</v>
      </c>
      <c r="E1010" t="s">
        <v>1699</v>
      </c>
      <c r="F1010" t="s">
        <v>7343</v>
      </c>
      <c r="G1010" t="s">
        <v>7340</v>
      </c>
      <c r="I1010" t="s">
        <v>2809</v>
      </c>
    </row>
    <row r="1011" spans="1:9" x14ac:dyDescent="0.25">
      <c r="A1011" t="s">
        <v>998</v>
      </c>
      <c r="B1011" t="s">
        <v>3111</v>
      </c>
      <c r="C1011" s="167">
        <v>257.83</v>
      </c>
      <c r="D1011" t="s">
        <v>21</v>
      </c>
      <c r="E1011" t="s">
        <v>1703</v>
      </c>
      <c r="F1011" t="s">
        <v>7343</v>
      </c>
      <c r="G1011" t="s">
        <v>7340</v>
      </c>
      <c r="I1011" t="s">
        <v>2809</v>
      </c>
    </row>
    <row r="1012" spans="1:9" x14ac:dyDescent="0.25">
      <c r="A1012" t="s">
        <v>1001</v>
      </c>
      <c r="B1012" t="s">
        <v>3114</v>
      </c>
      <c r="C1012" s="167">
        <v>257.83</v>
      </c>
      <c r="D1012" t="s">
        <v>563</v>
      </c>
      <c r="E1012" t="s">
        <v>1703</v>
      </c>
      <c r="F1012" t="s">
        <v>7343</v>
      </c>
      <c r="G1012" t="s">
        <v>7340</v>
      </c>
      <c r="I1012" t="s">
        <v>2809</v>
      </c>
    </row>
    <row r="1013" spans="1:9" x14ac:dyDescent="0.25">
      <c r="A1013" t="s">
        <v>1004</v>
      </c>
      <c r="B1013" t="s">
        <v>3117</v>
      </c>
      <c r="C1013" s="167">
        <v>257.83</v>
      </c>
      <c r="D1013" t="s">
        <v>671</v>
      </c>
      <c r="E1013" t="s">
        <v>1703</v>
      </c>
      <c r="F1013" t="s">
        <v>7343</v>
      </c>
      <c r="G1013" t="s">
        <v>7340</v>
      </c>
      <c r="I1013" t="s">
        <v>2809</v>
      </c>
    </row>
    <row r="1014" spans="1:9" x14ac:dyDescent="0.25">
      <c r="A1014" t="s">
        <v>1005</v>
      </c>
      <c r="B1014" t="s">
        <v>3118</v>
      </c>
      <c r="C1014" s="167">
        <v>185.1</v>
      </c>
      <c r="D1014" t="s">
        <v>21</v>
      </c>
      <c r="E1014" t="s">
        <v>1701</v>
      </c>
      <c r="F1014" t="s">
        <v>7339</v>
      </c>
      <c r="G1014" t="s">
        <v>7340</v>
      </c>
      <c r="I1014" t="s">
        <v>2809</v>
      </c>
    </row>
    <row r="1015" spans="1:9" x14ac:dyDescent="0.25">
      <c r="A1015" t="s">
        <v>1008</v>
      </c>
      <c r="B1015" t="s">
        <v>3121</v>
      </c>
      <c r="C1015" s="167">
        <v>185.1</v>
      </c>
      <c r="D1015" t="s">
        <v>563</v>
      </c>
      <c r="E1015" t="s">
        <v>1701</v>
      </c>
      <c r="F1015" t="s">
        <v>7339</v>
      </c>
      <c r="G1015" t="s">
        <v>7340</v>
      </c>
      <c r="I1015" t="s">
        <v>2809</v>
      </c>
    </row>
    <row r="1016" spans="1:9" x14ac:dyDescent="0.25">
      <c r="A1016" t="s">
        <v>1011</v>
      </c>
      <c r="B1016" t="s">
        <v>3124</v>
      </c>
      <c r="C1016" s="167">
        <v>185.1</v>
      </c>
      <c r="D1016" t="s">
        <v>671</v>
      </c>
      <c r="E1016" t="s">
        <v>1701</v>
      </c>
      <c r="F1016" t="s">
        <v>7339</v>
      </c>
      <c r="G1016" t="s">
        <v>7340</v>
      </c>
      <c r="I1016" t="s">
        <v>2809</v>
      </c>
    </row>
    <row r="1017" spans="1:9" x14ac:dyDescent="0.25">
      <c r="A1017" t="s">
        <v>1006</v>
      </c>
      <c r="B1017" t="s">
        <v>3119</v>
      </c>
      <c r="C1017" s="167">
        <v>185.1</v>
      </c>
      <c r="D1017" t="s">
        <v>21</v>
      </c>
      <c r="E1017" t="s">
        <v>1699</v>
      </c>
      <c r="F1017" t="s">
        <v>7339</v>
      </c>
      <c r="G1017" t="s">
        <v>7340</v>
      </c>
      <c r="I1017" t="s">
        <v>2809</v>
      </c>
    </row>
    <row r="1018" spans="1:9" x14ac:dyDescent="0.25">
      <c r="A1018" t="s">
        <v>1009</v>
      </c>
      <c r="B1018" t="s">
        <v>3122</v>
      </c>
      <c r="C1018" s="167">
        <v>185.1</v>
      </c>
      <c r="D1018" t="s">
        <v>563</v>
      </c>
      <c r="E1018" t="s">
        <v>1699</v>
      </c>
      <c r="F1018" t="s">
        <v>7339</v>
      </c>
      <c r="G1018" t="s">
        <v>7340</v>
      </c>
      <c r="I1018" t="s">
        <v>2809</v>
      </c>
    </row>
    <row r="1019" spans="1:9" x14ac:dyDescent="0.25">
      <c r="A1019" t="s">
        <v>1012</v>
      </c>
      <c r="B1019" t="s">
        <v>3125</v>
      </c>
      <c r="C1019" s="167">
        <v>185.1</v>
      </c>
      <c r="D1019" t="s">
        <v>671</v>
      </c>
      <c r="E1019" t="s">
        <v>1699</v>
      </c>
      <c r="F1019" t="s">
        <v>7339</v>
      </c>
      <c r="G1019" t="s">
        <v>7340</v>
      </c>
      <c r="I1019" t="s">
        <v>2809</v>
      </c>
    </row>
    <row r="1020" spans="1:9" x14ac:dyDescent="0.25">
      <c r="A1020" t="s">
        <v>1007</v>
      </c>
      <c r="B1020" t="s">
        <v>3120</v>
      </c>
      <c r="C1020" s="167">
        <v>185.1</v>
      </c>
      <c r="D1020" t="s">
        <v>21</v>
      </c>
      <c r="E1020" t="s">
        <v>1703</v>
      </c>
      <c r="F1020" t="s">
        <v>7339</v>
      </c>
      <c r="G1020" t="s">
        <v>7340</v>
      </c>
      <c r="I1020" t="s">
        <v>2809</v>
      </c>
    </row>
    <row r="1021" spans="1:9" x14ac:dyDescent="0.25">
      <c r="A1021" t="s">
        <v>1010</v>
      </c>
      <c r="B1021" t="s">
        <v>3123</v>
      </c>
      <c r="C1021" s="167">
        <v>185.1</v>
      </c>
      <c r="D1021" t="s">
        <v>563</v>
      </c>
      <c r="E1021" t="s">
        <v>1703</v>
      </c>
      <c r="F1021" t="s">
        <v>7339</v>
      </c>
      <c r="G1021" t="s">
        <v>7340</v>
      </c>
      <c r="I1021" t="s">
        <v>2809</v>
      </c>
    </row>
    <row r="1022" spans="1:9" x14ac:dyDescent="0.25">
      <c r="A1022" t="s">
        <v>1013</v>
      </c>
      <c r="B1022" t="s">
        <v>3126</v>
      </c>
      <c r="C1022" s="167">
        <v>185.1</v>
      </c>
      <c r="D1022" t="s">
        <v>671</v>
      </c>
      <c r="E1022" t="s">
        <v>1703</v>
      </c>
      <c r="F1022" t="s">
        <v>7339</v>
      </c>
      <c r="G1022" t="s">
        <v>7340</v>
      </c>
      <c r="I1022" t="s">
        <v>2809</v>
      </c>
    </row>
    <row r="1023" spans="1:9" x14ac:dyDescent="0.25">
      <c r="A1023" t="s">
        <v>1014</v>
      </c>
      <c r="B1023" t="s">
        <v>3127</v>
      </c>
      <c r="C1023" s="167">
        <v>218.15</v>
      </c>
      <c r="D1023" t="s">
        <v>21</v>
      </c>
      <c r="E1023" t="s">
        <v>1701</v>
      </c>
      <c r="F1023" t="s">
        <v>7341</v>
      </c>
      <c r="G1023" t="s">
        <v>7340</v>
      </c>
      <c r="I1023" t="s">
        <v>2809</v>
      </c>
    </row>
    <row r="1024" spans="1:9" x14ac:dyDescent="0.25">
      <c r="A1024" t="s">
        <v>1017</v>
      </c>
      <c r="B1024" t="s">
        <v>3130</v>
      </c>
      <c r="C1024" s="167">
        <v>218.15</v>
      </c>
      <c r="D1024" t="s">
        <v>563</v>
      </c>
      <c r="E1024" t="s">
        <v>1701</v>
      </c>
      <c r="F1024" t="s">
        <v>7341</v>
      </c>
      <c r="G1024" t="s">
        <v>7340</v>
      </c>
      <c r="I1024" t="s">
        <v>2809</v>
      </c>
    </row>
    <row r="1025" spans="1:9" x14ac:dyDescent="0.25">
      <c r="A1025" t="s">
        <v>1020</v>
      </c>
      <c r="B1025" t="s">
        <v>3133</v>
      </c>
      <c r="C1025" s="167">
        <v>218.15</v>
      </c>
      <c r="D1025" t="s">
        <v>671</v>
      </c>
      <c r="E1025" t="s">
        <v>1701</v>
      </c>
      <c r="F1025" t="s">
        <v>7341</v>
      </c>
      <c r="G1025" t="s">
        <v>7340</v>
      </c>
      <c r="I1025" t="s">
        <v>2809</v>
      </c>
    </row>
    <row r="1026" spans="1:9" x14ac:dyDescent="0.25">
      <c r="A1026" t="s">
        <v>1015</v>
      </c>
      <c r="B1026" t="s">
        <v>3128</v>
      </c>
      <c r="C1026" s="167">
        <v>218.15</v>
      </c>
      <c r="D1026" t="s">
        <v>21</v>
      </c>
      <c r="E1026" t="s">
        <v>1699</v>
      </c>
      <c r="F1026" t="s">
        <v>7341</v>
      </c>
      <c r="G1026" t="s">
        <v>7340</v>
      </c>
      <c r="I1026" t="s">
        <v>2809</v>
      </c>
    </row>
    <row r="1027" spans="1:9" x14ac:dyDescent="0.25">
      <c r="A1027" t="s">
        <v>1018</v>
      </c>
      <c r="B1027" t="s">
        <v>3131</v>
      </c>
      <c r="C1027" s="167">
        <v>218.15</v>
      </c>
      <c r="D1027" t="s">
        <v>563</v>
      </c>
      <c r="E1027" t="s">
        <v>1699</v>
      </c>
      <c r="F1027" t="s">
        <v>7341</v>
      </c>
      <c r="G1027" t="s">
        <v>7340</v>
      </c>
      <c r="I1027" t="s">
        <v>2809</v>
      </c>
    </row>
    <row r="1028" spans="1:9" x14ac:dyDescent="0.25">
      <c r="A1028" t="s">
        <v>1021</v>
      </c>
      <c r="B1028" t="s">
        <v>3134</v>
      </c>
      <c r="C1028" s="167">
        <v>218.15</v>
      </c>
      <c r="D1028" t="s">
        <v>671</v>
      </c>
      <c r="E1028" t="s">
        <v>1699</v>
      </c>
      <c r="F1028" t="s">
        <v>7341</v>
      </c>
      <c r="G1028" t="s">
        <v>7340</v>
      </c>
      <c r="I1028" t="s">
        <v>2809</v>
      </c>
    </row>
    <row r="1029" spans="1:9" x14ac:dyDescent="0.25">
      <c r="A1029" t="s">
        <v>1016</v>
      </c>
      <c r="B1029" t="s">
        <v>3129</v>
      </c>
      <c r="C1029" s="167">
        <v>218.15</v>
      </c>
      <c r="D1029" t="s">
        <v>21</v>
      </c>
      <c r="E1029" t="s">
        <v>1703</v>
      </c>
      <c r="F1029" t="s">
        <v>7341</v>
      </c>
      <c r="G1029" t="s">
        <v>7340</v>
      </c>
      <c r="I1029" t="s">
        <v>2809</v>
      </c>
    </row>
    <row r="1030" spans="1:9" x14ac:dyDescent="0.25">
      <c r="A1030" t="s">
        <v>1019</v>
      </c>
      <c r="B1030" t="s">
        <v>3132</v>
      </c>
      <c r="C1030" s="167">
        <v>218.15</v>
      </c>
      <c r="D1030" t="s">
        <v>563</v>
      </c>
      <c r="E1030" t="s">
        <v>1703</v>
      </c>
      <c r="F1030" t="s">
        <v>7341</v>
      </c>
      <c r="G1030" t="s">
        <v>7340</v>
      </c>
      <c r="I1030" t="s">
        <v>2809</v>
      </c>
    </row>
    <row r="1031" spans="1:9" x14ac:dyDescent="0.25">
      <c r="A1031" t="s">
        <v>1022</v>
      </c>
      <c r="B1031" t="s">
        <v>3135</v>
      </c>
      <c r="C1031" s="167">
        <v>218.15</v>
      </c>
      <c r="D1031" t="s">
        <v>671</v>
      </c>
      <c r="E1031" t="s">
        <v>1703</v>
      </c>
      <c r="F1031" t="s">
        <v>7341</v>
      </c>
      <c r="G1031" t="s">
        <v>7340</v>
      </c>
      <c r="I1031" t="s">
        <v>2809</v>
      </c>
    </row>
    <row r="1032" spans="1:9" x14ac:dyDescent="0.25">
      <c r="A1032" t="s">
        <v>1023</v>
      </c>
      <c r="B1032" t="s">
        <v>3136</v>
      </c>
      <c r="C1032" s="167">
        <v>244.6</v>
      </c>
      <c r="D1032" t="s">
        <v>21</v>
      </c>
      <c r="E1032" t="s">
        <v>1701</v>
      </c>
      <c r="F1032" t="s">
        <v>7344</v>
      </c>
      <c r="G1032" t="s">
        <v>7340</v>
      </c>
      <c r="I1032" t="s">
        <v>2809</v>
      </c>
    </row>
    <row r="1033" spans="1:9" x14ac:dyDescent="0.25">
      <c r="A1033" t="s">
        <v>1026</v>
      </c>
      <c r="B1033" t="s">
        <v>3139</v>
      </c>
      <c r="C1033" s="167">
        <v>244.6</v>
      </c>
      <c r="D1033" t="s">
        <v>563</v>
      </c>
      <c r="E1033" t="s">
        <v>1701</v>
      </c>
      <c r="F1033" t="s">
        <v>7344</v>
      </c>
      <c r="G1033" t="s">
        <v>7340</v>
      </c>
      <c r="I1033" t="s">
        <v>2809</v>
      </c>
    </row>
    <row r="1034" spans="1:9" x14ac:dyDescent="0.25">
      <c r="A1034" t="s">
        <v>1029</v>
      </c>
      <c r="B1034" t="s">
        <v>3142</v>
      </c>
      <c r="C1034" s="167">
        <v>244.6</v>
      </c>
      <c r="D1034" t="s">
        <v>671</v>
      </c>
      <c r="E1034" t="s">
        <v>1701</v>
      </c>
      <c r="F1034" t="s">
        <v>7344</v>
      </c>
      <c r="G1034" t="s">
        <v>7340</v>
      </c>
      <c r="I1034" t="s">
        <v>2809</v>
      </c>
    </row>
    <row r="1035" spans="1:9" x14ac:dyDescent="0.25">
      <c r="A1035" t="s">
        <v>1024</v>
      </c>
      <c r="B1035" t="s">
        <v>3137</v>
      </c>
      <c r="C1035" s="167">
        <v>244.6</v>
      </c>
      <c r="D1035" t="s">
        <v>21</v>
      </c>
      <c r="E1035" t="s">
        <v>1699</v>
      </c>
      <c r="F1035" t="s">
        <v>7344</v>
      </c>
      <c r="G1035" t="s">
        <v>7340</v>
      </c>
      <c r="I1035" t="s">
        <v>2809</v>
      </c>
    </row>
    <row r="1036" spans="1:9" x14ac:dyDescent="0.25">
      <c r="A1036" t="s">
        <v>1027</v>
      </c>
      <c r="B1036" t="s">
        <v>3140</v>
      </c>
      <c r="C1036" s="167">
        <v>244.6</v>
      </c>
      <c r="D1036" t="s">
        <v>563</v>
      </c>
      <c r="E1036" t="s">
        <v>1699</v>
      </c>
      <c r="F1036" t="s">
        <v>7344</v>
      </c>
      <c r="G1036" t="s">
        <v>7340</v>
      </c>
      <c r="I1036" t="s">
        <v>2809</v>
      </c>
    </row>
    <row r="1037" spans="1:9" x14ac:dyDescent="0.25">
      <c r="A1037" t="s">
        <v>1030</v>
      </c>
      <c r="B1037" t="s">
        <v>3143</v>
      </c>
      <c r="C1037" s="167">
        <v>244.6</v>
      </c>
      <c r="D1037" t="s">
        <v>671</v>
      </c>
      <c r="E1037" t="s">
        <v>1699</v>
      </c>
      <c r="F1037" t="s">
        <v>7344</v>
      </c>
      <c r="G1037" t="s">
        <v>7340</v>
      </c>
      <c r="I1037" t="s">
        <v>2809</v>
      </c>
    </row>
    <row r="1038" spans="1:9" x14ac:dyDescent="0.25">
      <c r="A1038" t="s">
        <v>1025</v>
      </c>
      <c r="B1038" t="s">
        <v>3138</v>
      </c>
      <c r="C1038" s="167">
        <v>244.6</v>
      </c>
      <c r="D1038" t="s">
        <v>21</v>
      </c>
      <c r="E1038" t="s">
        <v>1703</v>
      </c>
      <c r="F1038" t="s">
        <v>7344</v>
      </c>
      <c r="G1038" t="s">
        <v>7340</v>
      </c>
      <c r="I1038" t="s">
        <v>2809</v>
      </c>
    </row>
    <row r="1039" spans="1:9" x14ac:dyDescent="0.25">
      <c r="A1039" t="s">
        <v>1028</v>
      </c>
      <c r="B1039" t="s">
        <v>3141</v>
      </c>
      <c r="C1039" s="167">
        <v>244.6</v>
      </c>
      <c r="D1039" t="s">
        <v>563</v>
      </c>
      <c r="E1039" t="s">
        <v>1703</v>
      </c>
      <c r="F1039" t="s">
        <v>7344</v>
      </c>
      <c r="G1039" t="s">
        <v>7340</v>
      </c>
      <c r="I1039" t="s">
        <v>2809</v>
      </c>
    </row>
    <row r="1040" spans="1:9" x14ac:dyDescent="0.25">
      <c r="A1040" t="s">
        <v>1031</v>
      </c>
      <c r="B1040" t="s">
        <v>3144</v>
      </c>
      <c r="C1040" s="167">
        <v>244.6</v>
      </c>
      <c r="D1040" t="s">
        <v>671</v>
      </c>
      <c r="E1040" t="s">
        <v>1703</v>
      </c>
      <c r="F1040" t="s">
        <v>7344</v>
      </c>
      <c r="G1040" t="s">
        <v>7340</v>
      </c>
      <c r="I1040" t="s">
        <v>2809</v>
      </c>
    </row>
    <row r="1041" spans="1:9" x14ac:dyDescent="0.25">
      <c r="A1041" t="s">
        <v>1032</v>
      </c>
      <c r="B1041" t="s">
        <v>3145</v>
      </c>
      <c r="C1041" s="167">
        <v>277.66000000000003</v>
      </c>
      <c r="D1041" t="s">
        <v>21</v>
      </c>
      <c r="E1041" t="s">
        <v>1701</v>
      </c>
      <c r="F1041" t="s">
        <v>7343</v>
      </c>
      <c r="G1041" t="s">
        <v>7340</v>
      </c>
      <c r="I1041" t="s">
        <v>2809</v>
      </c>
    </row>
    <row r="1042" spans="1:9" x14ac:dyDescent="0.25">
      <c r="A1042" t="s">
        <v>1035</v>
      </c>
      <c r="B1042" t="s">
        <v>3148</v>
      </c>
      <c r="C1042" s="167">
        <v>277.66000000000003</v>
      </c>
      <c r="D1042" t="s">
        <v>563</v>
      </c>
      <c r="E1042" t="s">
        <v>1701</v>
      </c>
      <c r="F1042" t="s">
        <v>7343</v>
      </c>
      <c r="G1042" t="s">
        <v>7340</v>
      </c>
      <c r="I1042" t="s">
        <v>2809</v>
      </c>
    </row>
    <row r="1043" spans="1:9" x14ac:dyDescent="0.25">
      <c r="A1043" t="s">
        <v>1038</v>
      </c>
      <c r="B1043" t="s">
        <v>3151</v>
      </c>
      <c r="C1043" s="167">
        <v>277.66000000000003</v>
      </c>
      <c r="D1043" t="s">
        <v>671</v>
      </c>
      <c r="E1043" t="s">
        <v>1701</v>
      </c>
      <c r="F1043" t="s">
        <v>7343</v>
      </c>
      <c r="G1043" t="s">
        <v>7340</v>
      </c>
      <c r="I1043" t="s">
        <v>2809</v>
      </c>
    </row>
    <row r="1044" spans="1:9" x14ac:dyDescent="0.25">
      <c r="A1044" t="s">
        <v>1033</v>
      </c>
      <c r="B1044" t="s">
        <v>3146</v>
      </c>
      <c r="C1044" s="167">
        <v>277.66000000000003</v>
      </c>
      <c r="D1044" t="s">
        <v>21</v>
      </c>
      <c r="E1044" t="s">
        <v>1699</v>
      </c>
      <c r="F1044" t="s">
        <v>7343</v>
      </c>
      <c r="G1044" t="s">
        <v>7340</v>
      </c>
      <c r="I1044" t="s">
        <v>2809</v>
      </c>
    </row>
    <row r="1045" spans="1:9" x14ac:dyDescent="0.25">
      <c r="A1045" t="s">
        <v>1036</v>
      </c>
      <c r="B1045" t="s">
        <v>3149</v>
      </c>
      <c r="C1045" s="167">
        <v>277.66000000000003</v>
      </c>
      <c r="D1045" t="s">
        <v>563</v>
      </c>
      <c r="E1045" t="s">
        <v>1699</v>
      </c>
      <c r="F1045" t="s">
        <v>7343</v>
      </c>
      <c r="G1045" t="s">
        <v>7340</v>
      </c>
      <c r="I1045" t="s">
        <v>2809</v>
      </c>
    </row>
    <row r="1046" spans="1:9" x14ac:dyDescent="0.25">
      <c r="A1046" t="s">
        <v>1039</v>
      </c>
      <c r="B1046" t="s">
        <v>3152</v>
      </c>
      <c r="C1046" s="167">
        <v>277.66000000000003</v>
      </c>
      <c r="D1046" t="s">
        <v>671</v>
      </c>
      <c r="E1046" t="s">
        <v>1699</v>
      </c>
      <c r="F1046" t="s">
        <v>7343</v>
      </c>
      <c r="G1046" t="s">
        <v>7340</v>
      </c>
      <c r="I1046" t="s">
        <v>2809</v>
      </c>
    </row>
    <row r="1047" spans="1:9" x14ac:dyDescent="0.25">
      <c r="A1047" t="s">
        <v>1034</v>
      </c>
      <c r="B1047" t="s">
        <v>3147</v>
      </c>
      <c r="C1047" s="167">
        <v>277.66000000000003</v>
      </c>
      <c r="D1047" t="s">
        <v>21</v>
      </c>
      <c r="E1047" t="s">
        <v>1703</v>
      </c>
      <c r="F1047" t="s">
        <v>7343</v>
      </c>
      <c r="G1047" t="s">
        <v>7340</v>
      </c>
      <c r="I1047" t="s">
        <v>2809</v>
      </c>
    </row>
    <row r="1048" spans="1:9" x14ac:dyDescent="0.25">
      <c r="A1048" t="s">
        <v>1037</v>
      </c>
      <c r="B1048" t="s">
        <v>3150</v>
      </c>
      <c r="C1048" s="167">
        <v>277.66000000000003</v>
      </c>
      <c r="D1048" t="s">
        <v>563</v>
      </c>
      <c r="E1048" t="s">
        <v>1703</v>
      </c>
      <c r="F1048" t="s">
        <v>7343</v>
      </c>
      <c r="G1048" t="s">
        <v>7340</v>
      </c>
      <c r="I1048" t="s">
        <v>2809</v>
      </c>
    </row>
    <row r="1049" spans="1:9" x14ac:dyDescent="0.25">
      <c r="A1049" t="s">
        <v>1040</v>
      </c>
      <c r="B1049" t="s">
        <v>3153</v>
      </c>
      <c r="C1049" s="167">
        <v>277.66000000000003</v>
      </c>
      <c r="D1049" t="s">
        <v>671</v>
      </c>
      <c r="E1049" t="s">
        <v>1703</v>
      </c>
      <c r="F1049" t="s">
        <v>7343</v>
      </c>
      <c r="G1049" t="s">
        <v>7340</v>
      </c>
      <c r="I1049" t="s">
        <v>2809</v>
      </c>
    </row>
    <row r="1050" spans="1:9" x14ac:dyDescent="0.25">
      <c r="A1050" t="s">
        <v>1041</v>
      </c>
      <c r="B1050" t="s">
        <v>3154</v>
      </c>
      <c r="C1050" s="167">
        <v>158.66999999999999</v>
      </c>
      <c r="D1050" t="s">
        <v>21</v>
      </c>
      <c r="E1050" t="s">
        <v>1701</v>
      </c>
      <c r="F1050" t="s">
        <v>7339</v>
      </c>
      <c r="G1050" t="s">
        <v>7340</v>
      </c>
      <c r="I1050" t="s">
        <v>2809</v>
      </c>
    </row>
    <row r="1051" spans="1:9" x14ac:dyDescent="0.25">
      <c r="A1051" t="s">
        <v>1044</v>
      </c>
      <c r="B1051" t="s">
        <v>3157</v>
      </c>
      <c r="C1051" s="167">
        <v>158.66999999999999</v>
      </c>
      <c r="D1051" t="s">
        <v>563</v>
      </c>
      <c r="E1051" t="s">
        <v>1701</v>
      </c>
      <c r="F1051" t="s">
        <v>7339</v>
      </c>
      <c r="G1051" t="s">
        <v>7340</v>
      </c>
      <c r="I1051" t="s">
        <v>2809</v>
      </c>
    </row>
    <row r="1052" spans="1:9" x14ac:dyDescent="0.25">
      <c r="A1052" t="s">
        <v>1047</v>
      </c>
      <c r="B1052" t="s">
        <v>3160</v>
      </c>
      <c r="C1052" s="167">
        <v>158.66999999999999</v>
      </c>
      <c r="D1052" t="s">
        <v>671</v>
      </c>
      <c r="E1052" t="s">
        <v>1701</v>
      </c>
      <c r="F1052" t="s">
        <v>7339</v>
      </c>
      <c r="G1052" t="s">
        <v>7340</v>
      </c>
      <c r="I1052" t="s">
        <v>2809</v>
      </c>
    </row>
    <row r="1053" spans="1:9" x14ac:dyDescent="0.25">
      <c r="A1053" t="s">
        <v>1042</v>
      </c>
      <c r="B1053" t="s">
        <v>3155</v>
      </c>
      <c r="C1053" s="167">
        <v>158.66999999999999</v>
      </c>
      <c r="D1053" t="s">
        <v>21</v>
      </c>
      <c r="E1053" t="s">
        <v>1699</v>
      </c>
      <c r="F1053" t="s">
        <v>7339</v>
      </c>
      <c r="G1053" t="s">
        <v>7340</v>
      </c>
      <c r="I1053" t="s">
        <v>2809</v>
      </c>
    </row>
    <row r="1054" spans="1:9" x14ac:dyDescent="0.25">
      <c r="A1054" t="s">
        <v>1045</v>
      </c>
      <c r="B1054" t="s">
        <v>3158</v>
      </c>
      <c r="C1054" s="167">
        <v>158.66999999999999</v>
      </c>
      <c r="D1054" t="s">
        <v>563</v>
      </c>
      <c r="E1054" t="s">
        <v>1699</v>
      </c>
      <c r="F1054" t="s">
        <v>7339</v>
      </c>
      <c r="G1054" t="s">
        <v>7340</v>
      </c>
      <c r="I1054" t="s">
        <v>2809</v>
      </c>
    </row>
    <row r="1055" spans="1:9" x14ac:dyDescent="0.25">
      <c r="A1055" t="s">
        <v>1048</v>
      </c>
      <c r="B1055" t="s">
        <v>3161</v>
      </c>
      <c r="C1055" s="167">
        <v>158.66999999999999</v>
      </c>
      <c r="D1055" t="s">
        <v>671</v>
      </c>
      <c r="E1055" t="s">
        <v>1699</v>
      </c>
      <c r="F1055" t="s">
        <v>7339</v>
      </c>
      <c r="G1055" t="s">
        <v>7340</v>
      </c>
      <c r="I1055" t="s">
        <v>2809</v>
      </c>
    </row>
    <row r="1056" spans="1:9" x14ac:dyDescent="0.25">
      <c r="A1056" t="s">
        <v>1043</v>
      </c>
      <c r="B1056" t="s">
        <v>3156</v>
      </c>
      <c r="C1056" s="167">
        <v>158.66999999999999</v>
      </c>
      <c r="D1056" t="s">
        <v>21</v>
      </c>
      <c r="E1056" t="s">
        <v>1703</v>
      </c>
      <c r="F1056" t="s">
        <v>7339</v>
      </c>
      <c r="G1056" t="s">
        <v>7340</v>
      </c>
      <c r="I1056" t="s">
        <v>2809</v>
      </c>
    </row>
    <row r="1057" spans="1:9" x14ac:dyDescent="0.25">
      <c r="A1057" t="s">
        <v>1046</v>
      </c>
      <c r="B1057" t="s">
        <v>3159</v>
      </c>
      <c r="C1057" s="167">
        <v>158.66999999999999</v>
      </c>
      <c r="D1057" t="s">
        <v>563</v>
      </c>
      <c r="E1057" t="s">
        <v>1703</v>
      </c>
      <c r="F1057" t="s">
        <v>7339</v>
      </c>
      <c r="G1057" t="s">
        <v>7340</v>
      </c>
      <c r="I1057" t="s">
        <v>2809</v>
      </c>
    </row>
    <row r="1058" spans="1:9" x14ac:dyDescent="0.25">
      <c r="A1058" t="s">
        <v>1049</v>
      </c>
      <c r="B1058" t="s">
        <v>3162</v>
      </c>
      <c r="C1058" s="167">
        <v>158.66999999999999</v>
      </c>
      <c r="D1058" t="s">
        <v>671</v>
      </c>
      <c r="E1058" t="s">
        <v>1703</v>
      </c>
      <c r="F1058" t="s">
        <v>7339</v>
      </c>
      <c r="G1058" t="s">
        <v>7340</v>
      </c>
      <c r="I1058" t="s">
        <v>2809</v>
      </c>
    </row>
    <row r="1059" spans="1:9" x14ac:dyDescent="0.25">
      <c r="A1059" t="s">
        <v>1050</v>
      </c>
      <c r="B1059" t="s">
        <v>3163</v>
      </c>
      <c r="C1059" s="167">
        <v>185.1</v>
      </c>
      <c r="D1059" t="s">
        <v>21</v>
      </c>
      <c r="E1059" t="s">
        <v>1701</v>
      </c>
      <c r="F1059" t="s">
        <v>7341</v>
      </c>
      <c r="G1059" t="s">
        <v>7340</v>
      </c>
      <c r="I1059" t="s">
        <v>2809</v>
      </c>
    </row>
    <row r="1060" spans="1:9" x14ac:dyDescent="0.25">
      <c r="A1060" t="s">
        <v>1053</v>
      </c>
      <c r="B1060" t="s">
        <v>3166</v>
      </c>
      <c r="C1060" s="167">
        <v>185.1</v>
      </c>
      <c r="D1060" t="s">
        <v>563</v>
      </c>
      <c r="E1060" t="s">
        <v>1701</v>
      </c>
      <c r="F1060" t="s">
        <v>7341</v>
      </c>
      <c r="G1060" t="s">
        <v>7340</v>
      </c>
      <c r="I1060" t="s">
        <v>2809</v>
      </c>
    </row>
    <row r="1061" spans="1:9" x14ac:dyDescent="0.25">
      <c r="A1061" t="s">
        <v>1056</v>
      </c>
      <c r="B1061" t="s">
        <v>3169</v>
      </c>
      <c r="C1061" s="167">
        <v>185.1</v>
      </c>
      <c r="D1061" t="s">
        <v>671</v>
      </c>
      <c r="E1061" t="s">
        <v>1701</v>
      </c>
      <c r="F1061" t="s">
        <v>7341</v>
      </c>
      <c r="G1061" t="s">
        <v>7340</v>
      </c>
      <c r="I1061" t="s">
        <v>2809</v>
      </c>
    </row>
    <row r="1062" spans="1:9" x14ac:dyDescent="0.25">
      <c r="A1062" t="s">
        <v>1051</v>
      </c>
      <c r="B1062" t="s">
        <v>3164</v>
      </c>
      <c r="C1062" s="167">
        <v>185.1</v>
      </c>
      <c r="D1062" t="s">
        <v>21</v>
      </c>
      <c r="E1062" t="s">
        <v>1699</v>
      </c>
      <c r="F1062" t="s">
        <v>7341</v>
      </c>
      <c r="G1062" t="s">
        <v>7340</v>
      </c>
      <c r="I1062" t="s">
        <v>2809</v>
      </c>
    </row>
    <row r="1063" spans="1:9" x14ac:dyDescent="0.25">
      <c r="A1063" t="s">
        <v>1054</v>
      </c>
      <c r="B1063" t="s">
        <v>3167</v>
      </c>
      <c r="C1063" s="167">
        <v>185.1</v>
      </c>
      <c r="D1063" t="s">
        <v>563</v>
      </c>
      <c r="E1063" t="s">
        <v>1699</v>
      </c>
      <c r="F1063" t="s">
        <v>7341</v>
      </c>
      <c r="G1063" t="s">
        <v>7340</v>
      </c>
      <c r="I1063" t="s">
        <v>2809</v>
      </c>
    </row>
    <row r="1064" spans="1:9" x14ac:dyDescent="0.25">
      <c r="A1064" t="s">
        <v>1057</v>
      </c>
      <c r="B1064" t="s">
        <v>3170</v>
      </c>
      <c r="C1064" s="167">
        <v>185.1</v>
      </c>
      <c r="D1064" t="s">
        <v>671</v>
      </c>
      <c r="E1064" t="s">
        <v>1699</v>
      </c>
      <c r="F1064" t="s">
        <v>7341</v>
      </c>
      <c r="G1064" t="s">
        <v>7340</v>
      </c>
      <c r="I1064" t="s">
        <v>2809</v>
      </c>
    </row>
    <row r="1065" spans="1:9" x14ac:dyDescent="0.25">
      <c r="A1065" t="s">
        <v>1052</v>
      </c>
      <c r="B1065" t="s">
        <v>3165</v>
      </c>
      <c r="C1065" s="167">
        <v>185.1</v>
      </c>
      <c r="D1065" t="s">
        <v>21</v>
      </c>
      <c r="E1065" t="s">
        <v>1703</v>
      </c>
      <c r="F1065" t="s">
        <v>7341</v>
      </c>
      <c r="G1065" t="s">
        <v>7340</v>
      </c>
      <c r="I1065" t="s">
        <v>2809</v>
      </c>
    </row>
    <row r="1066" spans="1:9" x14ac:dyDescent="0.25">
      <c r="A1066" t="s">
        <v>1055</v>
      </c>
      <c r="B1066" t="s">
        <v>3168</v>
      </c>
      <c r="C1066" s="167">
        <v>185.1</v>
      </c>
      <c r="D1066" t="s">
        <v>563</v>
      </c>
      <c r="E1066" t="s">
        <v>1703</v>
      </c>
      <c r="F1066" t="s">
        <v>7341</v>
      </c>
      <c r="G1066" t="s">
        <v>7340</v>
      </c>
      <c r="I1066" t="s">
        <v>2809</v>
      </c>
    </row>
    <row r="1067" spans="1:9" x14ac:dyDescent="0.25">
      <c r="A1067" t="s">
        <v>1058</v>
      </c>
      <c r="B1067" t="s">
        <v>3171</v>
      </c>
      <c r="C1067" s="167">
        <v>185.1</v>
      </c>
      <c r="D1067" t="s">
        <v>671</v>
      </c>
      <c r="E1067" t="s">
        <v>1703</v>
      </c>
      <c r="F1067" t="s">
        <v>7341</v>
      </c>
      <c r="G1067" t="s">
        <v>7340</v>
      </c>
      <c r="I1067" t="s">
        <v>2809</v>
      </c>
    </row>
    <row r="1068" spans="1:9" x14ac:dyDescent="0.25">
      <c r="A1068" t="s">
        <v>1059</v>
      </c>
      <c r="B1068" t="s">
        <v>3172</v>
      </c>
      <c r="C1068" s="167">
        <v>204.93</v>
      </c>
      <c r="D1068" t="s">
        <v>21</v>
      </c>
      <c r="E1068" t="s">
        <v>1701</v>
      </c>
      <c r="F1068" t="s">
        <v>7344</v>
      </c>
      <c r="G1068" t="s">
        <v>7340</v>
      </c>
      <c r="I1068" t="s">
        <v>2809</v>
      </c>
    </row>
    <row r="1069" spans="1:9" x14ac:dyDescent="0.25">
      <c r="A1069" t="s">
        <v>1062</v>
      </c>
      <c r="B1069" t="s">
        <v>3175</v>
      </c>
      <c r="C1069" s="167">
        <v>204.93</v>
      </c>
      <c r="D1069" t="s">
        <v>563</v>
      </c>
      <c r="E1069" t="s">
        <v>1701</v>
      </c>
      <c r="F1069" t="s">
        <v>7344</v>
      </c>
      <c r="G1069" t="s">
        <v>7340</v>
      </c>
      <c r="I1069" t="s">
        <v>2809</v>
      </c>
    </row>
    <row r="1070" spans="1:9" x14ac:dyDescent="0.25">
      <c r="A1070" t="s">
        <v>1065</v>
      </c>
      <c r="B1070" t="s">
        <v>3178</v>
      </c>
      <c r="C1070" s="167">
        <v>204.93</v>
      </c>
      <c r="D1070" t="s">
        <v>671</v>
      </c>
      <c r="E1070" t="s">
        <v>1701</v>
      </c>
      <c r="F1070" t="s">
        <v>7344</v>
      </c>
      <c r="G1070" t="s">
        <v>7340</v>
      </c>
      <c r="I1070" t="s">
        <v>2809</v>
      </c>
    </row>
    <row r="1071" spans="1:9" x14ac:dyDescent="0.25">
      <c r="A1071" t="s">
        <v>1060</v>
      </c>
      <c r="B1071" t="s">
        <v>3173</v>
      </c>
      <c r="C1071" s="167">
        <v>204.93</v>
      </c>
      <c r="D1071" t="s">
        <v>21</v>
      </c>
      <c r="E1071" t="s">
        <v>1699</v>
      </c>
      <c r="F1071" t="s">
        <v>7344</v>
      </c>
      <c r="G1071" t="s">
        <v>7340</v>
      </c>
      <c r="I1071" t="s">
        <v>2809</v>
      </c>
    </row>
    <row r="1072" spans="1:9" x14ac:dyDescent="0.25">
      <c r="A1072" t="s">
        <v>1063</v>
      </c>
      <c r="B1072" t="s">
        <v>3176</v>
      </c>
      <c r="C1072" s="167">
        <v>204.93</v>
      </c>
      <c r="D1072" t="s">
        <v>563</v>
      </c>
      <c r="E1072" t="s">
        <v>1699</v>
      </c>
      <c r="F1072" t="s">
        <v>7344</v>
      </c>
      <c r="G1072" t="s">
        <v>7340</v>
      </c>
      <c r="I1072" t="s">
        <v>2809</v>
      </c>
    </row>
    <row r="1073" spans="1:9" x14ac:dyDescent="0.25">
      <c r="A1073" t="s">
        <v>1066</v>
      </c>
      <c r="B1073" t="s">
        <v>3179</v>
      </c>
      <c r="C1073" s="167">
        <v>204.93</v>
      </c>
      <c r="D1073" t="s">
        <v>671</v>
      </c>
      <c r="E1073" t="s">
        <v>1699</v>
      </c>
      <c r="F1073" t="s">
        <v>7344</v>
      </c>
      <c r="G1073" t="s">
        <v>7340</v>
      </c>
      <c r="I1073" t="s">
        <v>2809</v>
      </c>
    </row>
    <row r="1074" spans="1:9" x14ac:dyDescent="0.25">
      <c r="A1074" t="s">
        <v>1061</v>
      </c>
      <c r="B1074" t="s">
        <v>3174</v>
      </c>
      <c r="C1074" s="167">
        <v>204.93</v>
      </c>
      <c r="D1074" t="s">
        <v>21</v>
      </c>
      <c r="E1074" t="s">
        <v>1703</v>
      </c>
      <c r="F1074" t="s">
        <v>7344</v>
      </c>
      <c r="G1074" t="s">
        <v>7340</v>
      </c>
      <c r="I1074" t="s">
        <v>2809</v>
      </c>
    </row>
    <row r="1075" spans="1:9" x14ac:dyDescent="0.25">
      <c r="A1075" t="s">
        <v>1064</v>
      </c>
      <c r="B1075" t="s">
        <v>3177</v>
      </c>
      <c r="C1075" s="167">
        <v>204.93</v>
      </c>
      <c r="D1075" t="s">
        <v>563</v>
      </c>
      <c r="E1075" t="s">
        <v>1703</v>
      </c>
      <c r="F1075" t="s">
        <v>7344</v>
      </c>
      <c r="G1075" t="s">
        <v>7340</v>
      </c>
      <c r="I1075" t="s">
        <v>2809</v>
      </c>
    </row>
    <row r="1076" spans="1:9" x14ac:dyDescent="0.25">
      <c r="A1076" t="s">
        <v>1067</v>
      </c>
      <c r="B1076" t="s">
        <v>3180</v>
      </c>
      <c r="C1076" s="167">
        <v>204.93</v>
      </c>
      <c r="D1076" t="s">
        <v>671</v>
      </c>
      <c r="E1076" t="s">
        <v>1703</v>
      </c>
      <c r="F1076" t="s">
        <v>7344</v>
      </c>
      <c r="G1076" t="s">
        <v>7340</v>
      </c>
      <c r="I1076" t="s">
        <v>2809</v>
      </c>
    </row>
    <row r="1077" spans="1:9" x14ac:dyDescent="0.25">
      <c r="A1077" t="s">
        <v>1068</v>
      </c>
      <c r="B1077" t="s">
        <v>3181</v>
      </c>
      <c r="C1077" s="167">
        <v>231.38</v>
      </c>
      <c r="D1077" t="s">
        <v>21</v>
      </c>
      <c r="E1077" t="s">
        <v>1701</v>
      </c>
      <c r="F1077" t="s">
        <v>7343</v>
      </c>
      <c r="G1077" t="s">
        <v>7340</v>
      </c>
      <c r="I1077" t="s">
        <v>2809</v>
      </c>
    </row>
    <row r="1078" spans="1:9" x14ac:dyDescent="0.25">
      <c r="A1078" t="s">
        <v>1071</v>
      </c>
      <c r="B1078" t="s">
        <v>3184</v>
      </c>
      <c r="C1078" s="167">
        <v>231.38</v>
      </c>
      <c r="D1078" t="s">
        <v>563</v>
      </c>
      <c r="E1078" t="s">
        <v>1701</v>
      </c>
      <c r="F1078" t="s">
        <v>7343</v>
      </c>
      <c r="G1078" t="s">
        <v>7340</v>
      </c>
      <c r="I1078" t="s">
        <v>2809</v>
      </c>
    </row>
    <row r="1079" spans="1:9" x14ac:dyDescent="0.25">
      <c r="A1079" t="s">
        <v>1074</v>
      </c>
      <c r="B1079" t="s">
        <v>3187</v>
      </c>
      <c r="C1079" s="167">
        <v>231.38</v>
      </c>
      <c r="D1079" t="s">
        <v>671</v>
      </c>
      <c r="E1079" t="s">
        <v>1701</v>
      </c>
      <c r="F1079" t="s">
        <v>7343</v>
      </c>
      <c r="G1079" t="s">
        <v>7340</v>
      </c>
      <c r="I1079" t="s">
        <v>2809</v>
      </c>
    </row>
    <row r="1080" spans="1:9" x14ac:dyDescent="0.25">
      <c r="A1080" t="s">
        <v>1069</v>
      </c>
      <c r="B1080" t="s">
        <v>3182</v>
      </c>
      <c r="C1080" s="167">
        <v>231.38</v>
      </c>
      <c r="D1080" t="s">
        <v>21</v>
      </c>
      <c r="E1080" t="s">
        <v>1699</v>
      </c>
      <c r="F1080" t="s">
        <v>7343</v>
      </c>
      <c r="G1080" t="s">
        <v>7340</v>
      </c>
      <c r="I1080" t="s">
        <v>2809</v>
      </c>
    </row>
    <row r="1081" spans="1:9" x14ac:dyDescent="0.25">
      <c r="A1081" t="s">
        <v>1072</v>
      </c>
      <c r="B1081" t="s">
        <v>3185</v>
      </c>
      <c r="C1081" s="167">
        <v>231.38</v>
      </c>
      <c r="D1081" t="s">
        <v>563</v>
      </c>
      <c r="E1081" t="s">
        <v>1699</v>
      </c>
      <c r="F1081" t="s">
        <v>7343</v>
      </c>
      <c r="G1081" t="s">
        <v>7340</v>
      </c>
      <c r="I1081" t="s">
        <v>2809</v>
      </c>
    </row>
    <row r="1082" spans="1:9" x14ac:dyDescent="0.25">
      <c r="A1082" t="s">
        <v>1075</v>
      </c>
      <c r="B1082" t="s">
        <v>3188</v>
      </c>
      <c r="C1082" s="167">
        <v>231.38</v>
      </c>
      <c r="D1082" t="s">
        <v>671</v>
      </c>
      <c r="E1082" t="s">
        <v>1699</v>
      </c>
      <c r="F1082" t="s">
        <v>7343</v>
      </c>
      <c r="G1082" t="s">
        <v>7340</v>
      </c>
      <c r="I1082" t="s">
        <v>2809</v>
      </c>
    </row>
    <row r="1083" spans="1:9" x14ac:dyDescent="0.25">
      <c r="A1083" t="s">
        <v>1070</v>
      </c>
      <c r="B1083" t="s">
        <v>3183</v>
      </c>
      <c r="C1083" s="167">
        <v>231.38</v>
      </c>
      <c r="D1083" t="s">
        <v>21</v>
      </c>
      <c r="E1083" t="s">
        <v>1703</v>
      </c>
      <c r="F1083" t="s">
        <v>7343</v>
      </c>
      <c r="G1083" t="s">
        <v>7340</v>
      </c>
      <c r="I1083" t="s">
        <v>2809</v>
      </c>
    </row>
    <row r="1084" spans="1:9" x14ac:dyDescent="0.25">
      <c r="A1084" t="s">
        <v>1073</v>
      </c>
      <c r="B1084" t="s">
        <v>3186</v>
      </c>
      <c r="C1084" s="167">
        <v>231.38</v>
      </c>
      <c r="D1084" t="s">
        <v>563</v>
      </c>
      <c r="E1084" t="s">
        <v>1703</v>
      </c>
      <c r="F1084" t="s">
        <v>7343</v>
      </c>
      <c r="G1084" t="s">
        <v>7340</v>
      </c>
      <c r="I1084" t="s">
        <v>2809</v>
      </c>
    </row>
    <row r="1085" spans="1:9" x14ac:dyDescent="0.25">
      <c r="A1085" t="s">
        <v>1076</v>
      </c>
      <c r="B1085" t="s">
        <v>3189</v>
      </c>
      <c r="C1085" s="167">
        <v>231.38</v>
      </c>
      <c r="D1085" t="s">
        <v>671</v>
      </c>
      <c r="E1085" t="s">
        <v>1703</v>
      </c>
      <c r="F1085" t="s">
        <v>7343</v>
      </c>
      <c r="G1085" t="s">
        <v>7340</v>
      </c>
      <c r="I1085" t="s">
        <v>2809</v>
      </c>
    </row>
    <row r="1086" spans="1:9" x14ac:dyDescent="0.25">
      <c r="A1086" t="s">
        <v>1077</v>
      </c>
      <c r="B1086" t="s">
        <v>3190</v>
      </c>
      <c r="C1086" s="167">
        <v>198.33</v>
      </c>
      <c r="D1086" t="s">
        <v>21</v>
      </c>
      <c r="E1086" t="s">
        <v>1701</v>
      </c>
      <c r="F1086" t="s">
        <v>7344</v>
      </c>
      <c r="G1086" t="s">
        <v>7340</v>
      </c>
      <c r="I1086" t="s">
        <v>2809</v>
      </c>
    </row>
    <row r="1087" spans="1:9" x14ac:dyDescent="0.25">
      <c r="A1087" t="s">
        <v>1080</v>
      </c>
      <c r="B1087" t="s">
        <v>3193</v>
      </c>
      <c r="C1087" s="167">
        <v>198.33</v>
      </c>
      <c r="D1087" t="s">
        <v>563</v>
      </c>
      <c r="E1087" t="s">
        <v>1701</v>
      </c>
      <c r="F1087" t="s">
        <v>7344</v>
      </c>
      <c r="G1087" t="s">
        <v>7340</v>
      </c>
      <c r="I1087" t="s">
        <v>2809</v>
      </c>
    </row>
    <row r="1088" spans="1:9" x14ac:dyDescent="0.25">
      <c r="A1088" t="s">
        <v>1083</v>
      </c>
      <c r="B1088" t="s">
        <v>3196</v>
      </c>
      <c r="C1088" s="167">
        <v>198.33</v>
      </c>
      <c r="D1088" t="s">
        <v>671</v>
      </c>
      <c r="E1088" t="s">
        <v>1701</v>
      </c>
      <c r="F1088" t="s">
        <v>7344</v>
      </c>
      <c r="G1088" t="s">
        <v>7340</v>
      </c>
      <c r="I1088" t="s">
        <v>2809</v>
      </c>
    </row>
    <row r="1089" spans="1:9" x14ac:dyDescent="0.25">
      <c r="A1089" t="s">
        <v>1078</v>
      </c>
      <c r="B1089" t="s">
        <v>3191</v>
      </c>
      <c r="C1089" s="167">
        <v>198.33</v>
      </c>
      <c r="D1089" t="s">
        <v>21</v>
      </c>
      <c r="E1089" t="s">
        <v>1699</v>
      </c>
      <c r="F1089" t="s">
        <v>7344</v>
      </c>
      <c r="G1089" t="s">
        <v>7340</v>
      </c>
      <c r="I1089" t="s">
        <v>2809</v>
      </c>
    </row>
    <row r="1090" spans="1:9" x14ac:dyDescent="0.25">
      <c r="A1090" t="s">
        <v>1081</v>
      </c>
      <c r="B1090" t="s">
        <v>3194</v>
      </c>
      <c r="C1090" s="167">
        <v>198.33</v>
      </c>
      <c r="D1090" t="s">
        <v>563</v>
      </c>
      <c r="E1090" t="s">
        <v>1699</v>
      </c>
      <c r="F1090" t="s">
        <v>7344</v>
      </c>
      <c r="G1090" t="s">
        <v>7340</v>
      </c>
      <c r="I1090" t="s">
        <v>2809</v>
      </c>
    </row>
    <row r="1091" spans="1:9" x14ac:dyDescent="0.25">
      <c r="A1091" t="s">
        <v>1084</v>
      </c>
      <c r="B1091" t="s">
        <v>3197</v>
      </c>
      <c r="C1091" s="167">
        <v>198.33</v>
      </c>
      <c r="D1091" t="s">
        <v>671</v>
      </c>
      <c r="E1091" t="s">
        <v>1699</v>
      </c>
      <c r="F1091" t="s">
        <v>7344</v>
      </c>
      <c r="G1091" t="s">
        <v>7340</v>
      </c>
      <c r="I1091" t="s">
        <v>2809</v>
      </c>
    </row>
    <row r="1092" spans="1:9" x14ac:dyDescent="0.25">
      <c r="A1092" t="s">
        <v>1079</v>
      </c>
      <c r="B1092" t="s">
        <v>3192</v>
      </c>
      <c r="C1092" s="167">
        <v>198.33</v>
      </c>
      <c r="D1092" t="s">
        <v>21</v>
      </c>
      <c r="E1092" t="s">
        <v>1703</v>
      </c>
      <c r="F1092" t="s">
        <v>7344</v>
      </c>
      <c r="G1092" t="s">
        <v>7340</v>
      </c>
      <c r="I1092" t="s">
        <v>2809</v>
      </c>
    </row>
    <row r="1093" spans="1:9" x14ac:dyDescent="0.25">
      <c r="A1093" t="s">
        <v>1082</v>
      </c>
      <c r="B1093" t="s">
        <v>3195</v>
      </c>
      <c r="C1093" s="167">
        <v>198.33</v>
      </c>
      <c r="D1093" t="s">
        <v>563</v>
      </c>
      <c r="E1093" t="s">
        <v>1703</v>
      </c>
      <c r="F1093" t="s">
        <v>7344</v>
      </c>
      <c r="G1093" t="s">
        <v>7340</v>
      </c>
      <c r="I1093" t="s">
        <v>2809</v>
      </c>
    </row>
    <row r="1094" spans="1:9" x14ac:dyDescent="0.25">
      <c r="A1094" t="s">
        <v>1085</v>
      </c>
      <c r="B1094" t="s">
        <v>3198</v>
      </c>
      <c r="C1094" s="167">
        <v>198.33</v>
      </c>
      <c r="D1094" t="s">
        <v>671</v>
      </c>
      <c r="E1094" t="s">
        <v>1703</v>
      </c>
      <c r="F1094" t="s">
        <v>7344</v>
      </c>
      <c r="G1094" t="s">
        <v>7340</v>
      </c>
      <c r="I1094" t="s">
        <v>2809</v>
      </c>
    </row>
    <row r="1095" spans="1:9" x14ac:dyDescent="0.25">
      <c r="A1095" t="s">
        <v>1086</v>
      </c>
      <c r="B1095" t="s">
        <v>3199</v>
      </c>
      <c r="C1095" s="167">
        <v>237.99</v>
      </c>
      <c r="D1095" t="s">
        <v>21</v>
      </c>
      <c r="E1095" t="s">
        <v>1701</v>
      </c>
      <c r="F1095" t="s">
        <v>7343</v>
      </c>
      <c r="G1095" t="s">
        <v>7340</v>
      </c>
      <c r="I1095" t="s">
        <v>2809</v>
      </c>
    </row>
    <row r="1096" spans="1:9" x14ac:dyDescent="0.25">
      <c r="A1096" t="s">
        <v>1089</v>
      </c>
      <c r="B1096" t="s">
        <v>3202</v>
      </c>
      <c r="C1096" s="167">
        <v>237.99</v>
      </c>
      <c r="D1096" t="s">
        <v>563</v>
      </c>
      <c r="E1096" t="s">
        <v>1701</v>
      </c>
      <c r="F1096" t="s">
        <v>7343</v>
      </c>
      <c r="G1096" t="s">
        <v>7340</v>
      </c>
      <c r="I1096" t="s">
        <v>2809</v>
      </c>
    </row>
    <row r="1097" spans="1:9" x14ac:dyDescent="0.25">
      <c r="A1097" t="s">
        <v>1092</v>
      </c>
      <c r="B1097" t="s">
        <v>3205</v>
      </c>
      <c r="C1097" s="167">
        <v>237.99</v>
      </c>
      <c r="D1097" t="s">
        <v>671</v>
      </c>
      <c r="E1097" t="s">
        <v>1701</v>
      </c>
      <c r="F1097" t="s">
        <v>7343</v>
      </c>
      <c r="G1097" t="s">
        <v>7340</v>
      </c>
      <c r="I1097" t="s">
        <v>2809</v>
      </c>
    </row>
    <row r="1098" spans="1:9" x14ac:dyDescent="0.25">
      <c r="A1098" t="s">
        <v>1087</v>
      </c>
      <c r="B1098" t="s">
        <v>3200</v>
      </c>
      <c r="C1098" s="167">
        <v>237.99</v>
      </c>
      <c r="D1098" t="s">
        <v>21</v>
      </c>
      <c r="E1098" t="s">
        <v>1699</v>
      </c>
      <c r="F1098" t="s">
        <v>7343</v>
      </c>
      <c r="G1098" t="s">
        <v>7340</v>
      </c>
      <c r="I1098" t="s">
        <v>2809</v>
      </c>
    </row>
    <row r="1099" spans="1:9" x14ac:dyDescent="0.25">
      <c r="A1099" t="s">
        <v>1090</v>
      </c>
      <c r="B1099" t="s">
        <v>3203</v>
      </c>
      <c r="C1099" s="167">
        <v>237.99</v>
      </c>
      <c r="D1099" t="s">
        <v>563</v>
      </c>
      <c r="E1099" t="s">
        <v>1699</v>
      </c>
      <c r="F1099" t="s">
        <v>7343</v>
      </c>
      <c r="G1099" t="s">
        <v>7340</v>
      </c>
      <c r="I1099" t="s">
        <v>2809</v>
      </c>
    </row>
    <row r="1100" spans="1:9" x14ac:dyDescent="0.25">
      <c r="A1100" t="s">
        <v>1093</v>
      </c>
      <c r="B1100" t="s">
        <v>3206</v>
      </c>
      <c r="C1100" s="167">
        <v>237.99</v>
      </c>
      <c r="D1100" t="s">
        <v>671</v>
      </c>
      <c r="E1100" t="s">
        <v>1699</v>
      </c>
      <c r="F1100" t="s">
        <v>7343</v>
      </c>
      <c r="G1100" t="s">
        <v>7340</v>
      </c>
      <c r="I1100" t="s">
        <v>2809</v>
      </c>
    </row>
    <row r="1101" spans="1:9" x14ac:dyDescent="0.25">
      <c r="A1101" t="s">
        <v>1088</v>
      </c>
      <c r="B1101" t="s">
        <v>3201</v>
      </c>
      <c r="C1101" s="167">
        <v>237.99</v>
      </c>
      <c r="D1101" t="s">
        <v>21</v>
      </c>
      <c r="E1101" t="s">
        <v>1703</v>
      </c>
      <c r="F1101" t="s">
        <v>7343</v>
      </c>
      <c r="G1101" t="s">
        <v>7340</v>
      </c>
      <c r="I1101" t="s">
        <v>2809</v>
      </c>
    </row>
    <row r="1102" spans="1:9" x14ac:dyDescent="0.25">
      <c r="A1102" t="s">
        <v>1091</v>
      </c>
      <c r="B1102" t="s">
        <v>3204</v>
      </c>
      <c r="C1102" s="167">
        <v>237.99</v>
      </c>
      <c r="D1102" t="s">
        <v>563</v>
      </c>
      <c r="E1102" t="s">
        <v>1703</v>
      </c>
      <c r="F1102" t="s">
        <v>7343</v>
      </c>
      <c r="G1102" t="s">
        <v>7340</v>
      </c>
      <c r="I1102" t="s">
        <v>2809</v>
      </c>
    </row>
    <row r="1103" spans="1:9" x14ac:dyDescent="0.25">
      <c r="A1103" t="s">
        <v>1094</v>
      </c>
      <c r="B1103" t="s">
        <v>3207</v>
      </c>
      <c r="C1103" s="167">
        <v>237.99</v>
      </c>
      <c r="D1103" t="s">
        <v>671</v>
      </c>
      <c r="E1103" t="s">
        <v>1703</v>
      </c>
      <c r="F1103" t="s">
        <v>7343</v>
      </c>
      <c r="G1103" t="s">
        <v>7340</v>
      </c>
      <c r="I1103" t="s">
        <v>2809</v>
      </c>
    </row>
    <row r="1104" spans="1:9" x14ac:dyDescent="0.25">
      <c r="A1104" t="s">
        <v>2067</v>
      </c>
      <c r="B1104" t="s">
        <v>3928</v>
      </c>
      <c r="C1104" s="167">
        <v>147.84</v>
      </c>
      <c r="D1104" t="s">
        <v>21</v>
      </c>
      <c r="E1104" t="s">
        <v>1701</v>
      </c>
      <c r="F1104" t="s">
        <v>7339</v>
      </c>
      <c r="G1104" t="s">
        <v>7340</v>
      </c>
      <c r="I1104" t="s">
        <v>2809</v>
      </c>
    </row>
    <row r="1105" spans="1:9" x14ac:dyDescent="0.25">
      <c r="A1105" t="s">
        <v>2070</v>
      </c>
      <c r="B1105" t="s">
        <v>3931</v>
      </c>
      <c r="C1105" s="167">
        <v>147.84</v>
      </c>
      <c r="D1105" t="s">
        <v>563</v>
      </c>
      <c r="E1105" t="s">
        <v>1701</v>
      </c>
      <c r="F1105" t="s">
        <v>7339</v>
      </c>
      <c r="G1105" t="s">
        <v>7340</v>
      </c>
      <c r="I1105" t="s">
        <v>2809</v>
      </c>
    </row>
    <row r="1106" spans="1:9" x14ac:dyDescent="0.25">
      <c r="A1106" t="s">
        <v>2073</v>
      </c>
      <c r="B1106" t="s">
        <v>3934</v>
      </c>
      <c r="C1106" s="167">
        <v>147.84</v>
      </c>
      <c r="D1106" t="s">
        <v>671</v>
      </c>
      <c r="E1106" t="s">
        <v>1701</v>
      </c>
      <c r="F1106" t="s">
        <v>7339</v>
      </c>
      <c r="G1106" t="s">
        <v>7340</v>
      </c>
      <c r="I1106" t="s">
        <v>2809</v>
      </c>
    </row>
    <row r="1107" spans="1:9" x14ac:dyDescent="0.25">
      <c r="A1107" t="s">
        <v>2068</v>
      </c>
      <c r="B1107" t="s">
        <v>3929</v>
      </c>
      <c r="C1107" s="167">
        <v>147.84</v>
      </c>
      <c r="D1107" t="s">
        <v>21</v>
      </c>
      <c r="E1107" t="s">
        <v>1699</v>
      </c>
      <c r="F1107" t="s">
        <v>7339</v>
      </c>
      <c r="G1107" t="s">
        <v>7340</v>
      </c>
      <c r="I1107" t="s">
        <v>2809</v>
      </c>
    </row>
    <row r="1108" spans="1:9" x14ac:dyDescent="0.25">
      <c r="A1108" t="s">
        <v>2071</v>
      </c>
      <c r="B1108" t="s">
        <v>3932</v>
      </c>
      <c r="C1108" s="167">
        <v>147.84</v>
      </c>
      <c r="D1108" t="s">
        <v>563</v>
      </c>
      <c r="E1108" t="s">
        <v>1699</v>
      </c>
      <c r="F1108" t="s">
        <v>7339</v>
      </c>
      <c r="G1108" t="s">
        <v>7340</v>
      </c>
      <c r="I1108" t="s">
        <v>2809</v>
      </c>
    </row>
    <row r="1109" spans="1:9" x14ac:dyDescent="0.25">
      <c r="A1109" t="s">
        <v>2074</v>
      </c>
      <c r="B1109" t="s">
        <v>3935</v>
      </c>
      <c r="C1109" s="167">
        <v>147.84</v>
      </c>
      <c r="D1109" t="s">
        <v>671</v>
      </c>
      <c r="E1109" t="s">
        <v>1699</v>
      </c>
      <c r="F1109" t="s">
        <v>7339</v>
      </c>
      <c r="G1109" t="s">
        <v>7340</v>
      </c>
      <c r="I1109" t="s">
        <v>2809</v>
      </c>
    </row>
    <row r="1110" spans="1:9" x14ac:dyDescent="0.25">
      <c r="A1110" t="s">
        <v>2069</v>
      </c>
      <c r="B1110" t="s">
        <v>3930</v>
      </c>
      <c r="C1110" s="167">
        <v>147.84</v>
      </c>
      <c r="D1110" t="s">
        <v>21</v>
      </c>
      <c r="E1110" t="s">
        <v>1703</v>
      </c>
      <c r="F1110" t="s">
        <v>7339</v>
      </c>
      <c r="G1110" t="s">
        <v>7340</v>
      </c>
      <c r="I1110" t="s">
        <v>2809</v>
      </c>
    </row>
    <row r="1111" spans="1:9" x14ac:dyDescent="0.25">
      <c r="A1111" t="s">
        <v>2072</v>
      </c>
      <c r="B1111" t="s">
        <v>3933</v>
      </c>
      <c r="C1111" s="167">
        <v>147.84</v>
      </c>
      <c r="D1111" t="s">
        <v>563</v>
      </c>
      <c r="E1111" t="s">
        <v>1703</v>
      </c>
      <c r="F1111" t="s">
        <v>7339</v>
      </c>
      <c r="G1111" t="s">
        <v>7340</v>
      </c>
      <c r="I1111" t="s">
        <v>2809</v>
      </c>
    </row>
    <row r="1112" spans="1:9" x14ac:dyDescent="0.25">
      <c r="A1112" t="s">
        <v>2075</v>
      </c>
      <c r="B1112" t="s">
        <v>3936</v>
      </c>
      <c r="C1112" s="167">
        <v>147.84</v>
      </c>
      <c r="D1112" t="s">
        <v>671</v>
      </c>
      <c r="E1112" t="s">
        <v>1703</v>
      </c>
      <c r="F1112" t="s">
        <v>7339</v>
      </c>
      <c r="G1112" t="s">
        <v>7340</v>
      </c>
      <c r="I1112" t="s">
        <v>2809</v>
      </c>
    </row>
    <row r="1113" spans="1:9" x14ac:dyDescent="0.25">
      <c r="A1113" t="s">
        <v>2076</v>
      </c>
      <c r="B1113" t="s">
        <v>3937</v>
      </c>
      <c r="C1113" s="167">
        <v>187.5</v>
      </c>
      <c r="D1113" t="s">
        <v>21</v>
      </c>
      <c r="E1113" t="s">
        <v>1701</v>
      </c>
      <c r="F1113" t="s">
        <v>7341</v>
      </c>
      <c r="G1113" t="s">
        <v>7340</v>
      </c>
      <c r="I1113" t="s">
        <v>2809</v>
      </c>
    </row>
    <row r="1114" spans="1:9" x14ac:dyDescent="0.25">
      <c r="A1114" t="s">
        <v>2079</v>
      </c>
      <c r="B1114" t="s">
        <v>3940</v>
      </c>
      <c r="C1114" s="167">
        <v>187.5</v>
      </c>
      <c r="D1114" t="s">
        <v>563</v>
      </c>
      <c r="E1114" t="s">
        <v>1701</v>
      </c>
      <c r="F1114" t="s">
        <v>7341</v>
      </c>
      <c r="G1114" t="s">
        <v>7340</v>
      </c>
      <c r="I1114" t="s">
        <v>2809</v>
      </c>
    </row>
    <row r="1115" spans="1:9" x14ac:dyDescent="0.25">
      <c r="A1115" t="s">
        <v>2082</v>
      </c>
      <c r="B1115" t="s">
        <v>3943</v>
      </c>
      <c r="C1115" s="167">
        <v>187.5</v>
      </c>
      <c r="D1115" t="s">
        <v>671</v>
      </c>
      <c r="E1115" t="s">
        <v>1701</v>
      </c>
      <c r="F1115" t="s">
        <v>7341</v>
      </c>
      <c r="G1115" t="s">
        <v>7340</v>
      </c>
      <c r="I1115" t="s">
        <v>2809</v>
      </c>
    </row>
    <row r="1116" spans="1:9" x14ac:dyDescent="0.25">
      <c r="A1116" t="s">
        <v>2077</v>
      </c>
      <c r="B1116" t="s">
        <v>3938</v>
      </c>
      <c r="C1116" s="167">
        <v>187.5</v>
      </c>
      <c r="D1116" t="s">
        <v>21</v>
      </c>
      <c r="E1116" t="s">
        <v>1699</v>
      </c>
      <c r="F1116" t="s">
        <v>7341</v>
      </c>
      <c r="G1116" t="s">
        <v>7340</v>
      </c>
      <c r="I1116" t="s">
        <v>2809</v>
      </c>
    </row>
    <row r="1117" spans="1:9" x14ac:dyDescent="0.25">
      <c r="A1117" t="s">
        <v>2080</v>
      </c>
      <c r="B1117" t="s">
        <v>3941</v>
      </c>
      <c r="C1117" s="167">
        <v>187.5</v>
      </c>
      <c r="D1117" t="s">
        <v>563</v>
      </c>
      <c r="E1117" t="s">
        <v>1699</v>
      </c>
      <c r="F1117" t="s">
        <v>7341</v>
      </c>
      <c r="G1117" t="s">
        <v>7340</v>
      </c>
      <c r="I1117" t="s">
        <v>2809</v>
      </c>
    </row>
    <row r="1118" spans="1:9" x14ac:dyDescent="0.25">
      <c r="A1118" t="s">
        <v>2083</v>
      </c>
      <c r="B1118" t="s">
        <v>3944</v>
      </c>
      <c r="C1118" s="167">
        <v>187.5</v>
      </c>
      <c r="D1118" t="s">
        <v>671</v>
      </c>
      <c r="E1118" t="s">
        <v>1699</v>
      </c>
      <c r="F1118" t="s">
        <v>7341</v>
      </c>
      <c r="G1118" t="s">
        <v>7340</v>
      </c>
      <c r="I1118" t="s">
        <v>2809</v>
      </c>
    </row>
    <row r="1119" spans="1:9" x14ac:dyDescent="0.25">
      <c r="A1119" t="s">
        <v>2078</v>
      </c>
      <c r="B1119" t="s">
        <v>3939</v>
      </c>
      <c r="C1119" s="167">
        <v>187.5</v>
      </c>
      <c r="D1119" t="s">
        <v>21</v>
      </c>
      <c r="E1119" t="s">
        <v>1703</v>
      </c>
      <c r="F1119" t="s">
        <v>7341</v>
      </c>
      <c r="G1119" t="s">
        <v>7340</v>
      </c>
      <c r="I1119" t="s">
        <v>2809</v>
      </c>
    </row>
    <row r="1120" spans="1:9" x14ac:dyDescent="0.25">
      <c r="A1120" t="s">
        <v>2081</v>
      </c>
      <c r="B1120" t="s">
        <v>3942</v>
      </c>
      <c r="C1120" s="167">
        <v>187.5</v>
      </c>
      <c r="D1120" t="s">
        <v>563</v>
      </c>
      <c r="E1120" t="s">
        <v>1703</v>
      </c>
      <c r="F1120" t="s">
        <v>7341</v>
      </c>
      <c r="G1120" t="s">
        <v>7340</v>
      </c>
      <c r="I1120" t="s">
        <v>2809</v>
      </c>
    </row>
    <row r="1121" spans="1:9" x14ac:dyDescent="0.25">
      <c r="A1121" t="s">
        <v>2084</v>
      </c>
      <c r="B1121" t="s">
        <v>3945</v>
      </c>
      <c r="C1121" s="167">
        <v>187.5</v>
      </c>
      <c r="D1121" t="s">
        <v>671</v>
      </c>
      <c r="E1121" t="s">
        <v>1703</v>
      </c>
      <c r="F1121" t="s">
        <v>7341</v>
      </c>
      <c r="G1121" t="s">
        <v>7340</v>
      </c>
      <c r="I1121" t="s">
        <v>2809</v>
      </c>
    </row>
    <row r="1122" spans="1:9" x14ac:dyDescent="0.25">
      <c r="A1122" t="s">
        <v>2085</v>
      </c>
      <c r="B1122" t="s">
        <v>3946</v>
      </c>
      <c r="C1122" s="167">
        <v>220.55</v>
      </c>
      <c r="D1122" t="s">
        <v>21</v>
      </c>
      <c r="E1122" t="s">
        <v>1701</v>
      </c>
      <c r="F1122" t="s">
        <v>7344</v>
      </c>
      <c r="G1122" t="s">
        <v>7340</v>
      </c>
      <c r="I1122" t="s">
        <v>2809</v>
      </c>
    </row>
    <row r="1123" spans="1:9" x14ac:dyDescent="0.25">
      <c r="A1123" t="s">
        <v>2088</v>
      </c>
      <c r="B1123" t="s">
        <v>3949</v>
      </c>
      <c r="C1123" s="167">
        <v>220.55</v>
      </c>
      <c r="D1123" t="s">
        <v>563</v>
      </c>
      <c r="E1123" t="s">
        <v>1701</v>
      </c>
      <c r="F1123" t="s">
        <v>7344</v>
      </c>
      <c r="G1123" t="s">
        <v>7340</v>
      </c>
      <c r="I1123" t="s">
        <v>2809</v>
      </c>
    </row>
    <row r="1124" spans="1:9" x14ac:dyDescent="0.25">
      <c r="A1124" t="s">
        <v>2091</v>
      </c>
      <c r="B1124" t="s">
        <v>3952</v>
      </c>
      <c r="C1124" s="167">
        <v>220.55</v>
      </c>
      <c r="D1124" t="s">
        <v>671</v>
      </c>
      <c r="E1124" t="s">
        <v>1701</v>
      </c>
      <c r="F1124" t="s">
        <v>7344</v>
      </c>
      <c r="G1124" t="s">
        <v>7340</v>
      </c>
      <c r="I1124" t="s">
        <v>2809</v>
      </c>
    </row>
    <row r="1125" spans="1:9" x14ac:dyDescent="0.25">
      <c r="A1125" t="s">
        <v>2086</v>
      </c>
      <c r="B1125" t="s">
        <v>3947</v>
      </c>
      <c r="C1125" s="167">
        <v>220.55</v>
      </c>
      <c r="D1125" t="s">
        <v>21</v>
      </c>
      <c r="E1125" t="s">
        <v>1699</v>
      </c>
      <c r="F1125" t="s">
        <v>7344</v>
      </c>
      <c r="G1125" t="s">
        <v>7340</v>
      </c>
      <c r="I1125" t="s">
        <v>2809</v>
      </c>
    </row>
    <row r="1126" spans="1:9" x14ac:dyDescent="0.25">
      <c r="A1126" t="s">
        <v>2089</v>
      </c>
      <c r="B1126" t="s">
        <v>3950</v>
      </c>
      <c r="C1126" s="167">
        <v>220.55</v>
      </c>
      <c r="D1126" t="s">
        <v>563</v>
      </c>
      <c r="E1126" t="s">
        <v>1699</v>
      </c>
      <c r="F1126" t="s">
        <v>7344</v>
      </c>
      <c r="G1126" t="s">
        <v>7340</v>
      </c>
      <c r="I1126" t="s">
        <v>2809</v>
      </c>
    </row>
    <row r="1127" spans="1:9" x14ac:dyDescent="0.25">
      <c r="A1127" t="s">
        <v>2092</v>
      </c>
      <c r="B1127" t="s">
        <v>3953</v>
      </c>
      <c r="C1127" s="167">
        <v>220.55</v>
      </c>
      <c r="D1127" t="s">
        <v>671</v>
      </c>
      <c r="E1127" t="s">
        <v>1699</v>
      </c>
      <c r="F1127" t="s">
        <v>7344</v>
      </c>
      <c r="G1127" t="s">
        <v>7340</v>
      </c>
      <c r="I1127" t="s">
        <v>2809</v>
      </c>
    </row>
    <row r="1128" spans="1:9" x14ac:dyDescent="0.25">
      <c r="A1128" t="s">
        <v>2087</v>
      </c>
      <c r="B1128" t="s">
        <v>3948</v>
      </c>
      <c r="C1128" s="167">
        <v>220.55</v>
      </c>
      <c r="D1128" t="s">
        <v>21</v>
      </c>
      <c r="E1128" t="s">
        <v>1703</v>
      </c>
      <c r="F1128" t="s">
        <v>7344</v>
      </c>
      <c r="G1128" t="s">
        <v>7340</v>
      </c>
      <c r="I1128" t="s">
        <v>2809</v>
      </c>
    </row>
    <row r="1129" spans="1:9" x14ac:dyDescent="0.25">
      <c r="A1129" t="s">
        <v>2090</v>
      </c>
      <c r="B1129" t="s">
        <v>3951</v>
      </c>
      <c r="C1129" s="167">
        <v>220.55</v>
      </c>
      <c r="D1129" t="s">
        <v>563</v>
      </c>
      <c r="E1129" t="s">
        <v>1703</v>
      </c>
      <c r="F1129" t="s">
        <v>7344</v>
      </c>
      <c r="G1129" t="s">
        <v>7340</v>
      </c>
      <c r="I1129" t="s">
        <v>2809</v>
      </c>
    </row>
    <row r="1130" spans="1:9" x14ac:dyDescent="0.25">
      <c r="A1130" t="s">
        <v>2093</v>
      </c>
      <c r="B1130" t="s">
        <v>3954</v>
      </c>
      <c r="C1130" s="167">
        <v>220.55</v>
      </c>
      <c r="D1130" t="s">
        <v>671</v>
      </c>
      <c r="E1130" t="s">
        <v>1703</v>
      </c>
      <c r="F1130" t="s">
        <v>7344</v>
      </c>
      <c r="G1130" t="s">
        <v>7340</v>
      </c>
      <c r="I1130" t="s">
        <v>2809</v>
      </c>
    </row>
    <row r="1131" spans="1:9" x14ac:dyDescent="0.25">
      <c r="A1131" t="s">
        <v>2094</v>
      </c>
      <c r="B1131" t="s">
        <v>3955</v>
      </c>
      <c r="C1131" s="167">
        <v>260.23</v>
      </c>
      <c r="D1131" t="s">
        <v>21</v>
      </c>
      <c r="E1131" t="s">
        <v>1701</v>
      </c>
      <c r="F1131" t="s">
        <v>7343</v>
      </c>
      <c r="G1131" t="s">
        <v>7340</v>
      </c>
      <c r="I1131" t="s">
        <v>2809</v>
      </c>
    </row>
    <row r="1132" spans="1:9" x14ac:dyDescent="0.25">
      <c r="A1132" t="s">
        <v>2097</v>
      </c>
      <c r="B1132" t="s">
        <v>3958</v>
      </c>
      <c r="C1132" s="167">
        <v>260.23</v>
      </c>
      <c r="D1132" t="s">
        <v>563</v>
      </c>
      <c r="E1132" t="s">
        <v>1701</v>
      </c>
      <c r="F1132" t="s">
        <v>7343</v>
      </c>
      <c r="G1132" t="s">
        <v>7340</v>
      </c>
      <c r="I1132" t="s">
        <v>2809</v>
      </c>
    </row>
    <row r="1133" spans="1:9" x14ac:dyDescent="0.25">
      <c r="A1133" t="s">
        <v>2100</v>
      </c>
      <c r="B1133" t="s">
        <v>3961</v>
      </c>
      <c r="C1133" s="167">
        <v>260.23</v>
      </c>
      <c r="D1133" t="s">
        <v>671</v>
      </c>
      <c r="E1133" t="s">
        <v>1701</v>
      </c>
      <c r="F1133" t="s">
        <v>7343</v>
      </c>
      <c r="G1133" t="s">
        <v>7340</v>
      </c>
      <c r="I1133" t="s">
        <v>2809</v>
      </c>
    </row>
    <row r="1134" spans="1:9" x14ac:dyDescent="0.25">
      <c r="A1134" t="s">
        <v>2095</v>
      </c>
      <c r="B1134" t="s">
        <v>3956</v>
      </c>
      <c r="C1134" s="167">
        <v>260.23</v>
      </c>
      <c r="D1134" t="s">
        <v>21</v>
      </c>
      <c r="E1134" t="s">
        <v>1699</v>
      </c>
      <c r="F1134" t="s">
        <v>7343</v>
      </c>
      <c r="G1134" t="s">
        <v>7340</v>
      </c>
      <c r="I1134" t="s">
        <v>2809</v>
      </c>
    </row>
    <row r="1135" spans="1:9" x14ac:dyDescent="0.25">
      <c r="A1135" t="s">
        <v>2098</v>
      </c>
      <c r="B1135" t="s">
        <v>3959</v>
      </c>
      <c r="C1135" s="167">
        <v>260.23</v>
      </c>
      <c r="D1135" t="s">
        <v>563</v>
      </c>
      <c r="E1135" t="s">
        <v>1699</v>
      </c>
      <c r="F1135" t="s">
        <v>7343</v>
      </c>
      <c r="G1135" t="s">
        <v>7340</v>
      </c>
      <c r="I1135" t="s">
        <v>2809</v>
      </c>
    </row>
    <row r="1136" spans="1:9" x14ac:dyDescent="0.25">
      <c r="A1136" t="s">
        <v>2101</v>
      </c>
      <c r="B1136" t="s">
        <v>3962</v>
      </c>
      <c r="C1136" s="167">
        <v>260.23</v>
      </c>
      <c r="D1136" t="s">
        <v>671</v>
      </c>
      <c r="E1136" t="s">
        <v>1699</v>
      </c>
      <c r="F1136" t="s">
        <v>7343</v>
      </c>
      <c r="G1136" t="s">
        <v>7340</v>
      </c>
      <c r="I1136" t="s">
        <v>2809</v>
      </c>
    </row>
    <row r="1137" spans="1:9" x14ac:dyDescent="0.25">
      <c r="A1137" t="s">
        <v>2096</v>
      </c>
      <c r="B1137" t="s">
        <v>3957</v>
      </c>
      <c r="C1137" s="167">
        <v>260.23</v>
      </c>
      <c r="D1137" t="s">
        <v>21</v>
      </c>
      <c r="E1137" t="s">
        <v>1703</v>
      </c>
      <c r="F1137" t="s">
        <v>7343</v>
      </c>
      <c r="G1137" t="s">
        <v>7340</v>
      </c>
      <c r="I1137" t="s">
        <v>2809</v>
      </c>
    </row>
    <row r="1138" spans="1:9" x14ac:dyDescent="0.25">
      <c r="A1138" t="s">
        <v>2099</v>
      </c>
      <c r="B1138" t="s">
        <v>3960</v>
      </c>
      <c r="C1138" s="167">
        <v>260.23</v>
      </c>
      <c r="D1138" t="s">
        <v>563</v>
      </c>
      <c r="E1138" t="s">
        <v>1703</v>
      </c>
      <c r="F1138" t="s">
        <v>7343</v>
      </c>
      <c r="G1138" t="s">
        <v>7340</v>
      </c>
      <c r="I1138" t="s">
        <v>2809</v>
      </c>
    </row>
    <row r="1139" spans="1:9" x14ac:dyDescent="0.25">
      <c r="A1139" t="s">
        <v>2102</v>
      </c>
      <c r="B1139" t="s">
        <v>3963</v>
      </c>
      <c r="C1139" s="167">
        <v>260.23</v>
      </c>
      <c r="D1139" t="s">
        <v>671</v>
      </c>
      <c r="E1139" t="s">
        <v>1703</v>
      </c>
      <c r="F1139" t="s">
        <v>7343</v>
      </c>
      <c r="G1139" t="s">
        <v>7340</v>
      </c>
      <c r="I1139" t="s">
        <v>2809</v>
      </c>
    </row>
    <row r="1140" spans="1:9" x14ac:dyDescent="0.25">
      <c r="A1140" t="s">
        <v>2103</v>
      </c>
      <c r="B1140" t="s">
        <v>3964</v>
      </c>
      <c r="C1140" s="167">
        <v>187.5</v>
      </c>
      <c r="D1140" t="s">
        <v>21</v>
      </c>
      <c r="E1140" t="s">
        <v>1701</v>
      </c>
      <c r="F1140" t="s">
        <v>7339</v>
      </c>
      <c r="G1140" t="s">
        <v>7340</v>
      </c>
      <c r="I1140" t="s">
        <v>2809</v>
      </c>
    </row>
    <row r="1141" spans="1:9" x14ac:dyDescent="0.25">
      <c r="A1141" t="s">
        <v>2106</v>
      </c>
      <c r="B1141" t="s">
        <v>3967</v>
      </c>
      <c r="C1141" s="167">
        <v>187.5</v>
      </c>
      <c r="D1141" t="s">
        <v>563</v>
      </c>
      <c r="E1141" t="s">
        <v>1701</v>
      </c>
      <c r="F1141" t="s">
        <v>7339</v>
      </c>
      <c r="G1141" t="s">
        <v>7340</v>
      </c>
      <c r="I1141" t="s">
        <v>2809</v>
      </c>
    </row>
    <row r="1142" spans="1:9" x14ac:dyDescent="0.25">
      <c r="A1142" t="s">
        <v>2109</v>
      </c>
      <c r="B1142" t="s">
        <v>3970</v>
      </c>
      <c r="C1142" s="167">
        <v>187.5</v>
      </c>
      <c r="D1142" t="s">
        <v>671</v>
      </c>
      <c r="E1142" t="s">
        <v>1701</v>
      </c>
      <c r="F1142" t="s">
        <v>7339</v>
      </c>
      <c r="G1142" t="s">
        <v>7340</v>
      </c>
      <c r="I1142" t="s">
        <v>2809</v>
      </c>
    </row>
    <row r="1143" spans="1:9" x14ac:dyDescent="0.25">
      <c r="A1143" t="s">
        <v>2104</v>
      </c>
      <c r="B1143" t="s">
        <v>3965</v>
      </c>
      <c r="C1143" s="167">
        <v>187.5</v>
      </c>
      <c r="D1143" t="s">
        <v>21</v>
      </c>
      <c r="E1143" t="s">
        <v>1699</v>
      </c>
      <c r="F1143" t="s">
        <v>7339</v>
      </c>
      <c r="G1143" t="s">
        <v>7340</v>
      </c>
      <c r="I1143" t="s">
        <v>2809</v>
      </c>
    </row>
    <row r="1144" spans="1:9" x14ac:dyDescent="0.25">
      <c r="A1144" t="s">
        <v>2107</v>
      </c>
      <c r="B1144" t="s">
        <v>3968</v>
      </c>
      <c r="C1144" s="167">
        <v>187.5</v>
      </c>
      <c r="D1144" t="s">
        <v>563</v>
      </c>
      <c r="E1144" t="s">
        <v>1699</v>
      </c>
      <c r="F1144" t="s">
        <v>7339</v>
      </c>
      <c r="G1144" t="s">
        <v>7340</v>
      </c>
      <c r="I1144" t="s">
        <v>2809</v>
      </c>
    </row>
    <row r="1145" spans="1:9" x14ac:dyDescent="0.25">
      <c r="A1145" t="s">
        <v>2110</v>
      </c>
      <c r="B1145" t="s">
        <v>3971</v>
      </c>
      <c r="C1145" s="167">
        <v>187.5</v>
      </c>
      <c r="D1145" t="s">
        <v>671</v>
      </c>
      <c r="E1145" t="s">
        <v>1699</v>
      </c>
      <c r="F1145" t="s">
        <v>7339</v>
      </c>
      <c r="G1145" t="s">
        <v>7340</v>
      </c>
      <c r="I1145" t="s">
        <v>2809</v>
      </c>
    </row>
    <row r="1146" spans="1:9" x14ac:dyDescent="0.25">
      <c r="A1146" t="s">
        <v>2105</v>
      </c>
      <c r="B1146" t="s">
        <v>3966</v>
      </c>
      <c r="C1146" s="167">
        <v>187.5</v>
      </c>
      <c r="D1146" t="s">
        <v>21</v>
      </c>
      <c r="E1146" t="s">
        <v>1703</v>
      </c>
      <c r="F1146" t="s">
        <v>7339</v>
      </c>
      <c r="G1146" t="s">
        <v>7340</v>
      </c>
      <c r="I1146" t="s">
        <v>2809</v>
      </c>
    </row>
    <row r="1147" spans="1:9" x14ac:dyDescent="0.25">
      <c r="A1147" t="s">
        <v>2108</v>
      </c>
      <c r="B1147" t="s">
        <v>3969</v>
      </c>
      <c r="C1147" s="167">
        <v>187.5</v>
      </c>
      <c r="D1147" t="s">
        <v>563</v>
      </c>
      <c r="E1147" t="s">
        <v>1703</v>
      </c>
      <c r="F1147" t="s">
        <v>7339</v>
      </c>
      <c r="G1147" t="s">
        <v>7340</v>
      </c>
      <c r="I1147" t="s">
        <v>2809</v>
      </c>
    </row>
    <row r="1148" spans="1:9" x14ac:dyDescent="0.25">
      <c r="A1148" t="s">
        <v>2111</v>
      </c>
      <c r="B1148" t="s">
        <v>3972</v>
      </c>
      <c r="C1148" s="167">
        <v>187.5</v>
      </c>
      <c r="D1148" t="s">
        <v>671</v>
      </c>
      <c r="E1148" t="s">
        <v>1703</v>
      </c>
      <c r="F1148" t="s">
        <v>7339</v>
      </c>
      <c r="G1148" t="s">
        <v>7340</v>
      </c>
      <c r="I1148" t="s">
        <v>2809</v>
      </c>
    </row>
    <row r="1149" spans="1:9" x14ac:dyDescent="0.25">
      <c r="A1149" t="s">
        <v>2112</v>
      </c>
      <c r="B1149" t="s">
        <v>3973</v>
      </c>
      <c r="C1149" s="167">
        <v>220.55</v>
      </c>
      <c r="D1149" t="s">
        <v>21</v>
      </c>
      <c r="E1149" t="s">
        <v>1701</v>
      </c>
      <c r="F1149" t="s">
        <v>7341</v>
      </c>
      <c r="G1149" t="s">
        <v>7340</v>
      </c>
      <c r="I1149" t="s">
        <v>2809</v>
      </c>
    </row>
    <row r="1150" spans="1:9" x14ac:dyDescent="0.25">
      <c r="A1150" t="s">
        <v>2115</v>
      </c>
      <c r="B1150" t="s">
        <v>3976</v>
      </c>
      <c r="C1150" s="167">
        <v>220.55</v>
      </c>
      <c r="D1150" t="s">
        <v>563</v>
      </c>
      <c r="E1150" t="s">
        <v>1701</v>
      </c>
      <c r="F1150" t="s">
        <v>7341</v>
      </c>
      <c r="G1150" t="s">
        <v>7340</v>
      </c>
      <c r="I1150" t="s">
        <v>2809</v>
      </c>
    </row>
    <row r="1151" spans="1:9" x14ac:dyDescent="0.25">
      <c r="A1151" t="s">
        <v>2118</v>
      </c>
      <c r="B1151" t="s">
        <v>3979</v>
      </c>
      <c r="C1151" s="167">
        <v>220.55</v>
      </c>
      <c r="D1151" t="s">
        <v>671</v>
      </c>
      <c r="E1151" t="s">
        <v>1701</v>
      </c>
      <c r="F1151" t="s">
        <v>7341</v>
      </c>
      <c r="G1151" t="s">
        <v>7340</v>
      </c>
      <c r="I1151" t="s">
        <v>2809</v>
      </c>
    </row>
    <row r="1152" spans="1:9" x14ac:dyDescent="0.25">
      <c r="A1152" t="s">
        <v>2113</v>
      </c>
      <c r="B1152" t="s">
        <v>3974</v>
      </c>
      <c r="C1152" s="167">
        <v>220.55</v>
      </c>
      <c r="D1152" t="s">
        <v>21</v>
      </c>
      <c r="E1152" t="s">
        <v>1699</v>
      </c>
      <c r="F1152" t="s">
        <v>7341</v>
      </c>
      <c r="G1152" t="s">
        <v>7340</v>
      </c>
      <c r="I1152" t="s">
        <v>2809</v>
      </c>
    </row>
    <row r="1153" spans="1:9" x14ac:dyDescent="0.25">
      <c r="A1153" t="s">
        <v>2116</v>
      </c>
      <c r="B1153" t="s">
        <v>3977</v>
      </c>
      <c r="C1153" s="167">
        <v>220.55</v>
      </c>
      <c r="D1153" t="s">
        <v>563</v>
      </c>
      <c r="E1153" t="s">
        <v>1699</v>
      </c>
      <c r="F1153" t="s">
        <v>7341</v>
      </c>
      <c r="G1153" t="s">
        <v>7340</v>
      </c>
      <c r="I1153" t="s">
        <v>2809</v>
      </c>
    </row>
    <row r="1154" spans="1:9" x14ac:dyDescent="0.25">
      <c r="A1154" t="s">
        <v>2119</v>
      </c>
      <c r="B1154" t="s">
        <v>3980</v>
      </c>
      <c r="C1154" s="167">
        <v>220.55</v>
      </c>
      <c r="D1154" t="s">
        <v>671</v>
      </c>
      <c r="E1154" t="s">
        <v>1699</v>
      </c>
      <c r="F1154" t="s">
        <v>7341</v>
      </c>
      <c r="G1154" t="s">
        <v>7340</v>
      </c>
      <c r="I1154" t="s">
        <v>2809</v>
      </c>
    </row>
    <row r="1155" spans="1:9" x14ac:dyDescent="0.25">
      <c r="A1155" t="s">
        <v>2114</v>
      </c>
      <c r="B1155" t="s">
        <v>3975</v>
      </c>
      <c r="C1155" s="167">
        <v>220.55</v>
      </c>
      <c r="D1155" t="s">
        <v>21</v>
      </c>
      <c r="E1155" t="s">
        <v>1703</v>
      </c>
      <c r="F1155" t="s">
        <v>7341</v>
      </c>
      <c r="G1155" t="s">
        <v>7340</v>
      </c>
      <c r="I1155" t="s">
        <v>2809</v>
      </c>
    </row>
    <row r="1156" spans="1:9" x14ac:dyDescent="0.25">
      <c r="A1156" t="s">
        <v>2117</v>
      </c>
      <c r="B1156" t="s">
        <v>3978</v>
      </c>
      <c r="C1156" s="167">
        <v>220.55</v>
      </c>
      <c r="D1156" t="s">
        <v>563</v>
      </c>
      <c r="E1156" t="s">
        <v>1703</v>
      </c>
      <c r="F1156" t="s">
        <v>7341</v>
      </c>
      <c r="G1156" t="s">
        <v>7340</v>
      </c>
      <c r="I1156" t="s">
        <v>2809</v>
      </c>
    </row>
    <row r="1157" spans="1:9" x14ac:dyDescent="0.25">
      <c r="A1157" t="s">
        <v>2120</v>
      </c>
      <c r="B1157" t="s">
        <v>3981</v>
      </c>
      <c r="C1157" s="167">
        <v>220.55</v>
      </c>
      <c r="D1157" t="s">
        <v>671</v>
      </c>
      <c r="E1157" t="s">
        <v>1703</v>
      </c>
      <c r="F1157" t="s">
        <v>7341</v>
      </c>
      <c r="G1157" t="s">
        <v>7340</v>
      </c>
      <c r="I1157" t="s">
        <v>2809</v>
      </c>
    </row>
    <row r="1158" spans="1:9" x14ac:dyDescent="0.25">
      <c r="A1158" t="s">
        <v>2121</v>
      </c>
      <c r="B1158" t="s">
        <v>3982</v>
      </c>
      <c r="C1158" s="167">
        <v>247</v>
      </c>
      <c r="D1158" t="s">
        <v>21</v>
      </c>
      <c r="E1158" t="s">
        <v>1701</v>
      </c>
      <c r="F1158" t="s">
        <v>7344</v>
      </c>
      <c r="G1158" t="s">
        <v>7340</v>
      </c>
      <c r="I1158" t="s">
        <v>2809</v>
      </c>
    </row>
    <row r="1159" spans="1:9" x14ac:dyDescent="0.25">
      <c r="A1159" t="s">
        <v>2124</v>
      </c>
      <c r="B1159" t="s">
        <v>3985</v>
      </c>
      <c r="C1159" s="167">
        <v>247</v>
      </c>
      <c r="D1159" t="s">
        <v>563</v>
      </c>
      <c r="E1159" t="s">
        <v>1701</v>
      </c>
      <c r="F1159" t="s">
        <v>7344</v>
      </c>
      <c r="G1159" t="s">
        <v>7340</v>
      </c>
      <c r="I1159" t="s">
        <v>2809</v>
      </c>
    </row>
    <row r="1160" spans="1:9" x14ac:dyDescent="0.25">
      <c r="A1160" t="s">
        <v>2127</v>
      </c>
      <c r="B1160" t="s">
        <v>3988</v>
      </c>
      <c r="C1160" s="167">
        <v>247</v>
      </c>
      <c r="D1160" t="s">
        <v>671</v>
      </c>
      <c r="E1160" t="s">
        <v>1701</v>
      </c>
      <c r="F1160" t="s">
        <v>7344</v>
      </c>
      <c r="G1160" t="s">
        <v>7340</v>
      </c>
      <c r="I1160" t="s">
        <v>2809</v>
      </c>
    </row>
    <row r="1161" spans="1:9" x14ac:dyDescent="0.25">
      <c r="A1161" t="s">
        <v>2122</v>
      </c>
      <c r="B1161" t="s">
        <v>3983</v>
      </c>
      <c r="C1161" s="167">
        <v>247</v>
      </c>
      <c r="D1161" t="s">
        <v>21</v>
      </c>
      <c r="E1161" t="s">
        <v>1699</v>
      </c>
      <c r="F1161" t="s">
        <v>7344</v>
      </c>
      <c r="G1161" t="s">
        <v>7340</v>
      </c>
      <c r="I1161" t="s">
        <v>2809</v>
      </c>
    </row>
    <row r="1162" spans="1:9" x14ac:dyDescent="0.25">
      <c r="A1162" t="s">
        <v>2125</v>
      </c>
      <c r="B1162" t="s">
        <v>3986</v>
      </c>
      <c r="C1162" s="167">
        <v>247</v>
      </c>
      <c r="D1162" t="s">
        <v>563</v>
      </c>
      <c r="E1162" t="s">
        <v>1699</v>
      </c>
      <c r="F1162" t="s">
        <v>7344</v>
      </c>
      <c r="G1162" t="s">
        <v>7340</v>
      </c>
      <c r="I1162" t="s">
        <v>2809</v>
      </c>
    </row>
    <row r="1163" spans="1:9" x14ac:dyDescent="0.25">
      <c r="A1163" t="s">
        <v>2128</v>
      </c>
      <c r="B1163" t="s">
        <v>3989</v>
      </c>
      <c r="C1163" s="167">
        <v>247</v>
      </c>
      <c r="D1163" t="s">
        <v>671</v>
      </c>
      <c r="E1163" t="s">
        <v>1699</v>
      </c>
      <c r="F1163" t="s">
        <v>7344</v>
      </c>
      <c r="G1163" t="s">
        <v>7340</v>
      </c>
      <c r="I1163" t="s">
        <v>2809</v>
      </c>
    </row>
    <row r="1164" spans="1:9" x14ac:dyDescent="0.25">
      <c r="A1164" t="s">
        <v>2123</v>
      </c>
      <c r="B1164" t="s">
        <v>3984</v>
      </c>
      <c r="C1164" s="167">
        <v>247</v>
      </c>
      <c r="D1164" t="s">
        <v>21</v>
      </c>
      <c r="E1164" t="s">
        <v>1703</v>
      </c>
      <c r="F1164" t="s">
        <v>7344</v>
      </c>
      <c r="G1164" t="s">
        <v>7340</v>
      </c>
      <c r="I1164" t="s">
        <v>2809</v>
      </c>
    </row>
    <row r="1165" spans="1:9" x14ac:dyDescent="0.25">
      <c r="A1165" t="s">
        <v>2126</v>
      </c>
      <c r="B1165" t="s">
        <v>3987</v>
      </c>
      <c r="C1165" s="167">
        <v>247</v>
      </c>
      <c r="D1165" t="s">
        <v>563</v>
      </c>
      <c r="E1165" t="s">
        <v>1703</v>
      </c>
      <c r="F1165" t="s">
        <v>7344</v>
      </c>
      <c r="G1165" t="s">
        <v>7340</v>
      </c>
      <c r="I1165" t="s">
        <v>2809</v>
      </c>
    </row>
    <row r="1166" spans="1:9" x14ac:dyDescent="0.25">
      <c r="A1166" t="s">
        <v>2129</v>
      </c>
      <c r="B1166" t="s">
        <v>3990</v>
      </c>
      <c r="C1166" s="167">
        <v>247</v>
      </c>
      <c r="D1166" t="s">
        <v>671</v>
      </c>
      <c r="E1166" t="s">
        <v>1703</v>
      </c>
      <c r="F1166" t="s">
        <v>7344</v>
      </c>
      <c r="G1166" t="s">
        <v>7340</v>
      </c>
      <c r="I1166" t="s">
        <v>2809</v>
      </c>
    </row>
    <row r="1167" spans="1:9" x14ac:dyDescent="0.25">
      <c r="A1167" t="s">
        <v>2130</v>
      </c>
      <c r="B1167" t="s">
        <v>3991</v>
      </c>
      <c r="C1167" s="167">
        <v>280.06</v>
      </c>
      <c r="D1167" t="s">
        <v>21</v>
      </c>
      <c r="E1167" t="s">
        <v>1701</v>
      </c>
      <c r="F1167" t="s">
        <v>7343</v>
      </c>
      <c r="G1167" t="s">
        <v>7340</v>
      </c>
      <c r="I1167" t="s">
        <v>2809</v>
      </c>
    </row>
    <row r="1168" spans="1:9" x14ac:dyDescent="0.25">
      <c r="A1168" t="s">
        <v>2133</v>
      </c>
      <c r="B1168" t="s">
        <v>3994</v>
      </c>
      <c r="C1168" s="167">
        <v>280.06</v>
      </c>
      <c r="D1168" t="s">
        <v>563</v>
      </c>
      <c r="E1168" t="s">
        <v>1701</v>
      </c>
      <c r="F1168" t="s">
        <v>7343</v>
      </c>
      <c r="G1168" t="s">
        <v>7340</v>
      </c>
      <c r="I1168" t="s">
        <v>2809</v>
      </c>
    </row>
    <row r="1169" spans="1:9" x14ac:dyDescent="0.25">
      <c r="A1169" t="s">
        <v>2136</v>
      </c>
      <c r="B1169" t="s">
        <v>3997</v>
      </c>
      <c r="C1169" s="167">
        <v>280.06</v>
      </c>
      <c r="D1169" t="s">
        <v>671</v>
      </c>
      <c r="E1169" t="s">
        <v>1701</v>
      </c>
      <c r="F1169" t="s">
        <v>7343</v>
      </c>
      <c r="G1169" t="s">
        <v>7340</v>
      </c>
      <c r="I1169" t="s">
        <v>2809</v>
      </c>
    </row>
    <row r="1170" spans="1:9" x14ac:dyDescent="0.25">
      <c r="A1170" t="s">
        <v>2131</v>
      </c>
      <c r="B1170" t="s">
        <v>3992</v>
      </c>
      <c r="C1170" s="167">
        <v>280.06</v>
      </c>
      <c r="D1170" t="s">
        <v>21</v>
      </c>
      <c r="E1170" t="s">
        <v>1699</v>
      </c>
      <c r="F1170" t="s">
        <v>7343</v>
      </c>
      <c r="G1170" t="s">
        <v>7340</v>
      </c>
      <c r="I1170" t="s">
        <v>2809</v>
      </c>
    </row>
    <row r="1171" spans="1:9" x14ac:dyDescent="0.25">
      <c r="A1171" t="s">
        <v>2134</v>
      </c>
      <c r="B1171" t="s">
        <v>3995</v>
      </c>
      <c r="C1171" s="167">
        <v>280.06</v>
      </c>
      <c r="D1171" t="s">
        <v>563</v>
      </c>
      <c r="E1171" t="s">
        <v>1699</v>
      </c>
      <c r="F1171" t="s">
        <v>7343</v>
      </c>
      <c r="G1171" t="s">
        <v>7340</v>
      </c>
      <c r="I1171" t="s">
        <v>2809</v>
      </c>
    </row>
    <row r="1172" spans="1:9" x14ac:dyDescent="0.25">
      <c r="A1172" t="s">
        <v>2137</v>
      </c>
      <c r="B1172" t="s">
        <v>3998</v>
      </c>
      <c r="C1172" s="167">
        <v>280.06</v>
      </c>
      <c r="D1172" t="s">
        <v>671</v>
      </c>
      <c r="E1172" t="s">
        <v>1699</v>
      </c>
      <c r="F1172" t="s">
        <v>7343</v>
      </c>
      <c r="G1172" t="s">
        <v>7340</v>
      </c>
      <c r="I1172" t="s">
        <v>2809</v>
      </c>
    </row>
    <row r="1173" spans="1:9" x14ac:dyDescent="0.25">
      <c r="A1173" t="s">
        <v>2132</v>
      </c>
      <c r="B1173" t="s">
        <v>3993</v>
      </c>
      <c r="C1173" s="167">
        <v>280.06</v>
      </c>
      <c r="D1173" t="s">
        <v>21</v>
      </c>
      <c r="E1173" t="s">
        <v>1703</v>
      </c>
      <c r="F1173" t="s">
        <v>7343</v>
      </c>
      <c r="G1173" t="s">
        <v>7340</v>
      </c>
      <c r="I1173" t="s">
        <v>2809</v>
      </c>
    </row>
    <row r="1174" spans="1:9" x14ac:dyDescent="0.25">
      <c r="A1174" t="s">
        <v>2135</v>
      </c>
      <c r="B1174" t="s">
        <v>3996</v>
      </c>
      <c r="C1174" s="167">
        <v>280.06</v>
      </c>
      <c r="D1174" t="s">
        <v>563</v>
      </c>
      <c r="E1174" t="s">
        <v>1703</v>
      </c>
      <c r="F1174" t="s">
        <v>7343</v>
      </c>
      <c r="G1174" t="s">
        <v>7340</v>
      </c>
      <c r="I1174" t="s">
        <v>2809</v>
      </c>
    </row>
    <row r="1175" spans="1:9" x14ac:dyDescent="0.25">
      <c r="A1175" t="s">
        <v>2138</v>
      </c>
      <c r="B1175" t="s">
        <v>3999</v>
      </c>
      <c r="C1175" s="167">
        <v>280.06</v>
      </c>
      <c r="D1175" t="s">
        <v>671</v>
      </c>
      <c r="E1175" t="s">
        <v>1703</v>
      </c>
      <c r="F1175" t="s">
        <v>7343</v>
      </c>
      <c r="G1175" t="s">
        <v>7340</v>
      </c>
      <c r="I1175" t="s">
        <v>2809</v>
      </c>
    </row>
    <row r="1176" spans="1:9" x14ac:dyDescent="0.25">
      <c r="A1176" t="s">
        <v>2139</v>
      </c>
      <c r="B1176" t="s">
        <v>4000</v>
      </c>
      <c r="C1176" s="167">
        <v>161.07</v>
      </c>
      <c r="D1176" t="s">
        <v>21</v>
      </c>
      <c r="E1176" t="s">
        <v>1701</v>
      </c>
      <c r="F1176" t="s">
        <v>7339</v>
      </c>
      <c r="G1176" t="s">
        <v>7340</v>
      </c>
      <c r="I1176" t="s">
        <v>2809</v>
      </c>
    </row>
    <row r="1177" spans="1:9" x14ac:dyDescent="0.25">
      <c r="A1177" t="s">
        <v>2142</v>
      </c>
      <c r="B1177" t="s">
        <v>4003</v>
      </c>
      <c r="C1177" s="167">
        <v>161.07</v>
      </c>
      <c r="D1177" t="s">
        <v>563</v>
      </c>
      <c r="E1177" t="s">
        <v>1701</v>
      </c>
      <c r="F1177" t="s">
        <v>7339</v>
      </c>
      <c r="G1177" t="s">
        <v>7340</v>
      </c>
      <c r="I1177" t="s">
        <v>2809</v>
      </c>
    </row>
    <row r="1178" spans="1:9" x14ac:dyDescent="0.25">
      <c r="A1178" t="s">
        <v>2145</v>
      </c>
      <c r="B1178" t="s">
        <v>4006</v>
      </c>
      <c r="C1178" s="167">
        <v>161.07</v>
      </c>
      <c r="D1178" t="s">
        <v>671</v>
      </c>
      <c r="E1178" t="s">
        <v>1701</v>
      </c>
      <c r="F1178" t="s">
        <v>7339</v>
      </c>
      <c r="G1178" t="s">
        <v>7340</v>
      </c>
      <c r="I1178" t="s">
        <v>2809</v>
      </c>
    </row>
    <row r="1179" spans="1:9" x14ac:dyDescent="0.25">
      <c r="A1179" t="s">
        <v>2140</v>
      </c>
      <c r="B1179" t="s">
        <v>4001</v>
      </c>
      <c r="C1179" s="167">
        <v>161.07</v>
      </c>
      <c r="D1179" t="s">
        <v>21</v>
      </c>
      <c r="E1179" t="s">
        <v>1699</v>
      </c>
      <c r="F1179" t="s">
        <v>7339</v>
      </c>
      <c r="G1179" t="s">
        <v>7340</v>
      </c>
      <c r="I1179" t="s">
        <v>2809</v>
      </c>
    </row>
    <row r="1180" spans="1:9" x14ac:dyDescent="0.25">
      <c r="A1180" t="s">
        <v>2143</v>
      </c>
      <c r="B1180" t="s">
        <v>4004</v>
      </c>
      <c r="C1180" s="167">
        <v>161.07</v>
      </c>
      <c r="D1180" t="s">
        <v>563</v>
      </c>
      <c r="E1180" t="s">
        <v>1699</v>
      </c>
      <c r="F1180" t="s">
        <v>7339</v>
      </c>
      <c r="G1180" t="s">
        <v>7340</v>
      </c>
      <c r="I1180" t="s">
        <v>2809</v>
      </c>
    </row>
    <row r="1181" spans="1:9" x14ac:dyDescent="0.25">
      <c r="A1181" t="s">
        <v>2146</v>
      </c>
      <c r="B1181" t="s">
        <v>4007</v>
      </c>
      <c r="C1181" s="167">
        <v>161.07</v>
      </c>
      <c r="D1181" t="s">
        <v>671</v>
      </c>
      <c r="E1181" t="s">
        <v>1699</v>
      </c>
      <c r="F1181" t="s">
        <v>7339</v>
      </c>
      <c r="G1181" t="s">
        <v>7340</v>
      </c>
      <c r="I1181" t="s">
        <v>2809</v>
      </c>
    </row>
    <row r="1182" spans="1:9" x14ac:dyDescent="0.25">
      <c r="A1182" t="s">
        <v>2141</v>
      </c>
      <c r="B1182" t="s">
        <v>4002</v>
      </c>
      <c r="C1182" s="167">
        <v>161.07</v>
      </c>
      <c r="D1182" t="s">
        <v>21</v>
      </c>
      <c r="E1182" t="s">
        <v>1703</v>
      </c>
      <c r="F1182" t="s">
        <v>7339</v>
      </c>
      <c r="G1182" t="s">
        <v>7340</v>
      </c>
      <c r="I1182" t="s">
        <v>2809</v>
      </c>
    </row>
    <row r="1183" spans="1:9" x14ac:dyDescent="0.25">
      <c r="A1183" t="s">
        <v>2144</v>
      </c>
      <c r="B1183" t="s">
        <v>4005</v>
      </c>
      <c r="C1183" s="167">
        <v>161.07</v>
      </c>
      <c r="D1183" t="s">
        <v>563</v>
      </c>
      <c r="E1183" t="s">
        <v>1703</v>
      </c>
      <c r="F1183" t="s">
        <v>7339</v>
      </c>
      <c r="G1183" t="s">
        <v>7340</v>
      </c>
      <c r="I1183" t="s">
        <v>2809</v>
      </c>
    </row>
    <row r="1184" spans="1:9" x14ac:dyDescent="0.25">
      <c r="A1184" t="s">
        <v>2147</v>
      </c>
      <c r="B1184" t="s">
        <v>4008</v>
      </c>
      <c r="C1184" s="167">
        <v>161.07</v>
      </c>
      <c r="D1184" t="s">
        <v>671</v>
      </c>
      <c r="E1184" t="s">
        <v>1703</v>
      </c>
      <c r="F1184" t="s">
        <v>7339</v>
      </c>
      <c r="G1184" t="s">
        <v>7340</v>
      </c>
      <c r="I1184" t="s">
        <v>2809</v>
      </c>
    </row>
    <row r="1185" spans="1:9" x14ac:dyDescent="0.25">
      <c r="A1185" t="s">
        <v>2148</v>
      </c>
      <c r="B1185" t="s">
        <v>4009</v>
      </c>
      <c r="C1185" s="167">
        <v>187.5</v>
      </c>
      <c r="D1185" t="s">
        <v>21</v>
      </c>
      <c r="E1185" t="s">
        <v>1701</v>
      </c>
      <c r="F1185" t="s">
        <v>7341</v>
      </c>
      <c r="G1185" t="s">
        <v>7340</v>
      </c>
      <c r="I1185" t="s">
        <v>2809</v>
      </c>
    </row>
    <row r="1186" spans="1:9" x14ac:dyDescent="0.25">
      <c r="A1186" t="s">
        <v>2151</v>
      </c>
      <c r="B1186" t="s">
        <v>4012</v>
      </c>
      <c r="C1186" s="167">
        <v>187.5</v>
      </c>
      <c r="D1186" t="s">
        <v>563</v>
      </c>
      <c r="E1186" t="s">
        <v>1701</v>
      </c>
      <c r="F1186" t="s">
        <v>7341</v>
      </c>
      <c r="G1186" t="s">
        <v>7340</v>
      </c>
      <c r="I1186" t="s">
        <v>2809</v>
      </c>
    </row>
    <row r="1187" spans="1:9" x14ac:dyDescent="0.25">
      <c r="A1187" t="s">
        <v>2154</v>
      </c>
      <c r="B1187" t="s">
        <v>4015</v>
      </c>
      <c r="C1187" s="167">
        <v>187.5</v>
      </c>
      <c r="D1187" t="s">
        <v>671</v>
      </c>
      <c r="E1187" t="s">
        <v>1701</v>
      </c>
      <c r="F1187" t="s">
        <v>7341</v>
      </c>
      <c r="G1187" t="s">
        <v>7340</v>
      </c>
      <c r="I1187" t="s">
        <v>2809</v>
      </c>
    </row>
    <row r="1188" spans="1:9" x14ac:dyDescent="0.25">
      <c r="A1188" t="s">
        <v>2149</v>
      </c>
      <c r="B1188" t="s">
        <v>4010</v>
      </c>
      <c r="C1188" s="167">
        <v>187.5</v>
      </c>
      <c r="D1188" t="s">
        <v>21</v>
      </c>
      <c r="E1188" t="s">
        <v>1699</v>
      </c>
      <c r="F1188" t="s">
        <v>7341</v>
      </c>
      <c r="G1188" t="s">
        <v>7340</v>
      </c>
      <c r="I1188" t="s">
        <v>2809</v>
      </c>
    </row>
    <row r="1189" spans="1:9" x14ac:dyDescent="0.25">
      <c r="A1189" t="s">
        <v>2152</v>
      </c>
      <c r="B1189" t="s">
        <v>4013</v>
      </c>
      <c r="C1189" s="167">
        <v>187.5</v>
      </c>
      <c r="D1189" t="s">
        <v>563</v>
      </c>
      <c r="E1189" t="s">
        <v>1699</v>
      </c>
      <c r="F1189" t="s">
        <v>7341</v>
      </c>
      <c r="G1189" t="s">
        <v>7340</v>
      </c>
      <c r="I1189" t="s">
        <v>2809</v>
      </c>
    </row>
    <row r="1190" spans="1:9" x14ac:dyDescent="0.25">
      <c r="A1190" t="s">
        <v>2155</v>
      </c>
      <c r="B1190" t="s">
        <v>4016</v>
      </c>
      <c r="C1190" s="167">
        <v>187.5</v>
      </c>
      <c r="D1190" t="s">
        <v>671</v>
      </c>
      <c r="E1190" t="s">
        <v>1699</v>
      </c>
      <c r="F1190" t="s">
        <v>7341</v>
      </c>
      <c r="G1190" t="s">
        <v>7340</v>
      </c>
      <c r="I1190" t="s">
        <v>2809</v>
      </c>
    </row>
    <row r="1191" spans="1:9" x14ac:dyDescent="0.25">
      <c r="A1191" t="s">
        <v>2150</v>
      </c>
      <c r="B1191" t="s">
        <v>4011</v>
      </c>
      <c r="C1191" s="167">
        <v>187.5</v>
      </c>
      <c r="D1191" t="s">
        <v>21</v>
      </c>
      <c r="E1191" t="s">
        <v>1703</v>
      </c>
      <c r="F1191" t="s">
        <v>7341</v>
      </c>
      <c r="G1191" t="s">
        <v>7340</v>
      </c>
      <c r="I1191" t="s">
        <v>2809</v>
      </c>
    </row>
    <row r="1192" spans="1:9" x14ac:dyDescent="0.25">
      <c r="A1192" t="s">
        <v>2153</v>
      </c>
      <c r="B1192" t="s">
        <v>4014</v>
      </c>
      <c r="C1192" s="167">
        <v>187.5</v>
      </c>
      <c r="D1192" t="s">
        <v>563</v>
      </c>
      <c r="E1192" t="s">
        <v>1703</v>
      </c>
      <c r="F1192" t="s">
        <v>7341</v>
      </c>
      <c r="G1192" t="s">
        <v>7340</v>
      </c>
      <c r="I1192" t="s">
        <v>2809</v>
      </c>
    </row>
    <row r="1193" spans="1:9" x14ac:dyDescent="0.25">
      <c r="A1193" t="s">
        <v>2156</v>
      </c>
      <c r="B1193" t="s">
        <v>4017</v>
      </c>
      <c r="C1193" s="167">
        <v>187.5</v>
      </c>
      <c r="D1193" t="s">
        <v>671</v>
      </c>
      <c r="E1193" t="s">
        <v>1703</v>
      </c>
      <c r="F1193" t="s">
        <v>7341</v>
      </c>
      <c r="G1193" t="s">
        <v>7340</v>
      </c>
      <c r="I1193" t="s">
        <v>2809</v>
      </c>
    </row>
    <row r="1194" spans="1:9" x14ac:dyDescent="0.25">
      <c r="A1194" t="s">
        <v>2157</v>
      </c>
      <c r="B1194" t="s">
        <v>4018</v>
      </c>
      <c r="C1194" s="167">
        <v>207.33</v>
      </c>
      <c r="D1194" t="s">
        <v>21</v>
      </c>
      <c r="E1194" t="s">
        <v>1701</v>
      </c>
      <c r="F1194" t="s">
        <v>7344</v>
      </c>
      <c r="G1194" t="s">
        <v>7340</v>
      </c>
      <c r="I1194" t="s">
        <v>2809</v>
      </c>
    </row>
    <row r="1195" spans="1:9" x14ac:dyDescent="0.25">
      <c r="A1195" t="s">
        <v>2160</v>
      </c>
      <c r="B1195" t="s">
        <v>4021</v>
      </c>
      <c r="C1195" s="167">
        <v>207.33</v>
      </c>
      <c r="D1195" t="s">
        <v>563</v>
      </c>
      <c r="E1195" t="s">
        <v>1701</v>
      </c>
      <c r="F1195" t="s">
        <v>7344</v>
      </c>
      <c r="G1195" t="s">
        <v>7340</v>
      </c>
      <c r="I1195" t="s">
        <v>2809</v>
      </c>
    </row>
    <row r="1196" spans="1:9" x14ac:dyDescent="0.25">
      <c r="A1196" t="s">
        <v>2163</v>
      </c>
      <c r="B1196" t="s">
        <v>4024</v>
      </c>
      <c r="C1196" s="167">
        <v>207.33</v>
      </c>
      <c r="D1196" t="s">
        <v>671</v>
      </c>
      <c r="E1196" t="s">
        <v>1701</v>
      </c>
      <c r="F1196" t="s">
        <v>7344</v>
      </c>
      <c r="G1196" t="s">
        <v>7340</v>
      </c>
      <c r="I1196" t="s">
        <v>2809</v>
      </c>
    </row>
    <row r="1197" spans="1:9" x14ac:dyDescent="0.25">
      <c r="A1197" t="s">
        <v>2158</v>
      </c>
      <c r="B1197" t="s">
        <v>4019</v>
      </c>
      <c r="C1197" s="167">
        <v>207.33</v>
      </c>
      <c r="D1197" t="s">
        <v>21</v>
      </c>
      <c r="E1197" t="s">
        <v>1699</v>
      </c>
      <c r="F1197" t="s">
        <v>7344</v>
      </c>
      <c r="G1197" t="s">
        <v>7340</v>
      </c>
      <c r="I1197" t="s">
        <v>2809</v>
      </c>
    </row>
    <row r="1198" spans="1:9" x14ac:dyDescent="0.25">
      <c r="A1198" t="s">
        <v>2161</v>
      </c>
      <c r="B1198" t="s">
        <v>4022</v>
      </c>
      <c r="C1198" s="167">
        <v>207.33</v>
      </c>
      <c r="D1198" t="s">
        <v>563</v>
      </c>
      <c r="E1198" t="s">
        <v>1699</v>
      </c>
      <c r="F1198" t="s">
        <v>7344</v>
      </c>
      <c r="G1198" t="s">
        <v>7340</v>
      </c>
      <c r="I1198" t="s">
        <v>2809</v>
      </c>
    </row>
    <row r="1199" spans="1:9" x14ac:dyDescent="0.25">
      <c r="A1199" t="s">
        <v>2164</v>
      </c>
      <c r="B1199" t="s">
        <v>4025</v>
      </c>
      <c r="C1199" s="167">
        <v>207.33</v>
      </c>
      <c r="D1199" t="s">
        <v>671</v>
      </c>
      <c r="E1199" t="s">
        <v>1699</v>
      </c>
      <c r="F1199" t="s">
        <v>7344</v>
      </c>
      <c r="G1199" t="s">
        <v>7340</v>
      </c>
      <c r="I1199" t="s">
        <v>2809</v>
      </c>
    </row>
    <row r="1200" spans="1:9" x14ac:dyDescent="0.25">
      <c r="A1200" t="s">
        <v>2159</v>
      </c>
      <c r="B1200" t="s">
        <v>4020</v>
      </c>
      <c r="C1200" s="167">
        <v>207.33</v>
      </c>
      <c r="D1200" t="s">
        <v>21</v>
      </c>
      <c r="E1200" t="s">
        <v>1703</v>
      </c>
      <c r="F1200" t="s">
        <v>7344</v>
      </c>
      <c r="G1200" t="s">
        <v>7340</v>
      </c>
      <c r="I1200" t="s">
        <v>2809</v>
      </c>
    </row>
    <row r="1201" spans="1:9" x14ac:dyDescent="0.25">
      <c r="A1201" t="s">
        <v>2162</v>
      </c>
      <c r="B1201" t="s">
        <v>4023</v>
      </c>
      <c r="C1201" s="167">
        <v>207.33</v>
      </c>
      <c r="D1201" t="s">
        <v>563</v>
      </c>
      <c r="E1201" t="s">
        <v>1703</v>
      </c>
      <c r="F1201" t="s">
        <v>7344</v>
      </c>
      <c r="G1201" t="s">
        <v>7340</v>
      </c>
      <c r="I1201" t="s">
        <v>2809</v>
      </c>
    </row>
    <row r="1202" spans="1:9" x14ac:dyDescent="0.25">
      <c r="A1202" t="s">
        <v>2165</v>
      </c>
      <c r="B1202" t="s">
        <v>4026</v>
      </c>
      <c r="C1202" s="167">
        <v>207.33</v>
      </c>
      <c r="D1202" t="s">
        <v>671</v>
      </c>
      <c r="E1202" t="s">
        <v>1703</v>
      </c>
      <c r="F1202" t="s">
        <v>7344</v>
      </c>
      <c r="G1202" t="s">
        <v>7340</v>
      </c>
      <c r="I1202" t="s">
        <v>2809</v>
      </c>
    </row>
    <row r="1203" spans="1:9" x14ac:dyDescent="0.25">
      <c r="A1203" t="s">
        <v>2166</v>
      </c>
      <c r="B1203" t="s">
        <v>4027</v>
      </c>
      <c r="C1203" s="167">
        <v>233.78</v>
      </c>
      <c r="D1203" t="s">
        <v>21</v>
      </c>
      <c r="E1203" t="s">
        <v>1701</v>
      </c>
      <c r="F1203" t="s">
        <v>7343</v>
      </c>
      <c r="G1203" t="s">
        <v>7340</v>
      </c>
      <c r="I1203" t="s">
        <v>2809</v>
      </c>
    </row>
    <row r="1204" spans="1:9" x14ac:dyDescent="0.25">
      <c r="A1204" t="s">
        <v>2169</v>
      </c>
      <c r="B1204" t="s">
        <v>4030</v>
      </c>
      <c r="C1204" s="167">
        <v>233.78</v>
      </c>
      <c r="D1204" t="s">
        <v>563</v>
      </c>
      <c r="E1204" t="s">
        <v>1701</v>
      </c>
      <c r="F1204" t="s">
        <v>7343</v>
      </c>
      <c r="G1204" t="s">
        <v>7340</v>
      </c>
      <c r="I1204" t="s">
        <v>2809</v>
      </c>
    </row>
    <row r="1205" spans="1:9" x14ac:dyDescent="0.25">
      <c r="A1205" t="s">
        <v>2172</v>
      </c>
      <c r="B1205" t="s">
        <v>4033</v>
      </c>
      <c r="C1205" s="167">
        <v>233.78</v>
      </c>
      <c r="D1205" t="s">
        <v>671</v>
      </c>
      <c r="E1205" t="s">
        <v>1701</v>
      </c>
      <c r="F1205" t="s">
        <v>7343</v>
      </c>
      <c r="G1205" t="s">
        <v>7340</v>
      </c>
      <c r="I1205" t="s">
        <v>2809</v>
      </c>
    </row>
    <row r="1206" spans="1:9" x14ac:dyDescent="0.25">
      <c r="A1206" t="s">
        <v>2167</v>
      </c>
      <c r="B1206" t="s">
        <v>4028</v>
      </c>
      <c r="C1206" s="167">
        <v>233.78</v>
      </c>
      <c r="D1206" t="s">
        <v>21</v>
      </c>
      <c r="E1206" t="s">
        <v>1699</v>
      </c>
      <c r="F1206" t="s">
        <v>7343</v>
      </c>
      <c r="G1206" t="s">
        <v>7340</v>
      </c>
      <c r="I1206" t="s">
        <v>2809</v>
      </c>
    </row>
    <row r="1207" spans="1:9" x14ac:dyDescent="0.25">
      <c r="A1207" t="s">
        <v>2170</v>
      </c>
      <c r="B1207" t="s">
        <v>4031</v>
      </c>
      <c r="C1207" s="167">
        <v>233.78</v>
      </c>
      <c r="D1207" t="s">
        <v>563</v>
      </c>
      <c r="E1207" t="s">
        <v>1699</v>
      </c>
      <c r="F1207" t="s">
        <v>7343</v>
      </c>
      <c r="G1207" t="s">
        <v>7340</v>
      </c>
      <c r="I1207" t="s">
        <v>2809</v>
      </c>
    </row>
    <row r="1208" spans="1:9" x14ac:dyDescent="0.25">
      <c r="A1208" t="s">
        <v>2173</v>
      </c>
      <c r="B1208" t="s">
        <v>4034</v>
      </c>
      <c r="C1208" s="167">
        <v>233.78</v>
      </c>
      <c r="D1208" t="s">
        <v>671</v>
      </c>
      <c r="E1208" t="s">
        <v>1699</v>
      </c>
      <c r="F1208" t="s">
        <v>7343</v>
      </c>
      <c r="G1208" t="s">
        <v>7340</v>
      </c>
      <c r="I1208" t="s">
        <v>2809</v>
      </c>
    </row>
    <row r="1209" spans="1:9" x14ac:dyDescent="0.25">
      <c r="A1209" t="s">
        <v>2168</v>
      </c>
      <c r="B1209" t="s">
        <v>4029</v>
      </c>
      <c r="C1209" s="167">
        <v>233.78</v>
      </c>
      <c r="D1209" t="s">
        <v>21</v>
      </c>
      <c r="E1209" t="s">
        <v>1703</v>
      </c>
      <c r="F1209" t="s">
        <v>7343</v>
      </c>
      <c r="G1209" t="s">
        <v>7340</v>
      </c>
      <c r="I1209" t="s">
        <v>2809</v>
      </c>
    </row>
    <row r="1210" spans="1:9" x14ac:dyDescent="0.25">
      <c r="A1210" t="s">
        <v>2171</v>
      </c>
      <c r="B1210" t="s">
        <v>4032</v>
      </c>
      <c r="C1210" s="167">
        <v>233.78</v>
      </c>
      <c r="D1210" t="s">
        <v>563</v>
      </c>
      <c r="E1210" t="s">
        <v>1703</v>
      </c>
      <c r="F1210" t="s">
        <v>7343</v>
      </c>
      <c r="G1210" t="s">
        <v>7340</v>
      </c>
      <c r="I1210" t="s">
        <v>2809</v>
      </c>
    </row>
    <row r="1211" spans="1:9" x14ac:dyDescent="0.25">
      <c r="A1211" t="s">
        <v>2174</v>
      </c>
      <c r="B1211" t="s">
        <v>4035</v>
      </c>
      <c r="C1211" s="167">
        <v>233.78</v>
      </c>
      <c r="D1211" t="s">
        <v>671</v>
      </c>
      <c r="E1211" t="s">
        <v>1703</v>
      </c>
      <c r="F1211" t="s">
        <v>7343</v>
      </c>
      <c r="G1211" t="s">
        <v>7340</v>
      </c>
      <c r="I1211" t="s">
        <v>2809</v>
      </c>
    </row>
    <row r="1212" spans="1:9" x14ac:dyDescent="0.25">
      <c r="A1212" t="s">
        <v>2175</v>
      </c>
      <c r="B1212" t="s">
        <v>4036</v>
      </c>
      <c r="C1212" s="167">
        <v>200.73</v>
      </c>
      <c r="D1212" t="s">
        <v>21</v>
      </c>
      <c r="E1212" t="s">
        <v>1701</v>
      </c>
      <c r="F1212" t="s">
        <v>7344</v>
      </c>
      <c r="G1212" t="s">
        <v>7340</v>
      </c>
      <c r="I1212" t="s">
        <v>2809</v>
      </c>
    </row>
    <row r="1213" spans="1:9" x14ac:dyDescent="0.25">
      <c r="A1213" t="s">
        <v>2178</v>
      </c>
      <c r="B1213" t="s">
        <v>4039</v>
      </c>
      <c r="C1213" s="167">
        <v>200.73</v>
      </c>
      <c r="D1213" t="s">
        <v>563</v>
      </c>
      <c r="E1213" t="s">
        <v>1701</v>
      </c>
      <c r="F1213" t="s">
        <v>7344</v>
      </c>
      <c r="G1213" t="s">
        <v>7340</v>
      </c>
      <c r="I1213" t="s">
        <v>2809</v>
      </c>
    </row>
    <row r="1214" spans="1:9" x14ac:dyDescent="0.25">
      <c r="A1214" t="s">
        <v>2181</v>
      </c>
      <c r="B1214" t="s">
        <v>4042</v>
      </c>
      <c r="C1214" s="167">
        <v>200.73</v>
      </c>
      <c r="D1214" t="s">
        <v>671</v>
      </c>
      <c r="E1214" t="s">
        <v>1701</v>
      </c>
      <c r="F1214" t="s">
        <v>7344</v>
      </c>
      <c r="G1214" t="s">
        <v>7340</v>
      </c>
      <c r="I1214" t="s">
        <v>2809</v>
      </c>
    </row>
    <row r="1215" spans="1:9" x14ac:dyDescent="0.25">
      <c r="A1215" t="s">
        <v>2176</v>
      </c>
      <c r="B1215" t="s">
        <v>4037</v>
      </c>
      <c r="C1215" s="167">
        <v>200.73</v>
      </c>
      <c r="D1215" t="s">
        <v>21</v>
      </c>
      <c r="E1215" t="s">
        <v>1699</v>
      </c>
      <c r="F1215" t="s">
        <v>7344</v>
      </c>
      <c r="G1215" t="s">
        <v>7340</v>
      </c>
      <c r="I1215" t="s">
        <v>2809</v>
      </c>
    </row>
    <row r="1216" spans="1:9" x14ac:dyDescent="0.25">
      <c r="A1216" t="s">
        <v>2179</v>
      </c>
      <c r="B1216" t="s">
        <v>4040</v>
      </c>
      <c r="C1216" s="167">
        <v>200.73</v>
      </c>
      <c r="D1216" t="s">
        <v>563</v>
      </c>
      <c r="E1216" t="s">
        <v>1699</v>
      </c>
      <c r="F1216" t="s">
        <v>7344</v>
      </c>
      <c r="G1216" t="s">
        <v>7340</v>
      </c>
      <c r="I1216" t="s">
        <v>2809</v>
      </c>
    </row>
    <row r="1217" spans="1:9" x14ac:dyDescent="0.25">
      <c r="A1217" t="s">
        <v>2182</v>
      </c>
      <c r="B1217" t="s">
        <v>4043</v>
      </c>
      <c r="C1217" s="167">
        <v>200.73</v>
      </c>
      <c r="D1217" t="s">
        <v>671</v>
      </c>
      <c r="E1217" t="s">
        <v>1699</v>
      </c>
      <c r="F1217" t="s">
        <v>7344</v>
      </c>
      <c r="G1217" t="s">
        <v>7340</v>
      </c>
      <c r="I1217" t="s">
        <v>2809</v>
      </c>
    </row>
    <row r="1218" spans="1:9" x14ac:dyDescent="0.25">
      <c r="A1218" t="s">
        <v>2177</v>
      </c>
      <c r="B1218" t="s">
        <v>4038</v>
      </c>
      <c r="C1218" s="167">
        <v>200.73</v>
      </c>
      <c r="D1218" t="s">
        <v>21</v>
      </c>
      <c r="E1218" t="s">
        <v>1703</v>
      </c>
      <c r="F1218" t="s">
        <v>7344</v>
      </c>
      <c r="G1218" t="s">
        <v>7340</v>
      </c>
      <c r="I1218" t="s">
        <v>2809</v>
      </c>
    </row>
    <row r="1219" spans="1:9" x14ac:dyDescent="0.25">
      <c r="A1219" t="s">
        <v>2180</v>
      </c>
      <c r="B1219" t="s">
        <v>4041</v>
      </c>
      <c r="C1219" s="167">
        <v>200.73</v>
      </c>
      <c r="D1219" t="s">
        <v>563</v>
      </c>
      <c r="E1219" t="s">
        <v>1703</v>
      </c>
      <c r="F1219" t="s">
        <v>7344</v>
      </c>
      <c r="G1219" t="s">
        <v>7340</v>
      </c>
      <c r="I1219" t="s">
        <v>2809</v>
      </c>
    </row>
    <row r="1220" spans="1:9" x14ac:dyDescent="0.25">
      <c r="A1220" t="s">
        <v>2183</v>
      </c>
      <c r="B1220" t="s">
        <v>4044</v>
      </c>
      <c r="C1220" s="167">
        <v>200.73</v>
      </c>
      <c r="D1220" t="s">
        <v>671</v>
      </c>
      <c r="E1220" t="s">
        <v>1703</v>
      </c>
      <c r="F1220" t="s">
        <v>7344</v>
      </c>
      <c r="G1220" t="s">
        <v>7340</v>
      </c>
      <c r="I1220" t="s">
        <v>2809</v>
      </c>
    </row>
    <row r="1221" spans="1:9" x14ac:dyDescent="0.25">
      <c r="A1221" t="s">
        <v>2184</v>
      </c>
      <c r="B1221" t="s">
        <v>4045</v>
      </c>
      <c r="C1221" s="167">
        <v>240.39</v>
      </c>
      <c r="D1221" t="s">
        <v>21</v>
      </c>
      <c r="E1221" t="s">
        <v>1701</v>
      </c>
      <c r="F1221" t="s">
        <v>7343</v>
      </c>
      <c r="G1221" t="s">
        <v>7340</v>
      </c>
      <c r="I1221" t="s">
        <v>2809</v>
      </c>
    </row>
    <row r="1222" spans="1:9" x14ac:dyDescent="0.25">
      <c r="A1222" t="s">
        <v>2187</v>
      </c>
      <c r="B1222" t="s">
        <v>4048</v>
      </c>
      <c r="C1222" s="167">
        <v>240.39</v>
      </c>
      <c r="D1222" t="s">
        <v>563</v>
      </c>
      <c r="E1222" t="s">
        <v>1701</v>
      </c>
      <c r="F1222" t="s">
        <v>7343</v>
      </c>
      <c r="G1222" t="s">
        <v>7340</v>
      </c>
      <c r="I1222" t="s">
        <v>2809</v>
      </c>
    </row>
    <row r="1223" spans="1:9" x14ac:dyDescent="0.25">
      <c r="A1223" t="s">
        <v>2190</v>
      </c>
      <c r="B1223" t="s">
        <v>4051</v>
      </c>
      <c r="C1223" s="167">
        <v>240.39</v>
      </c>
      <c r="D1223" t="s">
        <v>671</v>
      </c>
      <c r="E1223" t="s">
        <v>1701</v>
      </c>
      <c r="F1223" t="s">
        <v>7343</v>
      </c>
      <c r="G1223" t="s">
        <v>7340</v>
      </c>
      <c r="I1223" t="s">
        <v>2809</v>
      </c>
    </row>
    <row r="1224" spans="1:9" x14ac:dyDescent="0.25">
      <c r="A1224" t="s">
        <v>2185</v>
      </c>
      <c r="B1224" t="s">
        <v>4046</v>
      </c>
      <c r="C1224" s="167">
        <v>240.39</v>
      </c>
      <c r="D1224" t="s">
        <v>21</v>
      </c>
      <c r="E1224" t="s">
        <v>1699</v>
      </c>
      <c r="F1224" t="s">
        <v>7343</v>
      </c>
      <c r="G1224" t="s">
        <v>7340</v>
      </c>
      <c r="I1224" t="s">
        <v>2809</v>
      </c>
    </row>
    <row r="1225" spans="1:9" x14ac:dyDescent="0.25">
      <c r="A1225" t="s">
        <v>2188</v>
      </c>
      <c r="B1225" t="s">
        <v>4049</v>
      </c>
      <c r="C1225" s="167">
        <v>240.39</v>
      </c>
      <c r="D1225" t="s">
        <v>563</v>
      </c>
      <c r="E1225" t="s">
        <v>1699</v>
      </c>
      <c r="F1225" t="s">
        <v>7343</v>
      </c>
      <c r="G1225" t="s">
        <v>7340</v>
      </c>
      <c r="I1225" t="s">
        <v>2809</v>
      </c>
    </row>
    <row r="1226" spans="1:9" x14ac:dyDescent="0.25">
      <c r="A1226" t="s">
        <v>2191</v>
      </c>
      <c r="B1226" t="s">
        <v>4052</v>
      </c>
      <c r="C1226" s="167">
        <v>240.39</v>
      </c>
      <c r="D1226" t="s">
        <v>671</v>
      </c>
      <c r="E1226" t="s">
        <v>1699</v>
      </c>
      <c r="F1226" t="s">
        <v>7343</v>
      </c>
      <c r="G1226" t="s">
        <v>7340</v>
      </c>
      <c r="I1226" t="s">
        <v>2809</v>
      </c>
    </row>
    <row r="1227" spans="1:9" x14ac:dyDescent="0.25">
      <c r="A1227" t="s">
        <v>2186</v>
      </c>
      <c r="B1227" t="s">
        <v>4047</v>
      </c>
      <c r="C1227" s="167">
        <v>240.39</v>
      </c>
      <c r="D1227" t="s">
        <v>21</v>
      </c>
      <c r="E1227" t="s">
        <v>1703</v>
      </c>
      <c r="F1227" t="s">
        <v>7343</v>
      </c>
      <c r="G1227" t="s">
        <v>7340</v>
      </c>
      <c r="I1227" t="s">
        <v>2809</v>
      </c>
    </row>
    <row r="1228" spans="1:9" x14ac:dyDescent="0.25">
      <c r="A1228" t="s">
        <v>2189</v>
      </c>
      <c r="B1228" t="s">
        <v>4050</v>
      </c>
      <c r="C1228" s="167">
        <v>240.39</v>
      </c>
      <c r="D1228" t="s">
        <v>563</v>
      </c>
      <c r="E1228" t="s">
        <v>1703</v>
      </c>
      <c r="F1228" t="s">
        <v>7343</v>
      </c>
      <c r="G1228" t="s">
        <v>7340</v>
      </c>
      <c r="I1228" t="s">
        <v>2809</v>
      </c>
    </row>
    <row r="1229" spans="1:9" x14ac:dyDescent="0.25">
      <c r="A1229" t="s">
        <v>2192</v>
      </c>
      <c r="B1229" t="s">
        <v>4053</v>
      </c>
      <c r="C1229" s="167">
        <v>240.39</v>
      </c>
      <c r="D1229" t="s">
        <v>671</v>
      </c>
      <c r="E1229" t="s">
        <v>1703</v>
      </c>
      <c r="F1229" t="s">
        <v>7343</v>
      </c>
      <c r="G1229" t="s">
        <v>7340</v>
      </c>
      <c r="I1229" t="s">
        <v>2809</v>
      </c>
    </row>
    <row r="1230" spans="1:9" x14ac:dyDescent="0.25">
      <c r="A1230" t="s">
        <v>1095</v>
      </c>
      <c r="B1230" t="s">
        <v>3208</v>
      </c>
      <c r="C1230" s="167">
        <v>125.61</v>
      </c>
      <c r="D1230" t="s">
        <v>21</v>
      </c>
      <c r="E1230" t="s">
        <v>1701</v>
      </c>
      <c r="F1230" t="s">
        <v>7339</v>
      </c>
      <c r="G1230" t="s">
        <v>7340</v>
      </c>
      <c r="I1230" t="s">
        <v>2809</v>
      </c>
    </row>
    <row r="1231" spans="1:9" x14ac:dyDescent="0.25">
      <c r="A1231" t="s">
        <v>1098</v>
      </c>
      <c r="B1231" t="s">
        <v>3211</v>
      </c>
      <c r="C1231" s="167">
        <v>125.61</v>
      </c>
      <c r="D1231" t="s">
        <v>563</v>
      </c>
      <c r="E1231" t="s">
        <v>1701</v>
      </c>
      <c r="F1231" t="s">
        <v>7339</v>
      </c>
      <c r="G1231" t="s">
        <v>7340</v>
      </c>
      <c r="I1231" t="s">
        <v>2809</v>
      </c>
    </row>
    <row r="1232" spans="1:9" x14ac:dyDescent="0.25">
      <c r="A1232" t="s">
        <v>1101</v>
      </c>
      <c r="B1232" t="s">
        <v>3214</v>
      </c>
      <c r="C1232" s="167">
        <v>125.61</v>
      </c>
      <c r="D1232" t="s">
        <v>671</v>
      </c>
      <c r="E1232" t="s">
        <v>1701</v>
      </c>
      <c r="F1232" t="s">
        <v>7339</v>
      </c>
      <c r="G1232" t="s">
        <v>7340</v>
      </c>
      <c r="I1232" t="s">
        <v>2809</v>
      </c>
    </row>
    <row r="1233" spans="1:9" x14ac:dyDescent="0.25">
      <c r="A1233" t="s">
        <v>1096</v>
      </c>
      <c r="B1233" t="s">
        <v>3209</v>
      </c>
      <c r="C1233" s="167">
        <v>125.61</v>
      </c>
      <c r="D1233" t="s">
        <v>21</v>
      </c>
      <c r="E1233" t="s">
        <v>1699</v>
      </c>
      <c r="F1233" t="s">
        <v>7339</v>
      </c>
      <c r="G1233" t="s">
        <v>7340</v>
      </c>
      <c r="I1233" t="s">
        <v>2809</v>
      </c>
    </row>
    <row r="1234" spans="1:9" x14ac:dyDescent="0.25">
      <c r="A1234" t="s">
        <v>1099</v>
      </c>
      <c r="B1234" t="s">
        <v>3212</v>
      </c>
      <c r="C1234" s="167">
        <v>125.61</v>
      </c>
      <c r="D1234" t="s">
        <v>563</v>
      </c>
      <c r="E1234" t="s">
        <v>1699</v>
      </c>
      <c r="F1234" t="s">
        <v>7339</v>
      </c>
      <c r="G1234" t="s">
        <v>7340</v>
      </c>
      <c r="I1234" t="s">
        <v>2809</v>
      </c>
    </row>
    <row r="1235" spans="1:9" x14ac:dyDescent="0.25">
      <c r="A1235" t="s">
        <v>1102</v>
      </c>
      <c r="B1235" t="s">
        <v>3215</v>
      </c>
      <c r="C1235" s="167">
        <v>125.61</v>
      </c>
      <c r="D1235" t="s">
        <v>671</v>
      </c>
      <c r="E1235" t="s">
        <v>1699</v>
      </c>
      <c r="F1235" t="s">
        <v>7339</v>
      </c>
      <c r="G1235" t="s">
        <v>7340</v>
      </c>
      <c r="I1235" t="s">
        <v>2809</v>
      </c>
    </row>
    <row r="1236" spans="1:9" x14ac:dyDescent="0.25">
      <c r="A1236" t="s">
        <v>1097</v>
      </c>
      <c r="B1236" t="s">
        <v>3210</v>
      </c>
      <c r="C1236" s="167">
        <v>125.61</v>
      </c>
      <c r="D1236" t="s">
        <v>21</v>
      </c>
      <c r="E1236" t="s">
        <v>1703</v>
      </c>
      <c r="F1236" t="s">
        <v>7339</v>
      </c>
      <c r="G1236" t="s">
        <v>7340</v>
      </c>
      <c r="I1236" t="s">
        <v>2809</v>
      </c>
    </row>
    <row r="1237" spans="1:9" x14ac:dyDescent="0.25">
      <c r="A1237" t="s">
        <v>1100</v>
      </c>
      <c r="B1237" t="s">
        <v>3213</v>
      </c>
      <c r="C1237" s="167">
        <v>125.61</v>
      </c>
      <c r="D1237" t="s">
        <v>563</v>
      </c>
      <c r="E1237" t="s">
        <v>1703</v>
      </c>
      <c r="F1237" t="s">
        <v>7339</v>
      </c>
      <c r="G1237" t="s">
        <v>7340</v>
      </c>
      <c r="I1237" t="s">
        <v>2809</v>
      </c>
    </row>
    <row r="1238" spans="1:9" x14ac:dyDescent="0.25">
      <c r="A1238" t="s">
        <v>1103</v>
      </c>
      <c r="B1238" t="s">
        <v>3216</v>
      </c>
      <c r="C1238" s="167">
        <v>125.61</v>
      </c>
      <c r="D1238" t="s">
        <v>671</v>
      </c>
      <c r="E1238" t="s">
        <v>1703</v>
      </c>
      <c r="F1238" t="s">
        <v>7339</v>
      </c>
      <c r="G1238" t="s">
        <v>7340</v>
      </c>
      <c r="I1238" t="s">
        <v>2809</v>
      </c>
    </row>
    <row r="1239" spans="1:9" x14ac:dyDescent="0.25">
      <c r="A1239" t="s">
        <v>1104</v>
      </c>
      <c r="B1239" t="s">
        <v>3217</v>
      </c>
      <c r="C1239" s="167">
        <v>145.44</v>
      </c>
      <c r="D1239" t="s">
        <v>21</v>
      </c>
      <c r="E1239" t="s">
        <v>1701</v>
      </c>
      <c r="F1239" t="s">
        <v>7341</v>
      </c>
      <c r="G1239" t="s">
        <v>7340</v>
      </c>
      <c r="I1239" t="s">
        <v>2809</v>
      </c>
    </row>
    <row r="1240" spans="1:9" x14ac:dyDescent="0.25">
      <c r="A1240" t="s">
        <v>1107</v>
      </c>
      <c r="B1240" t="s">
        <v>3220</v>
      </c>
      <c r="C1240" s="167">
        <v>145.44</v>
      </c>
      <c r="D1240" t="s">
        <v>563</v>
      </c>
      <c r="E1240" t="s">
        <v>1701</v>
      </c>
      <c r="F1240" t="s">
        <v>7341</v>
      </c>
      <c r="G1240" t="s">
        <v>7340</v>
      </c>
      <c r="I1240" t="s">
        <v>2809</v>
      </c>
    </row>
    <row r="1241" spans="1:9" x14ac:dyDescent="0.25">
      <c r="A1241" t="s">
        <v>1110</v>
      </c>
      <c r="B1241" t="s">
        <v>3223</v>
      </c>
      <c r="C1241" s="167">
        <v>145.44</v>
      </c>
      <c r="D1241" t="s">
        <v>671</v>
      </c>
      <c r="E1241" t="s">
        <v>1701</v>
      </c>
      <c r="F1241" t="s">
        <v>7341</v>
      </c>
      <c r="G1241" t="s">
        <v>7340</v>
      </c>
      <c r="I1241" t="s">
        <v>2809</v>
      </c>
    </row>
    <row r="1242" spans="1:9" x14ac:dyDescent="0.25">
      <c r="A1242" t="s">
        <v>1105</v>
      </c>
      <c r="B1242" t="s">
        <v>3218</v>
      </c>
      <c r="C1242" s="167">
        <v>145.44</v>
      </c>
      <c r="D1242" t="s">
        <v>21</v>
      </c>
      <c r="E1242" t="s">
        <v>1699</v>
      </c>
      <c r="F1242" t="s">
        <v>7341</v>
      </c>
      <c r="G1242" t="s">
        <v>7340</v>
      </c>
      <c r="I1242" t="s">
        <v>2809</v>
      </c>
    </row>
    <row r="1243" spans="1:9" x14ac:dyDescent="0.25">
      <c r="A1243" t="s">
        <v>1108</v>
      </c>
      <c r="B1243" t="s">
        <v>3221</v>
      </c>
      <c r="C1243" s="167">
        <v>145.44</v>
      </c>
      <c r="D1243" t="s">
        <v>563</v>
      </c>
      <c r="E1243" t="s">
        <v>1699</v>
      </c>
      <c r="F1243" t="s">
        <v>7341</v>
      </c>
      <c r="G1243" t="s">
        <v>7340</v>
      </c>
      <c r="I1243" t="s">
        <v>2809</v>
      </c>
    </row>
    <row r="1244" spans="1:9" x14ac:dyDescent="0.25">
      <c r="A1244" t="s">
        <v>1111</v>
      </c>
      <c r="B1244" t="s">
        <v>3224</v>
      </c>
      <c r="C1244" s="167">
        <v>145.44</v>
      </c>
      <c r="D1244" t="s">
        <v>671</v>
      </c>
      <c r="E1244" t="s">
        <v>1699</v>
      </c>
      <c r="F1244" t="s">
        <v>7341</v>
      </c>
      <c r="G1244" t="s">
        <v>7340</v>
      </c>
      <c r="I1244" t="s">
        <v>2809</v>
      </c>
    </row>
    <row r="1245" spans="1:9" x14ac:dyDescent="0.25">
      <c r="A1245" t="s">
        <v>1106</v>
      </c>
      <c r="B1245" t="s">
        <v>3219</v>
      </c>
      <c r="C1245" s="167">
        <v>145.44</v>
      </c>
      <c r="D1245" t="s">
        <v>21</v>
      </c>
      <c r="E1245" t="s">
        <v>1703</v>
      </c>
      <c r="F1245" t="s">
        <v>7341</v>
      </c>
      <c r="G1245" t="s">
        <v>7340</v>
      </c>
      <c r="I1245" t="s">
        <v>2809</v>
      </c>
    </row>
    <row r="1246" spans="1:9" x14ac:dyDescent="0.25">
      <c r="A1246" t="s">
        <v>1109</v>
      </c>
      <c r="B1246" t="s">
        <v>3222</v>
      </c>
      <c r="C1246" s="167">
        <v>145.44</v>
      </c>
      <c r="D1246" t="s">
        <v>563</v>
      </c>
      <c r="E1246" t="s">
        <v>1703</v>
      </c>
      <c r="F1246" t="s">
        <v>7341</v>
      </c>
      <c r="G1246" t="s">
        <v>7340</v>
      </c>
      <c r="I1246" t="s">
        <v>2809</v>
      </c>
    </row>
    <row r="1247" spans="1:9" x14ac:dyDescent="0.25">
      <c r="A1247" t="s">
        <v>1112</v>
      </c>
      <c r="B1247" t="s">
        <v>3225</v>
      </c>
      <c r="C1247" s="167">
        <v>145.44</v>
      </c>
      <c r="D1247" t="s">
        <v>671</v>
      </c>
      <c r="E1247" t="s">
        <v>1703</v>
      </c>
      <c r="F1247" t="s">
        <v>7341</v>
      </c>
      <c r="G1247" t="s">
        <v>7340</v>
      </c>
      <c r="I1247" t="s">
        <v>2809</v>
      </c>
    </row>
    <row r="1248" spans="1:9" x14ac:dyDescent="0.25">
      <c r="A1248" t="s">
        <v>1113</v>
      </c>
      <c r="B1248" t="s">
        <v>3226</v>
      </c>
      <c r="C1248" s="167">
        <v>158.66999999999999</v>
      </c>
      <c r="D1248" t="s">
        <v>21</v>
      </c>
      <c r="E1248" t="s">
        <v>1701</v>
      </c>
      <c r="F1248" t="s">
        <v>7344</v>
      </c>
      <c r="G1248" t="s">
        <v>7340</v>
      </c>
      <c r="I1248" t="s">
        <v>2809</v>
      </c>
    </row>
    <row r="1249" spans="1:9" x14ac:dyDescent="0.25">
      <c r="A1249" t="s">
        <v>1116</v>
      </c>
      <c r="B1249" t="s">
        <v>3229</v>
      </c>
      <c r="C1249" s="167">
        <v>158.66999999999999</v>
      </c>
      <c r="D1249" t="s">
        <v>563</v>
      </c>
      <c r="E1249" t="s">
        <v>1701</v>
      </c>
      <c r="F1249" t="s">
        <v>7344</v>
      </c>
      <c r="G1249" t="s">
        <v>7340</v>
      </c>
      <c r="I1249" t="s">
        <v>2809</v>
      </c>
    </row>
    <row r="1250" spans="1:9" x14ac:dyDescent="0.25">
      <c r="A1250" t="s">
        <v>1119</v>
      </c>
      <c r="B1250" t="s">
        <v>3232</v>
      </c>
      <c r="C1250" s="167">
        <v>158.66999999999999</v>
      </c>
      <c r="D1250" t="s">
        <v>671</v>
      </c>
      <c r="E1250" t="s">
        <v>1701</v>
      </c>
      <c r="F1250" t="s">
        <v>7344</v>
      </c>
      <c r="G1250" t="s">
        <v>7340</v>
      </c>
      <c r="I1250" t="s">
        <v>2809</v>
      </c>
    </row>
    <row r="1251" spans="1:9" x14ac:dyDescent="0.25">
      <c r="A1251" t="s">
        <v>1114</v>
      </c>
      <c r="B1251" t="s">
        <v>3227</v>
      </c>
      <c r="C1251" s="167">
        <v>158.66999999999999</v>
      </c>
      <c r="D1251" t="s">
        <v>21</v>
      </c>
      <c r="E1251" t="s">
        <v>1699</v>
      </c>
      <c r="F1251" t="s">
        <v>7344</v>
      </c>
      <c r="G1251" t="s">
        <v>7340</v>
      </c>
      <c r="I1251" t="s">
        <v>2809</v>
      </c>
    </row>
    <row r="1252" spans="1:9" x14ac:dyDescent="0.25">
      <c r="A1252" t="s">
        <v>1117</v>
      </c>
      <c r="B1252" t="s">
        <v>3230</v>
      </c>
      <c r="C1252" s="167">
        <v>158.66999999999999</v>
      </c>
      <c r="D1252" t="s">
        <v>563</v>
      </c>
      <c r="E1252" t="s">
        <v>1699</v>
      </c>
      <c r="F1252" t="s">
        <v>7344</v>
      </c>
      <c r="G1252" t="s">
        <v>7340</v>
      </c>
      <c r="I1252" t="s">
        <v>2809</v>
      </c>
    </row>
    <row r="1253" spans="1:9" x14ac:dyDescent="0.25">
      <c r="A1253" t="s">
        <v>1120</v>
      </c>
      <c r="B1253" t="s">
        <v>3233</v>
      </c>
      <c r="C1253" s="167">
        <v>158.66999999999999</v>
      </c>
      <c r="D1253" t="s">
        <v>671</v>
      </c>
      <c r="E1253" t="s">
        <v>1699</v>
      </c>
      <c r="F1253" t="s">
        <v>7344</v>
      </c>
      <c r="G1253" t="s">
        <v>7340</v>
      </c>
      <c r="I1253" t="s">
        <v>2809</v>
      </c>
    </row>
    <row r="1254" spans="1:9" x14ac:dyDescent="0.25">
      <c r="A1254" t="s">
        <v>1115</v>
      </c>
      <c r="B1254" t="s">
        <v>3228</v>
      </c>
      <c r="C1254" s="167">
        <v>158.66999999999999</v>
      </c>
      <c r="D1254" t="s">
        <v>21</v>
      </c>
      <c r="E1254" t="s">
        <v>1703</v>
      </c>
      <c r="F1254" t="s">
        <v>7344</v>
      </c>
      <c r="G1254" t="s">
        <v>7340</v>
      </c>
      <c r="I1254" t="s">
        <v>2809</v>
      </c>
    </row>
    <row r="1255" spans="1:9" x14ac:dyDescent="0.25">
      <c r="A1255" t="s">
        <v>1118</v>
      </c>
      <c r="B1255" t="s">
        <v>3231</v>
      </c>
      <c r="C1255" s="167">
        <v>158.66999999999999</v>
      </c>
      <c r="D1255" t="s">
        <v>563</v>
      </c>
      <c r="E1255" t="s">
        <v>1703</v>
      </c>
      <c r="F1255" t="s">
        <v>7344</v>
      </c>
      <c r="G1255" t="s">
        <v>7340</v>
      </c>
      <c r="I1255" t="s">
        <v>2809</v>
      </c>
    </row>
    <row r="1256" spans="1:9" x14ac:dyDescent="0.25">
      <c r="A1256" t="s">
        <v>1121</v>
      </c>
      <c r="B1256" t="s">
        <v>3234</v>
      </c>
      <c r="C1256" s="167">
        <v>158.66999999999999</v>
      </c>
      <c r="D1256" t="s">
        <v>671</v>
      </c>
      <c r="E1256" t="s">
        <v>1703</v>
      </c>
      <c r="F1256" t="s">
        <v>7344</v>
      </c>
      <c r="G1256" t="s">
        <v>7340</v>
      </c>
      <c r="I1256" t="s">
        <v>2809</v>
      </c>
    </row>
    <row r="1257" spans="1:9" x14ac:dyDescent="0.25">
      <c r="A1257" t="s">
        <v>1122</v>
      </c>
      <c r="B1257" t="s">
        <v>3235</v>
      </c>
      <c r="C1257" s="167">
        <v>178.49</v>
      </c>
      <c r="D1257" t="s">
        <v>21</v>
      </c>
      <c r="E1257" t="s">
        <v>1701</v>
      </c>
      <c r="F1257" t="s">
        <v>7343</v>
      </c>
      <c r="G1257" t="s">
        <v>7340</v>
      </c>
      <c r="I1257" t="s">
        <v>2809</v>
      </c>
    </row>
    <row r="1258" spans="1:9" x14ac:dyDescent="0.25">
      <c r="A1258" t="s">
        <v>1125</v>
      </c>
      <c r="B1258" t="s">
        <v>3238</v>
      </c>
      <c r="C1258" s="167">
        <v>178.49</v>
      </c>
      <c r="D1258" t="s">
        <v>563</v>
      </c>
      <c r="E1258" t="s">
        <v>1701</v>
      </c>
      <c r="F1258" t="s">
        <v>7343</v>
      </c>
      <c r="G1258" t="s">
        <v>7340</v>
      </c>
      <c r="I1258" t="s">
        <v>2809</v>
      </c>
    </row>
    <row r="1259" spans="1:9" x14ac:dyDescent="0.25">
      <c r="A1259" t="s">
        <v>1128</v>
      </c>
      <c r="B1259" t="s">
        <v>3241</v>
      </c>
      <c r="C1259" s="167">
        <v>178.49</v>
      </c>
      <c r="D1259" t="s">
        <v>671</v>
      </c>
      <c r="E1259" t="s">
        <v>1701</v>
      </c>
      <c r="F1259" t="s">
        <v>7343</v>
      </c>
      <c r="G1259" t="s">
        <v>7340</v>
      </c>
      <c r="I1259" t="s">
        <v>2809</v>
      </c>
    </row>
    <row r="1260" spans="1:9" x14ac:dyDescent="0.25">
      <c r="A1260" t="s">
        <v>1123</v>
      </c>
      <c r="B1260" t="s">
        <v>3236</v>
      </c>
      <c r="C1260" s="167">
        <v>178.49</v>
      </c>
      <c r="D1260" t="s">
        <v>21</v>
      </c>
      <c r="E1260" t="s">
        <v>1699</v>
      </c>
      <c r="F1260" t="s">
        <v>7343</v>
      </c>
      <c r="G1260" t="s">
        <v>7340</v>
      </c>
      <c r="I1260" t="s">
        <v>2809</v>
      </c>
    </row>
    <row r="1261" spans="1:9" x14ac:dyDescent="0.25">
      <c r="A1261" t="s">
        <v>1126</v>
      </c>
      <c r="B1261" t="s">
        <v>3239</v>
      </c>
      <c r="C1261" s="167">
        <v>178.49</v>
      </c>
      <c r="D1261" t="s">
        <v>563</v>
      </c>
      <c r="E1261" t="s">
        <v>1699</v>
      </c>
      <c r="F1261" t="s">
        <v>7343</v>
      </c>
      <c r="G1261" t="s">
        <v>7340</v>
      </c>
      <c r="I1261" t="s">
        <v>2809</v>
      </c>
    </row>
    <row r="1262" spans="1:9" x14ac:dyDescent="0.25">
      <c r="A1262" t="s">
        <v>1129</v>
      </c>
      <c r="B1262" t="s">
        <v>3242</v>
      </c>
      <c r="C1262" s="167">
        <v>178.49</v>
      </c>
      <c r="D1262" t="s">
        <v>671</v>
      </c>
      <c r="E1262" t="s">
        <v>1699</v>
      </c>
      <c r="F1262" t="s">
        <v>7343</v>
      </c>
      <c r="G1262" t="s">
        <v>7340</v>
      </c>
      <c r="I1262" t="s">
        <v>2809</v>
      </c>
    </row>
    <row r="1263" spans="1:9" x14ac:dyDescent="0.25">
      <c r="A1263" t="s">
        <v>1124</v>
      </c>
      <c r="B1263" t="s">
        <v>3237</v>
      </c>
      <c r="C1263" s="167">
        <v>178.49</v>
      </c>
      <c r="D1263" t="s">
        <v>21</v>
      </c>
      <c r="E1263" t="s">
        <v>1703</v>
      </c>
      <c r="F1263" t="s">
        <v>7343</v>
      </c>
      <c r="G1263" t="s">
        <v>7340</v>
      </c>
      <c r="I1263" t="s">
        <v>2809</v>
      </c>
    </row>
    <row r="1264" spans="1:9" x14ac:dyDescent="0.25">
      <c r="A1264" t="s">
        <v>1127</v>
      </c>
      <c r="B1264" t="s">
        <v>3240</v>
      </c>
      <c r="C1264" s="167">
        <v>178.49</v>
      </c>
      <c r="D1264" t="s">
        <v>563</v>
      </c>
      <c r="E1264" t="s">
        <v>1703</v>
      </c>
      <c r="F1264" t="s">
        <v>7343</v>
      </c>
      <c r="G1264" t="s">
        <v>7340</v>
      </c>
      <c r="I1264" t="s">
        <v>2809</v>
      </c>
    </row>
    <row r="1265" spans="1:9" x14ac:dyDescent="0.25">
      <c r="A1265" t="s">
        <v>1130</v>
      </c>
      <c r="B1265" t="s">
        <v>3243</v>
      </c>
      <c r="C1265" s="167">
        <v>178.49</v>
      </c>
      <c r="D1265" t="s">
        <v>671</v>
      </c>
      <c r="E1265" t="s">
        <v>1703</v>
      </c>
      <c r="F1265" t="s">
        <v>7343</v>
      </c>
      <c r="G1265" t="s">
        <v>7340</v>
      </c>
      <c r="I1265" t="s">
        <v>2809</v>
      </c>
    </row>
    <row r="1266" spans="1:9" x14ac:dyDescent="0.25">
      <c r="A1266" t="s">
        <v>2193</v>
      </c>
      <c r="B1266" t="s">
        <v>4054</v>
      </c>
      <c r="C1266" s="167">
        <v>128.01</v>
      </c>
      <c r="D1266" t="s">
        <v>21</v>
      </c>
      <c r="E1266" t="s">
        <v>1701</v>
      </c>
      <c r="F1266" t="s">
        <v>7339</v>
      </c>
      <c r="G1266" t="s">
        <v>7340</v>
      </c>
      <c r="I1266" t="s">
        <v>2809</v>
      </c>
    </row>
    <row r="1267" spans="1:9" x14ac:dyDescent="0.25">
      <c r="A1267" t="s">
        <v>2196</v>
      </c>
      <c r="B1267" t="s">
        <v>4057</v>
      </c>
      <c r="C1267" s="167">
        <v>128.01</v>
      </c>
      <c r="D1267" t="s">
        <v>563</v>
      </c>
      <c r="E1267" t="s">
        <v>1701</v>
      </c>
      <c r="F1267" t="s">
        <v>7339</v>
      </c>
      <c r="G1267" t="s">
        <v>7340</v>
      </c>
      <c r="I1267" t="s">
        <v>2809</v>
      </c>
    </row>
    <row r="1268" spans="1:9" x14ac:dyDescent="0.25">
      <c r="A1268" t="s">
        <v>2199</v>
      </c>
      <c r="B1268" t="s">
        <v>4060</v>
      </c>
      <c r="C1268" s="167">
        <v>128.01</v>
      </c>
      <c r="D1268" t="s">
        <v>671</v>
      </c>
      <c r="E1268" t="s">
        <v>1701</v>
      </c>
      <c r="F1268" t="s">
        <v>7339</v>
      </c>
      <c r="G1268" t="s">
        <v>7340</v>
      </c>
      <c r="I1268" t="s">
        <v>2809</v>
      </c>
    </row>
    <row r="1269" spans="1:9" x14ac:dyDescent="0.25">
      <c r="A1269" t="s">
        <v>2194</v>
      </c>
      <c r="B1269" t="s">
        <v>4055</v>
      </c>
      <c r="C1269" s="167">
        <v>128.01</v>
      </c>
      <c r="D1269" t="s">
        <v>21</v>
      </c>
      <c r="E1269" t="s">
        <v>1699</v>
      </c>
      <c r="F1269" t="s">
        <v>7339</v>
      </c>
      <c r="G1269" t="s">
        <v>7340</v>
      </c>
      <c r="I1269" t="s">
        <v>2809</v>
      </c>
    </row>
    <row r="1270" spans="1:9" x14ac:dyDescent="0.25">
      <c r="A1270" t="s">
        <v>2197</v>
      </c>
      <c r="B1270" t="s">
        <v>4058</v>
      </c>
      <c r="C1270" s="167">
        <v>128.01</v>
      </c>
      <c r="D1270" t="s">
        <v>563</v>
      </c>
      <c r="E1270" t="s">
        <v>1699</v>
      </c>
      <c r="F1270" t="s">
        <v>7339</v>
      </c>
      <c r="G1270" t="s">
        <v>7340</v>
      </c>
      <c r="I1270" t="s">
        <v>2809</v>
      </c>
    </row>
    <row r="1271" spans="1:9" x14ac:dyDescent="0.25">
      <c r="A1271" t="s">
        <v>2200</v>
      </c>
      <c r="B1271" t="s">
        <v>4061</v>
      </c>
      <c r="C1271" s="167">
        <v>128.01</v>
      </c>
      <c r="D1271" t="s">
        <v>671</v>
      </c>
      <c r="E1271" t="s">
        <v>1699</v>
      </c>
      <c r="F1271" t="s">
        <v>7339</v>
      </c>
      <c r="G1271" t="s">
        <v>7340</v>
      </c>
      <c r="I1271" t="s">
        <v>2809</v>
      </c>
    </row>
    <row r="1272" spans="1:9" x14ac:dyDescent="0.25">
      <c r="A1272" t="s">
        <v>2195</v>
      </c>
      <c r="B1272" t="s">
        <v>4056</v>
      </c>
      <c r="C1272" s="167">
        <v>128.01</v>
      </c>
      <c r="D1272" t="s">
        <v>21</v>
      </c>
      <c r="E1272" t="s">
        <v>1703</v>
      </c>
      <c r="F1272" t="s">
        <v>7339</v>
      </c>
      <c r="G1272" t="s">
        <v>7340</v>
      </c>
      <c r="I1272" t="s">
        <v>2809</v>
      </c>
    </row>
    <row r="1273" spans="1:9" x14ac:dyDescent="0.25">
      <c r="A1273" t="s">
        <v>2198</v>
      </c>
      <c r="B1273" t="s">
        <v>4059</v>
      </c>
      <c r="C1273" s="167">
        <v>128.01</v>
      </c>
      <c r="D1273" t="s">
        <v>563</v>
      </c>
      <c r="E1273" t="s">
        <v>1703</v>
      </c>
      <c r="F1273" t="s">
        <v>7339</v>
      </c>
      <c r="G1273" t="s">
        <v>7340</v>
      </c>
      <c r="I1273" t="s">
        <v>2809</v>
      </c>
    </row>
    <row r="1274" spans="1:9" x14ac:dyDescent="0.25">
      <c r="A1274" t="s">
        <v>2201</v>
      </c>
      <c r="B1274" t="s">
        <v>4062</v>
      </c>
      <c r="C1274" s="167">
        <v>128.01</v>
      </c>
      <c r="D1274" t="s">
        <v>671</v>
      </c>
      <c r="E1274" t="s">
        <v>1703</v>
      </c>
      <c r="F1274" t="s">
        <v>7339</v>
      </c>
      <c r="G1274" t="s">
        <v>7340</v>
      </c>
      <c r="I1274" t="s">
        <v>2809</v>
      </c>
    </row>
    <row r="1275" spans="1:9" x14ac:dyDescent="0.25">
      <c r="A1275" t="s">
        <v>2202</v>
      </c>
      <c r="B1275" t="s">
        <v>4063</v>
      </c>
      <c r="C1275" s="167">
        <v>147.84</v>
      </c>
      <c r="D1275" t="s">
        <v>21</v>
      </c>
      <c r="E1275" t="s">
        <v>1701</v>
      </c>
      <c r="F1275" t="s">
        <v>7341</v>
      </c>
      <c r="G1275" t="s">
        <v>7340</v>
      </c>
      <c r="I1275" t="s">
        <v>2809</v>
      </c>
    </row>
    <row r="1276" spans="1:9" x14ac:dyDescent="0.25">
      <c r="A1276" t="s">
        <v>2205</v>
      </c>
      <c r="B1276" t="s">
        <v>4066</v>
      </c>
      <c r="C1276" s="167">
        <v>147.84</v>
      </c>
      <c r="D1276" t="s">
        <v>563</v>
      </c>
      <c r="E1276" t="s">
        <v>1701</v>
      </c>
      <c r="F1276" t="s">
        <v>7341</v>
      </c>
      <c r="G1276" t="s">
        <v>7340</v>
      </c>
      <c r="I1276" t="s">
        <v>2809</v>
      </c>
    </row>
    <row r="1277" spans="1:9" x14ac:dyDescent="0.25">
      <c r="A1277" t="s">
        <v>2208</v>
      </c>
      <c r="B1277" t="s">
        <v>4069</v>
      </c>
      <c r="C1277" s="167">
        <v>147.84</v>
      </c>
      <c r="D1277" t="s">
        <v>671</v>
      </c>
      <c r="E1277" t="s">
        <v>1701</v>
      </c>
      <c r="F1277" t="s">
        <v>7341</v>
      </c>
      <c r="G1277" t="s">
        <v>7340</v>
      </c>
      <c r="I1277" t="s">
        <v>2809</v>
      </c>
    </row>
    <row r="1278" spans="1:9" x14ac:dyDescent="0.25">
      <c r="A1278" t="s">
        <v>2203</v>
      </c>
      <c r="B1278" t="s">
        <v>4064</v>
      </c>
      <c r="C1278" s="167">
        <v>147.84</v>
      </c>
      <c r="D1278" t="s">
        <v>21</v>
      </c>
      <c r="E1278" t="s">
        <v>1699</v>
      </c>
      <c r="F1278" t="s">
        <v>7341</v>
      </c>
      <c r="G1278" t="s">
        <v>7340</v>
      </c>
      <c r="I1278" t="s">
        <v>2809</v>
      </c>
    </row>
    <row r="1279" spans="1:9" x14ac:dyDescent="0.25">
      <c r="A1279" t="s">
        <v>2206</v>
      </c>
      <c r="B1279" t="s">
        <v>4067</v>
      </c>
      <c r="C1279" s="167">
        <v>147.84</v>
      </c>
      <c r="D1279" t="s">
        <v>563</v>
      </c>
      <c r="E1279" t="s">
        <v>1699</v>
      </c>
      <c r="F1279" t="s">
        <v>7341</v>
      </c>
      <c r="G1279" t="s">
        <v>7340</v>
      </c>
      <c r="I1279" t="s">
        <v>2809</v>
      </c>
    </row>
    <row r="1280" spans="1:9" x14ac:dyDescent="0.25">
      <c r="A1280" t="s">
        <v>2209</v>
      </c>
      <c r="B1280" t="s">
        <v>4070</v>
      </c>
      <c r="C1280" s="167">
        <v>147.84</v>
      </c>
      <c r="D1280" t="s">
        <v>671</v>
      </c>
      <c r="E1280" t="s">
        <v>1699</v>
      </c>
      <c r="F1280" t="s">
        <v>7341</v>
      </c>
      <c r="G1280" t="s">
        <v>7340</v>
      </c>
      <c r="I1280" t="s">
        <v>2809</v>
      </c>
    </row>
    <row r="1281" spans="1:9" x14ac:dyDescent="0.25">
      <c r="A1281" t="s">
        <v>2204</v>
      </c>
      <c r="B1281" t="s">
        <v>4065</v>
      </c>
      <c r="C1281" s="167">
        <v>147.84</v>
      </c>
      <c r="D1281" t="s">
        <v>21</v>
      </c>
      <c r="E1281" t="s">
        <v>1703</v>
      </c>
      <c r="F1281" t="s">
        <v>7341</v>
      </c>
      <c r="G1281" t="s">
        <v>7340</v>
      </c>
      <c r="I1281" t="s">
        <v>2809</v>
      </c>
    </row>
    <row r="1282" spans="1:9" x14ac:dyDescent="0.25">
      <c r="A1282" t="s">
        <v>2207</v>
      </c>
      <c r="B1282" t="s">
        <v>4068</v>
      </c>
      <c r="C1282" s="167">
        <v>147.84</v>
      </c>
      <c r="D1282" t="s">
        <v>563</v>
      </c>
      <c r="E1282" t="s">
        <v>1703</v>
      </c>
      <c r="F1282" t="s">
        <v>7341</v>
      </c>
      <c r="G1282" t="s">
        <v>7340</v>
      </c>
      <c r="I1282" t="s">
        <v>2809</v>
      </c>
    </row>
    <row r="1283" spans="1:9" x14ac:dyDescent="0.25">
      <c r="A1283" t="s">
        <v>2210</v>
      </c>
      <c r="B1283" t="s">
        <v>4071</v>
      </c>
      <c r="C1283" s="167">
        <v>147.84</v>
      </c>
      <c r="D1283" t="s">
        <v>671</v>
      </c>
      <c r="E1283" t="s">
        <v>1703</v>
      </c>
      <c r="F1283" t="s">
        <v>7341</v>
      </c>
      <c r="G1283" t="s">
        <v>7340</v>
      </c>
      <c r="I1283" t="s">
        <v>2809</v>
      </c>
    </row>
    <row r="1284" spans="1:9" x14ac:dyDescent="0.25">
      <c r="A1284" t="s">
        <v>2211</v>
      </c>
      <c r="B1284" t="s">
        <v>4072</v>
      </c>
      <c r="C1284" s="167">
        <v>161.07</v>
      </c>
      <c r="D1284" t="s">
        <v>21</v>
      </c>
      <c r="E1284" t="s">
        <v>1701</v>
      </c>
      <c r="F1284" t="s">
        <v>7344</v>
      </c>
      <c r="G1284" t="s">
        <v>7340</v>
      </c>
      <c r="I1284" t="s">
        <v>2809</v>
      </c>
    </row>
    <row r="1285" spans="1:9" x14ac:dyDescent="0.25">
      <c r="A1285" t="s">
        <v>2214</v>
      </c>
      <c r="B1285" t="s">
        <v>4075</v>
      </c>
      <c r="C1285" s="167">
        <v>161.07</v>
      </c>
      <c r="D1285" t="s">
        <v>563</v>
      </c>
      <c r="E1285" t="s">
        <v>1701</v>
      </c>
      <c r="F1285" t="s">
        <v>7344</v>
      </c>
      <c r="G1285" t="s">
        <v>7340</v>
      </c>
      <c r="I1285" t="s">
        <v>2809</v>
      </c>
    </row>
    <row r="1286" spans="1:9" x14ac:dyDescent="0.25">
      <c r="A1286" t="s">
        <v>2217</v>
      </c>
      <c r="B1286" t="s">
        <v>4078</v>
      </c>
      <c r="C1286" s="167">
        <v>161.07</v>
      </c>
      <c r="D1286" t="s">
        <v>671</v>
      </c>
      <c r="E1286" t="s">
        <v>1701</v>
      </c>
      <c r="F1286" t="s">
        <v>7344</v>
      </c>
      <c r="G1286" t="s">
        <v>7340</v>
      </c>
      <c r="I1286" t="s">
        <v>2809</v>
      </c>
    </row>
    <row r="1287" spans="1:9" x14ac:dyDescent="0.25">
      <c r="A1287" t="s">
        <v>2212</v>
      </c>
      <c r="B1287" t="s">
        <v>4073</v>
      </c>
      <c r="C1287" s="167">
        <v>161.07</v>
      </c>
      <c r="D1287" t="s">
        <v>21</v>
      </c>
      <c r="E1287" t="s">
        <v>1699</v>
      </c>
      <c r="F1287" t="s">
        <v>7344</v>
      </c>
      <c r="G1287" t="s">
        <v>7340</v>
      </c>
      <c r="I1287" t="s">
        <v>2809</v>
      </c>
    </row>
    <row r="1288" spans="1:9" x14ac:dyDescent="0.25">
      <c r="A1288" t="s">
        <v>2215</v>
      </c>
      <c r="B1288" t="s">
        <v>4076</v>
      </c>
      <c r="C1288" s="167">
        <v>161.07</v>
      </c>
      <c r="D1288" t="s">
        <v>563</v>
      </c>
      <c r="E1288" t="s">
        <v>1699</v>
      </c>
      <c r="F1288" t="s">
        <v>7344</v>
      </c>
      <c r="G1288" t="s">
        <v>7340</v>
      </c>
      <c r="I1288" t="s">
        <v>2809</v>
      </c>
    </row>
    <row r="1289" spans="1:9" x14ac:dyDescent="0.25">
      <c r="A1289" t="s">
        <v>2218</v>
      </c>
      <c r="B1289" t="s">
        <v>4079</v>
      </c>
      <c r="C1289" s="167">
        <v>161.07</v>
      </c>
      <c r="D1289" t="s">
        <v>671</v>
      </c>
      <c r="E1289" t="s">
        <v>1699</v>
      </c>
      <c r="F1289" t="s">
        <v>7344</v>
      </c>
      <c r="G1289" t="s">
        <v>7340</v>
      </c>
      <c r="I1289" t="s">
        <v>2809</v>
      </c>
    </row>
    <row r="1290" spans="1:9" x14ac:dyDescent="0.25">
      <c r="A1290" t="s">
        <v>2213</v>
      </c>
      <c r="B1290" t="s">
        <v>4074</v>
      </c>
      <c r="C1290" s="167">
        <v>161.07</v>
      </c>
      <c r="D1290" t="s">
        <v>21</v>
      </c>
      <c r="E1290" t="s">
        <v>1703</v>
      </c>
      <c r="F1290" t="s">
        <v>7344</v>
      </c>
      <c r="G1290" t="s">
        <v>7340</v>
      </c>
      <c r="I1290" t="s">
        <v>2809</v>
      </c>
    </row>
    <row r="1291" spans="1:9" x14ac:dyDescent="0.25">
      <c r="A1291" t="s">
        <v>2216</v>
      </c>
      <c r="B1291" t="s">
        <v>4077</v>
      </c>
      <c r="C1291" s="167">
        <v>161.07</v>
      </c>
      <c r="D1291" t="s">
        <v>563</v>
      </c>
      <c r="E1291" t="s">
        <v>1703</v>
      </c>
      <c r="F1291" t="s">
        <v>7344</v>
      </c>
      <c r="G1291" t="s">
        <v>7340</v>
      </c>
      <c r="I1291" t="s">
        <v>2809</v>
      </c>
    </row>
    <row r="1292" spans="1:9" x14ac:dyDescent="0.25">
      <c r="A1292" t="s">
        <v>2219</v>
      </c>
      <c r="B1292" t="s">
        <v>4080</v>
      </c>
      <c r="C1292" s="167">
        <v>161.07</v>
      </c>
      <c r="D1292" t="s">
        <v>671</v>
      </c>
      <c r="E1292" t="s">
        <v>1703</v>
      </c>
      <c r="F1292" t="s">
        <v>7344</v>
      </c>
      <c r="G1292" t="s">
        <v>7340</v>
      </c>
      <c r="I1292" t="s">
        <v>2809</v>
      </c>
    </row>
    <row r="1293" spans="1:9" x14ac:dyDescent="0.25">
      <c r="A1293" t="s">
        <v>2220</v>
      </c>
      <c r="B1293" t="s">
        <v>4081</v>
      </c>
      <c r="C1293" s="167">
        <v>180.89</v>
      </c>
      <c r="D1293" t="s">
        <v>21</v>
      </c>
      <c r="E1293" t="s">
        <v>1701</v>
      </c>
      <c r="F1293" t="s">
        <v>7343</v>
      </c>
      <c r="G1293" t="s">
        <v>7340</v>
      </c>
      <c r="I1293" t="s">
        <v>2809</v>
      </c>
    </row>
    <row r="1294" spans="1:9" x14ac:dyDescent="0.25">
      <c r="A1294" t="s">
        <v>2223</v>
      </c>
      <c r="B1294" t="s">
        <v>4084</v>
      </c>
      <c r="C1294" s="167">
        <v>180.89</v>
      </c>
      <c r="D1294" t="s">
        <v>563</v>
      </c>
      <c r="E1294" t="s">
        <v>1701</v>
      </c>
      <c r="F1294" t="s">
        <v>7343</v>
      </c>
      <c r="G1294" t="s">
        <v>7340</v>
      </c>
      <c r="I1294" t="s">
        <v>2809</v>
      </c>
    </row>
    <row r="1295" spans="1:9" x14ac:dyDescent="0.25">
      <c r="A1295" t="s">
        <v>2226</v>
      </c>
      <c r="B1295" t="s">
        <v>4087</v>
      </c>
      <c r="C1295" s="167">
        <v>180.89</v>
      </c>
      <c r="D1295" t="s">
        <v>671</v>
      </c>
      <c r="E1295" t="s">
        <v>1701</v>
      </c>
      <c r="F1295" t="s">
        <v>7343</v>
      </c>
      <c r="G1295" t="s">
        <v>7340</v>
      </c>
      <c r="I1295" t="s">
        <v>2809</v>
      </c>
    </row>
    <row r="1296" spans="1:9" x14ac:dyDescent="0.25">
      <c r="A1296" t="s">
        <v>2221</v>
      </c>
      <c r="B1296" t="s">
        <v>4082</v>
      </c>
      <c r="C1296" s="167">
        <v>180.89</v>
      </c>
      <c r="D1296" t="s">
        <v>21</v>
      </c>
      <c r="E1296" t="s">
        <v>1699</v>
      </c>
      <c r="F1296" t="s">
        <v>7343</v>
      </c>
      <c r="G1296" t="s">
        <v>7340</v>
      </c>
      <c r="I1296" t="s">
        <v>2809</v>
      </c>
    </row>
    <row r="1297" spans="1:9" x14ac:dyDescent="0.25">
      <c r="A1297" t="s">
        <v>2224</v>
      </c>
      <c r="B1297" t="s">
        <v>4085</v>
      </c>
      <c r="C1297" s="167">
        <v>180.89</v>
      </c>
      <c r="D1297" t="s">
        <v>563</v>
      </c>
      <c r="E1297" t="s">
        <v>1699</v>
      </c>
      <c r="F1297" t="s">
        <v>7343</v>
      </c>
      <c r="G1297" t="s">
        <v>7340</v>
      </c>
      <c r="I1297" t="s">
        <v>2809</v>
      </c>
    </row>
    <row r="1298" spans="1:9" x14ac:dyDescent="0.25">
      <c r="A1298" t="s">
        <v>2227</v>
      </c>
      <c r="B1298" t="s">
        <v>4088</v>
      </c>
      <c r="C1298" s="167">
        <v>180.89</v>
      </c>
      <c r="D1298" t="s">
        <v>671</v>
      </c>
      <c r="E1298" t="s">
        <v>1699</v>
      </c>
      <c r="F1298" t="s">
        <v>7343</v>
      </c>
      <c r="G1298" t="s">
        <v>7340</v>
      </c>
      <c r="I1298" t="s">
        <v>2809</v>
      </c>
    </row>
    <row r="1299" spans="1:9" x14ac:dyDescent="0.25">
      <c r="A1299" t="s">
        <v>2222</v>
      </c>
      <c r="B1299" t="s">
        <v>4083</v>
      </c>
      <c r="C1299" s="167">
        <v>180.89</v>
      </c>
      <c r="D1299" t="s">
        <v>21</v>
      </c>
      <c r="E1299" t="s">
        <v>1703</v>
      </c>
      <c r="F1299" t="s">
        <v>7343</v>
      </c>
      <c r="G1299" t="s">
        <v>7340</v>
      </c>
      <c r="I1299" t="s">
        <v>2809</v>
      </c>
    </row>
    <row r="1300" spans="1:9" x14ac:dyDescent="0.25">
      <c r="A1300" t="s">
        <v>2225</v>
      </c>
      <c r="B1300" t="s">
        <v>4086</v>
      </c>
      <c r="C1300" s="167">
        <v>180.89</v>
      </c>
      <c r="D1300" t="s">
        <v>563</v>
      </c>
      <c r="E1300" t="s">
        <v>1703</v>
      </c>
      <c r="F1300" t="s">
        <v>7343</v>
      </c>
      <c r="G1300" t="s">
        <v>7340</v>
      </c>
      <c r="I1300" t="s">
        <v>2809</v>
      </c>
    </row>
    <row r="1301" spans="1:9" x14ac:dyDescent="0.25">
      <c r="A1301" t="s">
        <v>2228</v>
      </c>
      <c r="B1301" t="s">
        <v>4089</v>
      </c>
      <c r="C1301" s="167">
        <v>180.89</v>
      </c>
      <c r="D1301" t="s">
        <v>671</v>
      </c>
      <c r="E1301" t="s">
        <v>1703</v>
      </c>
      <c r="F1301" t="s">
        <v>7343</v>
      </c>
      <c r="G1301" t="s">
        <v>7340</v>
      </c>
      <c r="I1301" t="s">
        <v>2809</v>
      </c>
    </row>
    <row r="1302" spans="1:9" x14ac:dyDescent="0.25">
      <c r="A1302" t="s">
        <v>1131</v>
      </c>
      <c r="B1302" t="s">
        <v>3244</v>
      </c>
      <c r="C1302" s="167">
        <v>158.66999999999999</v>
      </c>
      <c r="D1302" t="s">
        <v>21</v>
      </c>
      <c r="E1302" t="s">
        <v>1701</v>
      </c>
      <c r="F1302" t="s">
        <v>7339</v>
      </c>
      <c r="G1302" t="s">
        <v>7340</v>
      </c>
      <c r="I1302" t="s">
        <v>2809</v>
      </c>
    </row>
    <row r="1303" spans="1:9" x14ac:dyDescent="0.25">
      <c r="A1303" t="s">
        <v>1134</v>
      </c>
      <c r="B1303" t="s">
        <v>3247</v>
      </c>
      <c r="C1303" s="167">
        <v>158.66999999999999</v>
      </c>
      <c r="D1303" t="s">
        <v>563</v>
      </c>
      <c r="E1303" t="s">
        <v>1701</v>
      </c>
      <c r="F1303" t="s">
        <v>7339</v>
      </c>
      <c r="G1303" t="s">
        <v>7340</v>
      </c>
      <c r="I1303" t="s">
        <v>2809</v>
      </c>
    </row>
    <row r="1304" spans="1:9" x14ac:dyDescent="0.25">
      <c r="A1304" t="s">
        <v>1137</v>
      </c>
      <c r="B1304" t="s">
        <v>3250</v>
      </c>
      <c r="C1304" s="167">
        <v>158.66999999999999</v>
      </c>
      <c r="D1304" t="s">
        <v>671</v>
      </c>
      <c r="E1304" t="s">
        <v>1701</v>
      </c>
      <c r="F1304" t="s">
        <v>7339</v>
      </c>
      <c r="G1304" t="s">
        <v>7340</v>
      </c>
      <c r="I1304" t="s">
        <v>2809</v>
      </c>
    </row>
    <row r="1305" spans="1:9" x14ac:dyDescent="0.25">
      <c r="A1305" t="s">
        <v>1132</v>
      </c>
      <c r="B1305" t="s">
        <v>3245</v>
      </c>
      <c r="C1305" s="167">
        <v>158.66999999999999</v>
      </c>
      <c r="D1305" t="s">
        <v>21</v>
      </c>
      <c r="E1305" t="s">
        <v>1699</v>
      </c>
      <c r="F1305" t="s">
        <v>7339</v>
      </c>
      <c r="G1305" t="s">
        <v>7340</v>
      </c>
      <c r="I1305" t="s">
        <v>2809</v>
      </c>
    </row>
    <row r="1306" spans="1:9" x14ac:dyDescent="0.25">
      <c r="A1306" t="s">
        <v>1135</v>
      </c>
      <c r="B1306" t="s">
        <v>3248</v>
      </c>
      <c r="C1306" s="167">
        <v>158.66999999999999</v>
      </c>
      <c r="D1306" t="s">
        <v>563</v>
      </c>
      <c r="E1306" t="s">
        <v>1699</v>
      </c>
      <c r="F1306" t="s">
        <v>7339</v>
      </c>
      <c r="G1306" t="s">
        <v>7340</v>
      </c>
      <c r="I1306" t="s">
        <v>2809</v>
      </c>
    </row>
    <row r="1307" spans="1:9" x14ac:dyDescent="0.25">
      <c r="A1307" t="s">
        <v>1138</v>
      </c>
      <c r="B1307" t="s">
        <v>3251</v>
      </c>
      <c r="C1307" s="167">
        <v>158.66999999999999</v>
      </c>
      <c r="D1307" t="s">
        <v>671</v>
      </c>
      <c r="E1307" t="s">
        <v>1699</v>
      </c>
      <c r="F1307" t="s">
        <v>7339</v>
      </c>
      <c r="G1307" t="s">
        <v>7340</v>
      </c>
      <c r="I1307" t="s">
        <v>2809</v>
      </c>
    </row>
    <row r="1308" spans="1:9" x14ac:dyDescent="0.25">
      <c r="A1308" t="s">
        <v>1133</v>
      </c>
      <c r="B1308" t="s">
        <v>3246</v>
      </c>
      <c r="C1308" s="167">
        <v>158.66999999999999</v>
      </c>
      <c r="D1308" t="s">
        <v>21</v>
      </c>
      <c r="E1308" t="s">
        <v>1703</v>
      </c>
      <c r="F1308" t="s">
        <v>7339</v>
      </c>
      <c r="G1308" t="s">
        <v>7340</v>
      </c>
      <c r="I1308" t="s">
        <v>2809</v>
      </c>
    </row>
    <row r="1309" spans="1:9" x14ac:dyDescent="0.25">
      <c r="A1309" t="s">
        <v>1136</v>
      </c>
      <c r="B1309" t="s">
        <v>3249</v>
      </c>
      <c r="C1309" s="167">
        <v>158.66999999999999</v>
      </c>
      <c r="D1309" t="s">
        <v>563</v>
      </c>
      <c r="E1309" t="s">
        <v>1703</v>
      </c>
      <c r="F1309" t="s">
        <v>7339</v>
      </c>
      <c r="G1309" t="s">
        <v>7340</v>
      </c>
      <c r="I1309" t="s">
        <v>2809</v>
      </c>
    </row>
    <row r="1310" spans="1:9" x14ac:dyDescent="0.25">
      <c r="A1310" t="s">
        <v>1139</v>
      </c>
      <c r="B1310" t="s">
        <v>3252</v>
      </c>
      <c r="C1310" s="167">
        <v>158.66999999999999</v>
      </c>
      <c r="D1310" t="s">
        <v>671</v>
      </c>
      <c r="E1310" t="s">
        <v>1703</v>
      </c>
      <c r="F1310" t="s">
        <v>7339</v>
      </c>
      <c r="G1310" t="s">
        <v>7340</v>
      </c>
      <c r="I1310" t="s">
        <v>2809</v>
      </c>
    </row>
    <row r="1311" spans="1:9" x14ac:dyDescent="0.25">
      <c r="A1311" t="s">
        <v>1140</v>
      </c>
      <c r="B1311" t="s">
        <v>3253</v>
      </c>
      <c r="C1311" s="167">
        <v>178.49</v>
      </c>
      <c r="D1311" t="s">
        <v>21</v>
      </c>
      <c r="E1311" t="s">
        <v>1701</v>
      </c>
      <c r="F1311" t="s">
        <v>7341</v>
      </c>
      <c r="G1311" t="s">
        <v>7340</v>
      </c>
      <c r="I1311" t="s">
        <v>2809</v>
      </c>
    </row>
    <row r="1312" spans="1:9" x14ac:dyDescent="0.25">
      <c r="A1312" t="s">
        <v>1143</v>
      </c>
      <c r="B1312" t="s">
        <v>3256</v>
      </c>
      <c r="C1312" s="167">
        <v>178.49</v>
      </c>
      <c r="D1312" t="s">
        <v>563</v>
      </c>
      <c r="E1312" t="s">
        <v>1701</v>
      </c>
      <c r="F1312" t="s">
        <v>7341</v>
      </c>
      <c r="G1312" t="s">
        <v>7340</v>
      </c>
      <c r="I1312" t="s">
        <v>2809</v>
      </c>
    </row>
    <row r="1313" spans="1:9" x14ac:dyDescent="0.25">
      <c r="A1313" t="s">
        <v>1146</v>
      </c>
      <c r="B1313" t="s">
        <v>3259</v>
      </c>
      <c r="C1313" s="167">
        <v>178.49</v>
      </c>
      <c r="D1313" t="s">
        <v>671</v>
      </c>
      <c r="E1313" t="s">
        <v>1701</v>
      </c>
      <c r="F1313" t="s">
        <v>7341</v>
      </c>
      <c r="G1313" t="s">
        <v>7340</v>
      </c>
      <c r="I1313" t="s">
        <v>2809</v>
      </c>
    </row>
    <row r="1314" spans="1:9" x14ac:dyDescent="0.25">
      <c r="A1314" t="s">
        <v>1141</v>
      </c>
      <c r="B1314" t="s">
        <v>3254</v>
      </c>
      <c r="C1314" s="167">
        <v>178.49</v>
      </c>
      <c r="D1314" t="s">
        <v>21</v>
      </c>
      <c r="E1314" t="s">
        <v>1699</v>
      </c>
      <c r="F1314" t="s">
        <v>7341</v>
      </c>
      <c r="G1314" t="s">
        <v>7340</v>
      </c>
      <c r="I1314" t="s">
        <v>2809</v>
      </c>
    </row>
    <row r="1315" spans="1:9" x14ac:dyDescent="0.25">
      <c r="A1315" t="s">
        <v>1144</v>
      </c>
      <c r="B1315" t="s">
        <v>3257</v>
      </c>
      <c r="C1315" s="167">
        <v>178.49</v>
      </c>
      <c r="D1315" t="s">
        <v>563</v>
      </c>
      <c r="E1315" t="s">
        <v>1699</v>
      </c>
      <c r="F1315" t="s">
        <v>7341</v>
      </c>
      <c r="G1315" t="s">
        <v>7340</v>
      </c>
      <c r="I1315" t="s">
        <v>2809</v>
      </c>
    </row>
    <row r="1316" spans="1:9" x14ac:dyDescent="0.25">
      <c r="A1316" t="s">
        <v>1147</v>
      </c>
      <c r="B1316" t="s">
        <v>3260</v>
      </c>
      <c r="C1316" s="167">
        <v>178.49</v>
      </c>
      <c r="D1316" t="s">
        <v>671</v>
      </c>
      <c r="E1316" t="s">
        <v>1699</v>
      </c>
      <c r="F1316" t="s">
        <v>7341</v>
      </c>
      <c r="G1316" t="s">
        <v>7340</v>
      </c>
      <c r="I1316" t="s">
        <v>2809</v>
      </c>
    </row>
    <row r="1317" spans="1:9" x14ac:dyDescent="0.25">
      <c r="A1317" t="s">
        <v>1142</v>
      </c>
      <c r="B1317" t="s">
        <v>3255</v>
      </c>
      <c r="C1317" s="167">
        <v>178.49</v>
      </c>
      <c r="D1317" t="s">
        <v>21</v>
      </c>
      <c r="E1317" t="s">
        <v>1703</v>
      </c>
      <c r="F1317" t="s">
        <v>7341</v>
      </c>
      <c r="G1317" t="s">
        <v>7340</v>
      </c>
      <c r="I1317" t="s">
        <v>2809</v>
      </c>
    </row>
    <row r="1318" spans="1:9" x14ac:dyDescent="0.25">
      <c r="A1318" t="s">
        <v>1145</v>
      </c>
      <c r="B1318" t="s">
        <v>3258</v>
      </c>
      <c r="C1318" s="167">
        <v>178.49</v>
      </c>
      <c r="D1318" t="s">
        <v>563</v>
      </c>
      <c r="E1318" t="s">
        <v>1703</v>
      </c>
      <c r="F1318" t="s">
        <v>7341</v>
      </c>
      <c r="G1318" t="s">
        <v>7340</v>
      </c>
      <c r="I1318" t="s">
        <v>2809</v>
      </c>
    </row>
    <row r="1319" spans="1:9" x14ac:dyDescent="0.25">
      <c r="A1319" t="s">
        <v>1148</v>
      </c>
      <c r="B1319" t="s">
        <v>3261</v>
      </c>
      <c r="C1319" s="167">
        <v>178.49</v>
      </c>
      <c r="D1319" t="s">
        <v>671</v>
      </c>
      <c r="E1319" t="s">
        <v>1703</v>
      </c>
      <c r="F1319" t="s">
        <v>7341</v>
      </c>
      <c r="G1319" t="s">
        <v>7340</v>
      </c>
      <c r="I1319" t="s">
        <v>2809</v>
      </c>
    </row>
    <row r="1320" spans="1:9" x14ac:dyDescent="0.25">
      <c r="A1320" t="s">
        <v>1149</v>
      </c>
      <c r="B1320" t="s">
        <v>3262</v>
      </c>
      <c r="C1320" s="167">
        <v>198.33</v>
      </c>
      <c r="D1320" t="s">
        <v>21</v>
      </c>
      <c r="E1320" t="s">
        <v>1701</v>
      </c>
      <c r="F1320" t="s">
        <v>7344</v>
      </c>
      <c r="G1320" t="s">
        <v>7340</v>
      </c>
      <c r="I1320" t="s">
        <v>2809</v>
      </c>
    </row>
    <row r="1321" spans="1:9" x14ac:dyDescent="0.25">
      <c r="A1321" t="s">
        <v>1152</v>
      </c>
      <c r="B1321" t="s">
        <v>3265</v>
      </c>
      <c r="C1321" s="167">
        <v>198.33</v>
      </c>
      <c r="D1321" t="s">
        <v>563</v>
      </c>
      <c r="E1321" t="s">
        <v>1701</v>
      </c>
      <c r="F1321" t="s">
        <v>7344</v>
      </c>
      <c r="G1321" t="s">
        <v>7340</v>
      </c>
      <c r="I1321" t="s">
        <v>2809</v>
      </c>
    </row>
    <row r="1322" spans="1:9" x14ac:dyDescent="0.25">
      <c r="A1322" t="s">
        <v>1155</v>
      </c>
      <c r="B1322" t="s">
        <v>3268</v>
      </c>
      <c r="C1322" s="167">
        <v>198.33</v>
      </c>
      <c r="D1322" t="s">
        <v>671</v>
      </c>
      <c r="E1322" t="s">
        <v>1701</v>
      </c>
      <c r="F1322" t="s">
        <v>7344</v>
      </c>
      <c r="G1322" t="s">
        <v>7340</v>
      </c>
      <c r="I1322" t="s">
        <v>2809</v>
      </c>
    </row>
    <row r="1323" spans="1:9" x14ac:dyDescent="0.25">
      <c r="A1323" t="s">
        <v>1150</v>
      </c>
      <c r="B1323" t="s">
        <v>3263</v>
      </c>
      <c r="C1323" s="167">
        <v>198.33</v>
      </c>
      <c r="D1323" t="s">
        <v>21</v>
      </c>
      <c r="E1323" t="s">
        <v>1699</v>
      </c>
      <c r="F1323" t="s">
        <v>7344</v>
      </c>
      <c r="G1323" t="s">
        <v>7340</v>
      </c>
      <c r="I1323" t="s">
        <v>2809</v>
      </c>
    </row>
    <row r="1324" spans="1:9" x14ac:dyDescent="0.25">
      <c r="A1324" t="s">
        <v>1153</v>
      </c>
      <c r="B1324" t="s">
        <v>3266</v>
      </c>
      <c r="C1324" s="167">
        <v>198.33</v>
      </c>
      <c r="D1324" t="s">
        <v>563</v>
      </c>
      <c r="E1324" t="s">
        <v>1699</v>
      </c>
      <c r="F1324" t="s">
        <v>7344</v>
      </c>
      <c r="G1324" t="s">
        <v>7340</v>
      </c>
      <c r="I1324" t="s">
        <v>2809</v>
      </c>
    </row>
    <row r="1325" spans="1:9" x14ac:dyDescent="0.25">
      <c r="A1325" t="s">
        <v>1156</v>
      </c>
      <c r="B1325" t="s">
        <v>3269</v>
      </c>
      <c r="C1325" s="167">
        <v>198.33</v>
      </c>
      <c r="D1325" t="s">
        <v>671</v>
      </c>
      <c r="E1325" t="s">
        <v>1699</v>
      </c>
      <c r="F1325" t="s">
        <v>7344</v>
      </c>
      <c r="G1325" t="s">
        <v>7340</v>
      </c>
      <c r="I1325" t="s">
        <v>2809</v>
      </c>
    </row>
    <row r="1326" spans="1:9" x14ac:dyDescent="0.25">
      <c r="A1326" t="s">
        <v>1151</v>
      </c>
      <c r="B1326" t="s">
        <v>3264</v>
      </c>
      <c r="C1326" s="167">
        <v>198.33</v>
      </c>
      <c r="D1326" t="s">
        <v>21</v>
      </c>
      <c r="E1326" t="s">
        <v>1703</v>
      </c>
      <c r="F1326" t="s">
        <v>7344</v>
      </c>
      <c r="G1326" t="s">
        <v>7340</v>
      </c>
      <c r="I1326" t="s">
        <v>2809</v>
      </c>
    </row>
    <row r="1327" spans="1:9" x14ac:dyDescent="0.25">
      <c r="A1327" t="s">
        <v>1154</v>
      </c>
      <c r="B1327" t="s">
        <v>3267</v>
      </c>
      <c r="C1327" s="167">
        <v>198.33</v>
      </c>
      <c r="D1327" t="s">
        <v>563</v>
      </c>
      <c r="E1327" t="s">
        <v>1703</v>
      </c>
      <c r="F1327" t="s">
        <v>7344</v>
      </c>
      <c r="G1327" t="s">
        <v>7340</v>
      </c>
      <c r="I1327" t="s">
        <v>2809</v>
      </c>
    </row>
    <row r="1328" spans="1:9" x14ac:dyDescent="0.25">
      <c r="A1328" t="s">
        <v>1157</v>
      </c>
      <c r="B1328" t="s">
        <v>3270</v>
      </c>
      <c r="C1328" s="167">
        <v>198.33</v>
      </c>
      <c r="D1328" t="s">
        <v>671</v>
      </c>
      <c r="E1328" t="s">
        <v>1703</v>
      </c>
      <c r="F1328" t="s">
        <v>7344</v>
      </c>
      <c r="G1328" t="s">
        <v>7340</v>
      </c>
      <c r="I1328" t="s">
        <v>2809</v>
      </c>
    </row>
    <row r="1329" spans="1:9" x14ac:dyDescent="0.25">
      <c r="A1329" t="s">
        <v>1158</v>
      </c>
      <c r="B1329" t="s">
        <v>3271</v>
      </c>
      <c r="C1329" s="167">
        <v>218.15</v>
      </c>
      <c r="D1329" t="s">
        <v>21</v>
      </c>
      <c r="E1329" t="s">
        <v>1701</v>
      </c>
      <c r="F1329" t="s">
        <v>7343</v>
      </c>
      <c r="G1329" t="s">
        <v>7340</v>
      </c>
      <c r="I1329" t="s">
        <v>2809</v>
      </c>
    </row>
    <row r="1330" spans="1:9" x14ac:dyDescent="0.25">
      <c r="A1330" t="s">
        <v>1161</v>
      </c>
      <c r="B1330" t="s">
        <v>3274</v>
      </c>
      <c r="C1330" s="167">
        <v>218.15</v>
      </c>
      <c r="D1330" t="s">
        <v>563</v>
      </c>
      <c r="E1330" t="s">
        <v>1701</v>
      </c>
      <c r="F1330" t="s">
        <v>7343</v>
      </c>
      <c r="G1330" t="s">
        <v>7340</v>
      </c>
      <c r="I1330" t="s">
        <v>2809</v>
      </c>
    </row>
    <row r="1331" spans="1:9" x14ac:dyDescent="0.25">
      <c r="A1331" t="s">
        <v>1164</v>
      </c>
      <c r="B1331" t="s">
        <v>3277</v>
      </c>
      <c r="C1331" s="167">
        <v>218.15</v>
      </c>
      <c r="D1331" t="s">
        <v>671</v>
      </c>
      <c r="E1331" t="s">
        <v>1701</v>
      </c>
      <c r="F1331" t="s">
        <v>7343</v>
      </c>
      <c r="G1331" t="s">
        <v>7340</v>
      </c>
      <c r="I1331" t="s">
        <v>2809</v>
      </c>
    </row>
    <row r="1332" spans="1:9" x14ac:dyDescent="0.25">
      <c r="A1332" t="s">
        <v>1159</v>
      </c>
      <c r="B1332" t="s">
        <v>3272</v>
      </c>
      <c r="C1332" s="167">
        <v>218.15</v>
      </c>
      <c r="D1332" t="s">
        <v>21</v>
      </c>
      <c r="E1332" t="s">
        <v>1699</v>
      </c>
      <c r="F1332" t="s">
        <v>7343</v>
      </c>
      <c r="G1332" t="s">
        <v>7340</v>
      </c>
      <c r="I1332" t="s">
        <v>2809</v>
      </c>
    </row>
    <row r="1333" spans="1:9" x14ac:dyDescent="0.25">
      <c r="A1333" t="s">
        <v>1162</v>
      </c>
      <c r="B1333" t="s">
        <v>3275</v>
      </c>
      <c r="C1333" s="167">
        <v>218.15</v>
      </c>
      <c r="D1333" t="s">
        <v>563</v>
      </c>
      <c r="E1333" t="s">
        <v>1699</v>
      </c>
      <c r="F1333" t="s">
        <v>7343</v>
      </c>
      <c r="G1333" t="s">
        <v>7340</v>
      </c>
      <c r="I1333" t="s">
        <v>2809</v>
      </c>
    </row>
    <row r="1334" spans="1:9" x14ac:dyDescent="0.25">
      <c r="A1334" t="s">
        <v>1165</v>
      </c>
      <c r="B1334" t="s">
        <v>3278</v>
      </c>
      <c r="C1334" s="167">
        <v>218.15</v>
      </c>
      <c r="D1334" t="s">
        <v>671</v>
      </c>
      <c r="E1334" t="s">
        <v>1699</v>
      </c>
      <c r="F1334" t="s">
        <v>7343</v>
      </c>
      <c r="G1334" t="s">
        <v>7340</v>
      </c>
      <c r="I1334" t="s">
        <v>2809</v>
      </c>
    </row>
    <row r="1335" spans="1:9" x14ac:dyDescent="0.25">
      <c r="A1335" t="s">
        <v>1160</v>
      </c>
      <c r="B1335" t="s">
        <v>3273</v>
      </c>
      <c r="C1335" s="167">
        <v>218.15</v>
      </c>
      <c r="D1335" t="s">
        <v>21</v>
      </c>
      <c r="E1335" t="s">
        <v>1703</v>
      </c>
      <c r="F1335" t="s">
        <v>7343</v>
      </c>
      <c r="G1335" t="s">
        <v>7340</v>
      </c>
      <c r="I1335" t="s">
        <v>2809</v>
      </c>
    </row>
    <row r="1336" spans="1:9" x14ac:dyDescent="0.25">
      <c r="A1336" t="s">
        <v>1163</v>
      </c>
      <c r="B1336" t="s">
        <v>3276</v>
      </c>
      <c r="C1336" s="167">
        <v>218.15</v>
      </c>
      <c r="D1336" t="s">
        <v>563</v>
      </c>
      <c r="E1336" t="s">
        <v>1703</v>
      </c>
      <c r="F1336" t="s">
        <v>7343</v>
      </c>
      <c r="G1336" t="s">
        <v>7340</v>
      </c>
      <c r="I1336" t="s">
        <v>2809</v>
      </c>
    </row>
    <row r="1337" spans="1:9" x14ac:dyDescent="0.25">
      <c r="A1337" t="s">
        <v>1166</v>
      </c>
      <c r="B1337" t="s">
        <v>3279</v>
      </c>
      <c r="C1337" s="167">
        <v>218.15</v>
      </c>
      <c r="D1337" t="s">
        <v>671</v>
      </c>
      <c r="E1337" t="s">
        <v>1703</v>
      </c>
      <c r="F1337" t="s">
        <v>7343</v>
      </c>
      <c r="G1337" t="s">
        <v>7340</v>
      </c>
      <c r="I1337" t="s">
        <v>2809</v>
      </c>
    </row>
    <row r="1338" spans="1:9" x14ac:dyDescent="0.25">
      <c r="A1338" t="s">
        <v>1167</v>
      </c>
      <c r="B1338" t="s">
        <v>3280</v>
      </c>
      <c r="C1338" s="167">
        <v>165.27</v>
      </c>
      <c r="D1338" t="s">
        <v>21</v>
      </c>
      <c r="E1338" t="s">
        <v>1701</v>
      </c>
      <c r="F1338" t="s">
        <v>7339</v>
      </c>
      <c r="G1338" t="s">
        <v>7340</v>
      </c>
      <c r="I1338" t="s">
        <v>2809</v>
      </c>
    </row>
    <row r="1339" spans="1:9" x14ac:dyDescent="0.25">
      <c r="A1339" t="s">
        <v>1170</v>
      </c>
      <c r="B1339" t="s">
        <v>3283</v>
      </c>
      <c r="C1339" s="167">
        <v>165.27</v>
      </c>
      <c r="D1339" t="s">
        <v>563</v>
      </c>
      <c r="E1339" t="s">
        <v>1701</v>
      </c>
      <c r="F1339" t="s">
        <v>7339</v>
      </c>
      <c r="G1339" t="s">
        <v>7340</v>
      </c>
      <c r="I1339" t="s">
        <v>2809</v>
      </c>
    </row>
    <row r="1340" spans="1:9" x14ac:dyDescent="0.25">
      <c r="A1340" t="s">
        <v>1173</v>
      </c>
      <c r="B1340" t="s">
        <v>3286</v>
      </c>
      <c r="C1340" s="167">
        <v>165.27</v>
      </c>
      <c r="D1340" t="s">
        <v>671</v>
      </c>
      <c r="E1340" t="s">
        <v>1701</v>
      </c>
      <c r="F1340" t="s">
        <v>7339</v>
      </c>
      <c r="G1340" t="s">
        <v>7340</v>
      </c>
      <c r="I1340" t="s">
        <v>2809</v>
      </c>
    </row>
    <row r="1341" spans="1:9" x14ac:dyDescent="0.25">
      <c r="A1341" t="s">
        <v>1168</v>
      </c>
      <c r="B1341" t="s">
        <v>3281</v>
      </c>
      <c r="C1341" s="167">
        <v>165.27</v>
      </c>
      <c r="D1341" t="s">
        <v>21</v>
      </c>
      <c r="E1341" t="s">
        <v>1699</v>
      </c>
      <c r="F1341" t="s">
        <v>7339</v>
      </c>
      <c r="G1341" t="s">
        <v>7340</v>
      </c>
      <c r="I1341" t="s">
        <v>2809</v>
      </c>
    </row>
    <row r="1342" spans="1:9" x14ac:dyDescent="0.25">
      <c r="A1342" t="s">
        <v>1171</v>
      </c>
      <c r="B1342" t="s">
        <v>3284</v>
      </c>
      <c r="C1342" s="167">
        <v>165.27</v>
      </c>
      <c r="D1342" t="s">
        <v>563</v>
      </c>
      <c r="E1342" t="s">
        <v>1699</v>
      </c>
      <c r="F1342" t="s">
        <v>7339</v>
      </c>
      <c r="G1342" t="s">
        <v>7340</v>
      </c>
      <c r="I1342" t="s">
        <v>2809</v>
      </c>
    </row>
    <row r="1343" spans="1:9" x14ac:dyDescent="0.25">
      <c r="A1343" t="s">
        <v>1174</v>
      </c>
      <c r="B1343" t="s">
        <v>3287</v>
      </c>
      <c r="C1343" s="167">
        <v>165.27</v>
      </c>
      <c r="D1343" t="s">
        <v>671</v>
      </c>
      <c r="E1343" t="s">
        <v>1699</v>
      </c>
      <c r="F1343" t="s">
        <v>7339</v>
      </c>
      <c r="G1343" t="s">
        <v>7340</v>
      </c>
      <c r="I1343" t="s">
        <v>2809</v>
      </c>
    </row>
    <row r="1344" spans="1:9" x14ac:dyDescent="0.25">
      <c r="A1344" t="s">
        <v>1169</v>
      </c>
      <c r="B1344" t="s">
        <v>3282</v>
      </c>
      <c r="C1344" s="167">
        <v>165.27</v>
      </c>
      <c r="D1344" t="s">
        <v>21</v>
      </c>
      <c r="E1344" t="s">
        <v>1703</v>
      </c>
      <c r="F1344" t="s">
        <v>7339</v>
      </c>
      <c r="G1344" t="s">
        <v>7340</v>
      </c>
      <c r="I1344" t="s">
        <v>2809</v>
      </c>
    </row>
    <row r="1345" spans="1:9" x14ac:dyDescent="0.25">
      <c r="A1345" t="s">
        <v>1172</v>
      </c>
      <c r="B1345" t="s">
        <v>3285</v>
      </c>
      <c r="C1345" s="167">
        <v>165.27</v>
      </c>
      <c r="D1345" t="s">
        <v>563</v>
      </c>
      <c r="E1345" t="s">
        <v>1703</v>
      </c>
      <c r="F1345" t="s">
        <v>7339</v>
      </c>
      <c r="G1345" t="s">
        <v>7340</v>
      </c>
      <c r="I1345" t="s">
        <v>2809</v>
      </c>
    </row>
    <row r="1346" spans="1:9" x14ac:dyDescent="0.25">
      <c r="A1346" t="s">
        <v>1175</v>
      </c>
      <c r="B1346" t="s">
        <v>3288</v>
      </c>
      <c r="C1346" s="167">
        <v>165.27</v>
      </c>
      <c r="D1346" t="s">
        <v>671</v>
      </c>
      <c r="E1346" t="s">
        <v>1703</v>
      </c>
      <c r="F1346" t="s">
        <v>7339</v>
      </c>
      <c r="G1346" t="s">
        <v>7340</v>
      </c>
      <c r="I1346" t="s">
        <v>2809</v>
      </c>
    </row>
    <row r="1347" spans="1:9" x14ac:dyDescent="0.25">
      <c r="A1347" t="s">
        <v>1176</v>
      </c>
      <c r="B1347" t="s">
        <v>3289</v>
      </c>
      <c r="C1347" s="167">
        <v>185.1</v>
      </c>
      <c r="D1347" t="s">
        <v>21</v>
      </c>
      <c r="E1347" t="s">
        <v>1701</v>
      </c>
      <c r="F1347" t="s">
        <v>7341</v>
      </c>
      <c r="G1347" t="s">
        <v>7340</v>
      </c>
      <c r="I1347" t="s">
        <v>2809</v>
      </c>
    </row>
    <row r="1348" spans="1:9" x14ac:dyDescent="0.25">
      <c r="A1348" t="s">
        <v>1179</v>
      </c>
      <c r="B1348" t="s">
        <v>3292</v>
      </c>
      <c r="C1348" s="167">
        <v>185.1</v>
      </c>
      <c r="D1348" t="s">
        <v>563</v>
      </c>
      <c r="E1348" t="s">
        <v>1701</v>
      </c>
      <c r="F1348" t="s">
        <v>7341</v>
      </c>
      <c r="G1348" t="s">
        <v>7340</v>
      </c>
      <c r="I1348" t="s">
        <v>2809</v>
      </c>
    </row>
    <row r="1349" spans="1:9" x14ac:dyDescent="0.25">
      <c r="A1349" t="s">
        <v>1182</v>
      </c>
      <c r="B1349" t="s">
        <v>3295</v>
      </c>
      <c r="C1349" s="167">
        <v>185.1</v>
      </c>
      <c r="D1349" t="s">
        <v>671</v>
      </c>
      <c r="E1349" t="s">
        <v>1701</v>
      </c>
      <c r="F1349" t="s">
        <v>7341</v>
      </c>
      <c r="G1349" t="s">
        <v>7340</v>
      </c>
      <c r="I1349" t="s">
        <v>2809</v>
      </c>
    </row>
    <row r="1350" spans="1:9" x14ac:dyDescent="0.25">
      <c r="A1350" t="s">
        <v>1177</v>
      </c>
      <c r="B1350" t="s">
        <v>3290</v>
      </c>
      <c r="C1350" s="167">
        <v>185.1</v>
      </c>
      <c r="D1350" t="s">
        <v>21</v>
      </c>
      <c r="E1350" t="s">
        <v>1699</v>
      </c>
      <c r="F1350" t="s">
        <v>7341</v>
      </c>
      <c r="G1350" t="s">
        <v>7340</v>
      </c>
      <c r="I1350" t="s">
        <v>2809</v>
      </c>
    </row>
    <row r="1351" spans="1:9" x14ac:dyDescent="0.25">
      <c r="A1351" t="s">
        <v>1180</v>
      </c>
      <c r="B1351" t="s">
        <v>3293</v>
      </c>
      <c r="C1351" s="167">
        <v>185.1</v>
      </c>
      <c r="D1351" t="s">
        <v>563</v>
      </c>
      <c r="E1351" t="s">
        <v>1699</v>
      </c>
      <c r="F1351" t="s">
        <v>7341</v>
      </c>
      <c r="G1351" t="s">
        <v>7340</v>
      </c>
      <c r="I1351" t="s">
        <v>2809</v>
      </c>
    </row>
    <row r="1352" spans="1:9" x14ac:dyDescent="0.25">
      <c r="A1352" t="s">
        <v>1183</v>
      </c>
      <c r="B1352" t="s">
        <v>3296</v>
      </c>
      <c r="C1352" s="167">
        <v>185.1</v>
      </c>
      <c r="D1352" t="s">
        <v>671</v>
      </c>
      <c r="E1352" t="s">
        <v>1699</v>
      </c>
      <c r="F1352" t="s">
        <v>7341</v>
      </c>
      <c r="G1352" t="s">
        <v>7340</v>
      </c>
      <c r="I1352" t="s">
        <v>2809</v>
      </c>
    </row>
    <row r="1353" spans="1:9" x14ac:dyDescent="0.25">
      <c r="A1353" t="s">
        <v>1178</v>
      </c>
      <c r="B1353" t="s">
        <v>3291</v>
      </c>
      <c r="C1353" s="167">
        <v>185.1</v>
      </c>
      <c r="D1353" t="s">
        <v>21</v>
      </c>
      <c r="E1353" t="s">
        <v>1703</v>
      </c>
      <c r="F1353" t="s">
        <v>7341</v>
      </c>
      <c r="G1353" t="s">
        <v>7340</v>
      </c>
      <c r="I1353" t="s">
        <v>2809</v>
      </c>
    </row>
    <row r="1354" spans="1:9" x14ac:dyDescent="0.25">
      <c r="A1354" t="s">
        <v>1181</v>
      </c>
      <c r="B1354" t="s">
        <v>3294</v>
      </c>
      <c r="C1354" s="167">
        <v>185.1</v>
      </c>
      <c r="D1354" t="s">
        <v>563</v>
      </c>
      <c r="E1354" t="s">
        <v>1703</v>
      </c>
      <c r="F1354" t="s">
        <v>7341</v>
      </c>
      <c r="G1354" t="s">
        <v>7340</v>
      </c>
      <c r="I1354" t="s">
        <v>2809</v>
      </c>
    </row>
    <row r="1355" spans="1:9" x14ac:dyDescent="0.25">
      <c r="A1355" t="s">
        <v>1184</v>
      </c>
      <c r="B1355" t="s">
        <v>3297</v>
      </c>
      <c r="C1355" s="167">
        <v>185.1</v>
      </c>
      <c r="D1355" t="s">
        <v>671</v>
      </c>
      <c r="E1355" t="s">
        <v>1703</v>
      </c>
      <c r="F1355" t="s">
        <v>7341</v>
      </c>
      <c r="G1355" t="s">
        <v>7340</v>
      </c>
      <c r="I1355" t="s">
        <v>2809</v>
      </c>
    </row>
    <row r="1356" spans="1:9" x14ac:dyDescent="0.25">
      <c r="A1356" t="s">
        <v>1185</v>
      </c>
      <c r="B1356" t="s">
        <v>3298</v>
      </c>
      <c r="C1356" s="167">
        <v>198.33</v>
      </c>
      <c r="D1356" t="s">
        <v>21</v>
      </c>
      <c r="E1356" t="s">
        <v>1701</v>
      </c>
      <c r="F1356" t="s">
        <v>7344</v>
      </c>
      <c r="G1356" t="s">
        <v>7340</v>
      </c>
      <c r="I1356" t="s">
        <v>2809</v>
      </c>
    </row>
    <row r="1357" spans="1:9" x14ac:dyDescent="0.25">
      <c r="A1357" t="s">
        <v>1188</v>
      </c>
      <c r="B1357" t="s">
        <v>3301</v>
      </c>
      <c r="C1357" s="167">
        <v>198.33</v>
      </c>
      <c r="D1357" t="s">
        <v>563</v>
      </c>
      <c r="E1357" t="s">
        <v>1701</v>
      </c>
      <c r="F1357" t="s">
        <v>7344</v>
      </c>
      <c r="G1357" t="s">
        <v>7340</v>
      </c>
      <c r="I1357" t="s">
        <v>2809</v>
      </c>
    </row>
    <row r="1358" spans="1:9" x14ac:dyDescent="0.25">
      <c r="A1358" t="s">
        <v>1191</v>
      </c>
      <c r="B1358" t="s">
        <v>3304</v>
      </c>
      <c r="C1358" s="167">
        <v>198.33</v>
      </c>
      <c r="D1358" t="s">
        <v>671</v>
      </c>
      <c r="E1358" t="s">
        <v>1701</v>
      </c>
      <c r="F1358" t="s">
        <v>7344</v>
      </c>
      <c r="G1358" t="s">
        <v>7340</v>
      </c>
      <c r="I1358" t="s">
        <v>2809</v>
      </c>
    </row>
    <row r="1359" spans="1:9" x14ac:dyDescent="0.25">
      <c r="A1359" t="s">
        <v>1186</v>
      </c>
      <c r="B1359" t="s">
        <v>3299</v>
      </c>
      <c r="C1359" s="167">
        <v>198.33</v>
      </c>
      <c r="D1359" t="s">
        <v>21</v>
      </c>
      <c r="E1359" t="s">
        <v>1699</v>
      </c>
      <c r="F1359" t="s">
        <v>7344</v>
      </c>
      <c r="G1359" t="s">
        <v>7340</v>
      </c>
      <c r="I1359" t="s">
        <v>2809</v>
      </c>
    </row>
    <row r="1360" spans="1:9" x14ac:dyDescent="0.25">
      <c r="A1360" t="s">
        <v>1189</v>
      </c>
      <c r="B1360" t="s">
        <v>3302</v>
      </c>
      <c r="C1360" s="167">
        <v>198.33</v>
      </c>
      <c r="D1360" t="s">
        <v>563</v>
      </c>
      <c r="E1360" t="s">
        <v>1699</v>
      </c>
      <c r="F1360" t="s">
        <v>7344</v>
      </c>
      <c r="G1360" t="s">
        <v>7340</v>
      </c>
      <c r="I1360" t="s">
        <v>2809</v>
      </c>
    </row>
    <row r="1361" spans="1:9" x14ac:dyDescent="0.25">
      <c r="A1361" t="s">
        <v>1192</v>
      </c>
      <c r="B1361" t="s">
        <v>3305</v>
      </c>
      <c r="C1361" s="167">
        <v>198.33</v>
      </c>
      <c r="D1361" t="s">
        <v>671</v>
      </c>
      <c r="E1361" t="s">
        <v>1699</v>
      </c>
      <c r="F1361" t="s">
        <v>7344</v>
      </c>
      <c r="G1361" t="s">
        <v>7340</v>
      </c>
      <c r="I1361" t="s">
        <v>2809</v>
      </c>
    </row>
    <row r="1362" spans="1:9" x14ac:dyDescent="0.25">
      <c r="A1362" t="s">
        <v>1187</v>
      </c>
      <c r="B1362" t="s">
        <v>3300</v>
      </c>
      <c r="C1362" s="167">
        <v>198.33</v>
      </c>
      <c r="D1362" t="s">
        <v>21</v>
      </c>
      <c r="E1362" t="s">
        <v>1703</v>
      </c>
      <c r="F1362" t="s">
        <v>7344</v>
      </c>
      <c r="G1362" t="s">
        <v>7340</v>
      </c>
      <c r="I1362" t="s">
        <v>2809</v>
      </c>
    </row>
    <row r="1363" spans="1:9" x14ac:dyDescent="0.25">
      <c r="A1363" t="s">
        <v>1190</v>
      </c>
      <c r="B1363" t="s">
        <v>3303</v>
      </c>
      <c r="C1363" s="167">
        <v>198.33</v>
      </c>
      <c r="D1363" t="s">
        <v>563</v>
      </c>
      <c r="E1363" t="s">
        <v>1703</v>
      </c>
      <c r="F1363" t="s">
        <v>7344</v>
      </c>
      <c r="G1363" t="s">
        <v>7340</v>
      </c>
      <c r="I1363" t="s">
        <v>2809</v>
      </c>
    </row>
    <row r="1364" spans="1:9" x14ac:dyDescent="0.25">
      <c r="A1364" t="s">
        <v>1193</v>
      </c>
      <c r="B1364" t="s">
        <v>3306</v>
      </c>
      <c r="C1364" s="167">
        <v>198.33</v>
      </c>
      <c r="D1364" t="s">
        <v>671</v>
      </c>
      <c r="E1364" t="s">
        <v>1703</v>
      </c>
      <c r="F1364" t="s">
        <v>7344</v>
      </c>
      <c r="G1364" t="s">
        <v>7340</v>
      </c>
      <c r="I1364" t="s">
        <v>2809</v>
      </c>
    </row>
    <row r="1365" spans="1:9" x14ac:dyDescent="0.25">
      <c r="A1365" t="s">
        <v>1194</v>
      </c>
      <c r="B1365" t="s">
        <v>3307</v>
      </c>
      <c r="C1365" s="167">
        <v>218.15</v>
      </c>
      <c r="D1365" t="s">
        <v>21</v>
      </c>
      <c r="E1365" t="s">
        <v>1701</v>
      </c>
      <c r="F1365" t="s">
        <v>7343</v>
      </c>
      <c r="G1365" t="s">
        <v>7340</v>
      </c>
      <c r="I1365" t="s">
        <v>2809</v>
      </c>
    </row>
    <row r="1366" spans="1:9" x14ac:dyDescent="0.25">
      <c r="A1366" t="s">
        <v>1197</v>
      </c>
      <c r="B1366" t="s">
        <v>3310</v>
      </c>
      <c r="C1366" s="167">
        <v>218.15</v>
      </c>
      <c r="D1366" t="s">
        <v>563</v>
      </c>
      <c r="E1366" t="s">
        <v>1701</v>
      </c>
      <c r="F1366" t="s">
        <v>7343</v>
      </c>
      <c r="G1366" t="s">
        <v>7340</v>
      </c>
      <c r="I1366" t="s">
        <v>2809</v>
      </c>
    </row>
    <row r="1367" spans="1:9" x14ac:dyDescent="0.25">
      <c r="A1367" t="s">
        <v>1200</v>
      </c>
      <c r="B1367" t="s">
        <v>3313</v>
      </c>
      <c r="C1367" s="167">
        <v>218.15</v>
      </c>
      <c r="D1367" t="s">
        <v>671</v>
      </c>
      <c r="E1367" t="s">
        <v>1701</v>
      </c>
      <c r="F1367" t="s">
        <v>7343</v>
      </c>
      <c r="G1367" t="s">
        <v>7340</v>
      </c>
      <c r="I1367" t="s">
        <v>2809</v>
      </c>
    </row>
    <row r="1368" spans="1:9" x14ac:dyDescent="0.25">
      <c r="A1368" t="s">
        <v>1195</v>
      </c>
      <c r="B1368" t="s">
        <v>3308</v>
      </c>
      <c r="C1368" s="167">
        <v>218.15</v>
      </c>
      <c r="D1368" t="s">
        <v>21</v>
      </c>
      <c r="E1368" t="s">
        <v>1699</v>
      </c>
      <c r="F1368" t="s">
        <v>7343</v>
      </c>
      <c r="G1368" t="s">
        <v>7340</v>
      </c>
      <c r="I1368" t="s">
        <v>2809</v>
      </c>
    </row>
    <row r="1369" spans="1:9" x14ac:dyDescent="0.25">
      <c r="A1369" t="s">
        <v>1198</v>
      </c>
      <c r="B1369" t="s">
        <v>3311</v>
      </c>
      <c r="C1369" s="167">
        <v>218.15</v>
      </c>
      <c r="D1369" t="s">
        <v>563</v>
      </c>
      <c r="E1369" t="s">
        <v>1699</v>
      </c>
      <c r="F1369" t="s">
        <v>7343</v>
      </c>
      <c r="G1369" t="s">
        <v>7340</v>
      </c>
      <c r="I1369" t="s">
        <v>2809</v>
      </c>
    </row>
    <row r="1370" spans="1:9" x14ac:dyDescent="0.25">
      <c r="A1370" t="s">
        <v>1201</v>
      </c>
      <c r="B1370" t="s">
        <v>3314</v>
      </c>
      <c r="C1370" s="167">
        <v>218.15</v>
      </c>
      <c r="D1370" t="s">
        <v>671</v>
      </c>
      <c r="E1370" t="s">
        <v>1699</v>
      </c>
      <c r="F1370" t="s">
        <v>7343</v>
      </c>
      <c r="G1370" t="s">
        <v>7340</v>
      </c>
      <c r="I1370" t="s">
        <v>2809</v>
      </c>
    </row>
    <row r="1371" spans="1:9" x14ac:dyDescent="0.25">
      <c r="A1371" t="s">
        <v>1196</v>
      </c>
      <c r="B1371" t="s">
        <v>3309</v>
      </c>
      <c r="C1371" s="167">
        <v>218.15</v>
      </c>
      <c r="D1371" t="s">
        <v>21</v>
      </c>
      <c r="E1371" t="s">
        <v>1703</v>
      </c>
      <c r="F1371" t="s">
        <v>7343</v>
      </c>
      <c r="G1371" t="s">
        <v>7340</v>
      </c>
      <c r="I1371" t="s">
        <v>2809</v>
      </c>
    </row>
    <row r="1372" spans="1:9" x14ac:dyDescent="0.25">
      <c r="A1372" t="s">
        <v>1199</v>
      </c>
      <c r="B1372" t="s">
        <v>3312</v>
      </c>
      <c r="C1372" s="167">
        <v>218.15</v>
      </c>
      <c r="D1372" t="s">
        <v>563</v>
      </c>
      <c r="E1372" t="s">
        <v>1703</v>
      </c>
      <c r="F1372" t="s">
        <v>7343</v>
      </c>
      <c r="G1372" t="s">
        <v>7340</v>
      </c>
      <c r="I1372" t="s">
        <v>2809</v>
      </c>
    </row>
    <row r="1373" spans="1:9" x14ac:dyDescent="0.25">
      <c r="A1373" t="s">
        <v>1202</v>
      </c>
      <c r="B1373" t="s">
        <v>3315</v>
      </c>
      <c r="C1373" s="167">
        <v>218.15</v>
      </c>
      <c r="D1373" t="s">
        <v>671</v>
      </c>
      <c r="E1373" t="s">
        <v>1703</v>
      </c>
      <c r="F1373" t="s">
        <v>7343</v>
      </c>
      <c r="G1373" t="s">
        <v>7340</v>
      </c>
      <c r="I1373" t="s">
        <v>2809</v>
      </c>
    </row>
    <row r="1374" spans="1:9" x14ac:dyDescent="0.25">
      <c r="A1374" t="s">
        <v>1203</v>
      </c>
      <c r="B1374" t="s">
        <v>3316</v>
      </c>
      <c r="C1374" s="167">
        <v>132.22</v>
      </c>
      <c r="D1374" t="s">
        <v>21</v>
      </c>
      <c r="E1374" t="s">
        <v>2853</v>
      </c>
      <c r="F1374" t="s">
        <v>7339</v>
      </c>
      <c r="G1374" t="s">
        <v>7340</v>
      </c>
      <c r="I1374" t="s">
        <v>2809</v>
      </c>
    </row>
    <row r="1375" spans="1:9" x14ac:dyDescent="0.25">
      <c r="A1375" t="s">
        <v>1204</v>
      </c>
      <c r="B1375" t="s">
        <v>3317</v>
      </c>
      <c r="C1375" s="167">
        <v>132.22</v>
      </c>
      <c r="D1375" t="s">
        <v>563</v>
      </c>
      <c r="E1375" t="s">
        <v>2853</v>
      </c>
      <c r="F1375" t="s">
        <v>7339</v>
      </c>
      <c r="G1375" t="s">
        <v>7340</v>
      </c>
      <c r="I1375" t="s">
        <v>2809</v>
      </c>
    </row>
    <row r="1376" spans="1:9" x14ac:dyDescent="0.25">
      <c r="A1376" t="s">
        <v>1205</v>
      </c>
      <c r="B1376" t="s">
        <v>3318</v>
      </c>
      <c r="C1376" s="167">
        <v>132.22</v>
      </c>
      <c r="D1376" t="s">
        <v>671</v>
      </c>
      <c r="E1376" t="s">
        <v>2853</v>
      </c>
      <c r="F1376" t="s">
        <v>7339</v>
      </c>
      <c r="G1376" t="s">
        <v>7340</v>
      </c>
      <c r="I1376" t="s">
        <v>2809</v>
      </c>
    </row>
    <row r="1377" spans="1:9" x14ac:dyDescent="0.25">
      <c r="A1377" t="s">
        <v>1206</v>
      </c>
      <c r="B1377" t="s">
        <v>3319</v>
      </c>
      <c r="C1377" s="167">
        <v>138.81</v>
      </c>
      <c r="D1377" t="s">
        <v>21</v>
      </c>
      <c r="E1377" t="s">
        <v>2853</v>
      </c>
      <c r="F1377" t="s">
        <v>7341</v>
      </c>
      <c r="G1377" t="s">
        <v>7340</v>
      </c>
      <c r="I1377" t="s">
        <v>2809</v>
      </c>
    </row>
    <row r="1378" spans="1:9" x14ac:dyDescent="0.25">
      <c r="A1378" t="s">
        <v>1207</v>
      </c>
      <c r="B1378" t="s">
        <v>3320</v>
      </c>
      <c r="C1378" s="167">
        <v>138.81</v>
      </c>
      <c r="D1378" t="s">
        <v>563</v>
      </c>
      <c r="E1378" t="s">
        <v>2853</v>
      </c>
      <c r="F1378" t="s">
        <v>7341</v>
      </c>
      <c r="G1378" t="s">
        <v>7340</v>
      </c>
      <c r="I1378" t="s">
        <v>2809</v>
      </c>
    </row>
    <row r="1379" spans="1:9" x14ac:dyDescent="0.25">
      <c r="A1379" t="s">
        <v>1208</v>
      </c>
      <c r="B1379" t="s">
        <v>3321</v>
      </c>
      <c r="C1379" s="167">
        <v>138.81</v>
      </c>
      <c r="D1379" t="s">
        <v>671</v>
      </c>
      <c r="E1379" t="s">
        <v>2853</v>
      </c>
      <c r="F1379" t="s">
        <v>7341</v>
      </c>
      <c r="G1379" t="s">
        <v>7340</v>
      </c>
      <c r="I1379" t="s">
        <v>2809</v>
      </c>
    </row>
    <row r="1380" spans="1:9" x14ac:dyDescent="0.25">
      <c r="A1380" t="s">
        <v>1209</v>
      </c>
      <c r="B1380" t="s">
        <v>3322</v>
      </c>
      <c r="C1380" s="167">
        <v>145.44</v>
      </c>
      <c r="D1380" t="s">
        <v>21</v>
      </c>
      <c r="E1380" t="s">
        <v>2853</v>
      </c>
      <c r="F1380" t="s">
        <v>7344</v>
      </c>
      <c r="G1380" t="s">
        <v>7340</v>
      </c>
      <c r="I1380" t="s">
        <v>2809</v>
      </c>
    </row>
    <row r="1381" spans="1:9" x14ac:dyDescent="0.25">
      <c r="A1381" t="s">
        <v>1210</v>
      </c>
      <c r="B1381" t="s">
        <v>3323</v>
      </c>
      <c r="C1381" s="167">
        <v>145.44</v>
      </c>
      <c r="D1381" t="s">
        <v>563</v>
      </c>
      <c r="E1381" t="s">
        <v>2853</v>
      </c>
      <c r="F1381" t="s">
        <v>7344</v>
      </c>
      <c r="G1381" t="s">
        <v>7340</v>
      </c>
      <c r="I1381" t="s">
        <v>2809</v>
      </c>
    </row>
    <row r="1382" spans="1:9" x14ac:dyDescent="0.25">
      <c r="A1382" t="s">
        <v>1211</v>
      </c>
      <c r="B1382" t="s">
        <v>3324</v>
      </c>
      <c r="C1382" s="167">
        <v>145.44</v>
      </c>
      <c r="D1382" t="s">
        <v>671</v>
      </c>
      <c r="E1382" t="s">
        <v>2853</v>
      </c>
      <c r="F1382" t="s">
        <v>7344</v>
      </c>
      <c r="G1382" t="s">
        <v>7340</v>
      </c>
      <c r="I1382" t="s">
        <v>2809</v>
      </c>
    </row>
    <row r="1383" spans="1:9" x14ac:dyDescent="0.25">
      <c r="A1383" t="s">
        <v>1212</v>
      </c>
      <c r="B1383" t="s">
        <v>3325</v>
      </c>
      <c r="C1383" s="167">
        <v>152.04</v>
      </c>
      <c r="D1383" t="s">
        <v>21</v>
      </c>
      <c r="E1383" t="s">
        <v>2853</v>
      </c>
      <c r="F1383" t="s">
        <v>7343</v>
      </c>
      <c r="G1383" t="s">
        <v>7340</v>
      </c>
      <c r="I1383" t="s">
        <v>2809</v>
      </c>
    </row>
    <row r="1384" spans="1:9" x14ac:dyDescent="0.25">
      <c r="A1384" t="s">
        <v>1213</v>
      </c>
      <c r="B1384" t="s">
        <v>3326</v>
      </c>
      <c r="C1384" s="167">
        <v>152.04</v>
      </c>
      <c r="D1384" t="s">
        <v>563</v>
      </c>
      <c r="E1384" t="s">
        <v>2853</v>
      </c>
      <c r="F1384" t="s">
        <v>7343</v>
      </c>
      <c r="G1384" t="s">
        <v>7340</v>
      </c>
      <c r="I1384" t="s">
        <v>2809</v>
      </c>
    </row>
    <row r="1385" spans="1:9" x14ac:dyDescent="0.25">
      <c r="A1385" t="s">
        <v>1214</v>
      </c>
      <c r="B1385" t="s">
        <v>3327</v>
      </c>
      <c r="C1385" s="167">
        <v>152.04</v>
      </c>
      <c r="D1385" t="s">
        <v>671</v>
      </c>
      <c r="E1385" t="s">
        <v>2853</v>
      </c>
      <c r="F1385" t="s">
        <v>7343</v>
      </c>
      <c r="G1385" t="s">
        <v>7340</v>
      </c>
      <c r="I1385" t="s">
        <v>2809</v>
      </c>
    </row>
    <row r="1386" spans="1:9" x14ac:dyDescent="0.25">
      <c r="A1386" t="s">
        <v>2229</v>
      </c>
      <c r="B1386" t="s">
        <v>4090</v>
      </c>
      <c r="C1386" s="167">
        <v>161.07</v>
      </c>
      <c r="D1386" t="s">
        <v>21</v>
      </c>
      <c r="E1386" t="s">
        <v>1701</v>
      </c>
      <c r="F1386" t="s">
        <v>7339</v>
      </c>
      <c r="G1386" t="s">
        <v>7340</v>
      </c>
      <c r="I1386" t="s">
        <v>2809</v>
      </c>
    </row>
    <row r="1387" spans="1:9" x14ac:dyDescent="0.25">
      <c r="A1387" t="s">
        <v>2232</v>
      </c>
      <c r="B1387" t="s">
        <v>4093</v>
      </c>
      <c r="C1387" s="167">
        <v>161.07</v>
      </c>
      <c r="D1387" t="s">
        <v>563</v>
      </c>
      <c r="E1387" t="s">
        <v>1701</v>
      </c>
      <c r="F1387" t="s">
        <v>7339</v>
      </c>
      <c r="G1387" t="s">
        <v>7340</v>
      </c>
      <c r="I1387" t="s">
        <v>2809</v>
      </c>
    </row>
    <row r="1388" spans="1:9" x14ac:dyDescent="0.25">
      <c r="A1388" t="s">
        <v>2235</v>
      </c>
      <c r="B1388" t="s">
        <v>4096</v>
      </c>
      <c r="C1388" s="167">
        <v>161.07</v>
      </c>
      <c r="D1388" t="s">
        <v>671</v>
      </c>
      <c r="E1388" t="s">
        <v>1701</v>
      </c>
      <c r="F1388" t="s">
        <v>7339</v>
      </c>
      <c r="G1388" t="s">
        <v>7340</v>
      </c>
      <c r="I1388" t="s">
        <v>2809</v>
      </c>
    </row>
    <row r="1389" spans="1:9" x14ac:dyDescent="0.25">
      <c r="A1389" t="s">
        <v>2230</v>
      </c>
      <c r="B1389" t="s">
        <v>4091</v>
      </c>
      <c r="C1389" s="167">
        <v>161.07</v>
      </c>
      <c r="D1389" t="s">
        <v>21</v>
      </c>
      <c r="E1389" t="s">
        <v>1699</v>
      </c>
      <c r="F1389" t="s">
        <v>7339</v>
      </c>
      <c r="G1389" t="s">
        <v>7340</v>
      </c>
      <c r="I1389" t="s">
        <v>2809</v>
      </c>
    </row>
    <row r="1390" spans="1:9" x14ac:dyDescent="0.25">
      <c r="A1390" t="s">
        <v>2233</v>
      </c>
      <c r="B1390" t="s">
        <v>4094</v>
      </c>
      <c r="C1390" s="167">
        <v>161.07</v>
      </c>
      <c r="D1390" t="s">
        <v>563</v>
      </c>
      <c r="E1390" t="s">
        <v>1699</v>
      </c>
      <c r="F1390" t="s">
        <v>7339</v>
      </c>
      <c r="G1390" t="s">
        <v>7340</v>
      </c>
      <c r="I1390" t="s">
        <v>2809</v>
      </c>
    </row>
    <row r="1391" spans="1:9" x14ac:dyDescent="0.25">
      <c r="A1391" t="s">
        <v>2236</v>
      </c>
      <c r="B1391" t="s">
        <v>4097</v>
      </c>
      <c r="C1391" s="167">
        <v>161.07</v>
      </c>
      <c r="D1391" t="s">
        <v>671</v>
      </c>
      <c r="E1391" t="s">
        <v>1699</v>
      </c>
      <c r="F1391" t="s">
        <v>7339</v>
      </c>
      <c r="G1391" t="s">
        <v>7340</v>
      </c>
      <c r="I1391" t="s">
        <v>2809</v>
      </c>
    </row>
    <row r="1392" spans="1:9" x14ac:dyDescent="0.25">
      <c r="A1392" t="s">
        <v>2231</v>
      </c>
      <c r="B1392" t="s">
        <v>4092</v>
      </c>
      <c r="C1392" s="167">
        <v>161.07</v>
      </c>
      <c r="D1392" t="s">
        <v>21</v>
      </c>
      <c r="E1392" t="s">
        <v>1703</v>
      </c>
      <c r="F1392" t="s">
        <v>7339</v>
      </c>
      <c r="G1392" t="s">
        <v>7340</v>
      </c>
      <c r="I1392" t="s">
        <v>2809</v>
      </c>
    </row>
    <row r="1393" spans="1:9" x14ac:dyDescent="0.25">
      <c r="A1393" t="s">
        <v>2234</v>
      </c>
      <c r="B1393" t="s">
        <v>4095</v>
      </c>
      <c r="C1393" s="167">
        <v>161.07</v>
      </c>
      <c r="D1393" t="s">
        <v>563</v>
      </c>
      <c r="E1393" t="s">
        <v>1703</v>
      </c>
      <c r="F1393" t="s">
        <v>7339</v>
      </c>
      <c r="G1393" t="s">
        <v>7340</v>
      </c>
      <c r="I1393" t="s">
        <v>2809</v>
      </c>
    </row>
    <row r="1394" spans="1:9" x14ac:dyDescent="0.25">
      <c r="A1394" t="s">
        <v>2237</v>
      </c>
      <c r="B1394" t="s">
        <v>4098</v>
      </c>
      <c r="C1394" s="167">
        <v>161.07</v>
      </c>
      <c r="D1394" t="s">
        <v>671</v>
      </c>
      <c r="E1394" t="s">
        <v>1703</v>
      </c>
      <c r="F1394" t="s">
        <v>7339</v>
      </c>
      <c r="G1394" t="s">
        <v>7340</v>
      </c>
      <c r="I1394" t="s">
        <v>2809</v>
      </c>
    </row>
    <row r="1395" spans="1:9" x14ac:dyDescent="0.25">
      <c r="A1395" t="s">
        <v>2238</v>
      </c>
      <c r="B1395" t="s">
        <v>4099</v>
      </c>
      <c r="C1395" s="167">
        <v>180.89</v>
      </c>
      <c r="D1395" t="s">
        <v>21</v>
      </c>
      <c r="E1395" t="s">
        <v>1701</v>
      </c>
      <c r="F1395" t="s">
        <v>7341</v>
      </c>
      <c r="G1395" t="s">
        <v>7340</v>
      </c>
      <c r="I1395" t="s">
        <v>2809</v>
      </c>
    </row>
    <row r="1396" spans="1:9" x14ac:dyDescent="0.25">
      <c r="A1396" t="s">
        <v>2241</v>
      </c>
      <c r="B1396" t="s">
        <v>4102</v>
      </c>
      <c r="C1396" s="167">
        <v>180.89</v>
      </c>
      <c r="D1396" t="s">
        <v>563</v>
      </c>
      <c r="E1396" t="s">
        <v>1701</v>
      </c>
      <c r="F1396" t="s">
        <v>7341</v>
      </c>
      <c r="G1396" t="s">
        <v>7340</v>
      </c>
      <c r="I1396" t="s">
        <v>2809</v>
      </c>
    </row>
    <row r="1397" spans="1:9" x14ac:dyDescent="0.25">
      <c r="A1397" t="s">
        <v>2244</v>
      </c>
      <c r="B1397" t="s">
        <v>4105</v>
      </c>
      <c r="C1397" s="167">
        <v>180.89</v>
      </c>
      <c r="D1397" t="s">
        <v>671</v>
      </c>
      <c r="E1397" t="s">
        <v>1701</v>
      </c>
      <c r="F1397" t="s">
        <v>7341</v>
      </c>
      <c r="G1397" t="s">
        <v>7340</v>
      </c>
      <c r="I1397" t="s">
        <v>2809</v>
      </c>
    </row>
    <row r="1398" spans="1:9" x14ac:dyDescent="0.25">
      <c r="A1398" t="s">
        <v>2239</v>
      </c>
      <c r="B1398" t="s">
        <v>4100</v>
      </c>
      <c r="C1398" s="167">
        <v>180.89</v>
      </c>
      <c r="D1398" t="s">
        <v>21</v>
      </c>
      <c r="E1398" t="s">
        <v>1699</v>
      </c>
      <c r="F1398" t="s">
        <v>7341</v>
      </c>
      <c r="G1398" t="s">
        <v>7340</v>
      </c>
      <c r="I1398" t="s">
        <v>2809</v>
      </c>
    </row>
    <row r="1399" spans="1:9" x14ac:dyDescent="0.25">
      <c r="A1399" t="s">
        <v>2242</v>
      </c>
      <c r="B1399" t="s">
        <v>4103</v>
      </c>
      <c r="C1399" s="167">
        <v>180.89</v>
      </c>
      <c r="D1399" t="s">
        <v>563</v>
      </c>
      <c r="E1399" t="s">
        <v>1699</v>
      </c>
      <c r="F1399" t="s">
        <v>7341</v>
      </c>
      <c r="G1399" t="s">
        <v>7340</v>
      </c>
      <c r="I1399" t="s">
        <v>2809</v>
      </c>
    </row>
    <row r="1400" spans="1:9" x14ac:dyDescent="0.25">
      <c r="A1400" t="s">
        <v>2245</v>
      </c>
      <c r="B1400" t="s">
        <v>4106</v>
      </c>
      <c r="C1400" s="167">
        <v>180.89</v>
      </c>
      <c r="D1400" t="s">
        <v>671</v>
      </c>
      <c r="E1400" t="s">
        <v>1699</v>
      </c>
      <c r="F1400" t="s">
        <v>7341</v>
      </c>
      <c r="G1400" t="s">
        <v>7340</v>
      </c>
      <c r="I1400" t="s">
        <v>2809</v>
      </c>
    </row>
    <row r="1401" spans="1:9" x14ac:dyDescent="0.25">
      <c r="A1401" t="s">
        <v>2240</v>
      </c>
      <c r="B1401" t="s">
        <v>4101</v>
      </c>
      <c r="C1401" s="167">
        <v>180.89</v>
      </c>
      <c r="D1401" t="s">
        <v>21</v>
      </c>
      <c r="E1401" t="s">
        <v>1703</v>
      </c>
      <c r="F1401" t="s">
        <v>7341</v>
      </c>
      <c r="G1401" t="s">
        <v>7340</v>
      </c>
      <c r="I1401" t="s">
        <v>2809</v>
      </c>
    </row>
    <row r="1402" spans="1:9" x14ac:dyDescent="0.25">
      <c r="A1402" t="s">
        <v>2243</v>
      </c>
      <c r="B1402" t="s">
        <v>4104</v>
      </c>
      <c r="C1402" s="167">
        <v>180.89</v>
      </c>
      <c r="D1402" t="s">
        <v>563</v>
      </c>
      <c r="E1402" t="s">
        <v>1703</v>
      </c>
      <c r="F1402" t="s">
        <v>7341</v>
      </c>
      <c r="G1402" t="s">
        <v>7340</v>
      </c>
      <c r="I1402" t="s">
        <v>2809</v>
      </c>
    </row>
    <row r="1403" spans="1:9" x14ac:dyDescent="0.25">
      <c r="A1403" t="s">
        <v>2246</v>
      </c>
      <c r="B1403" t="s">
        <v>4107</v>
      </c>
      <c r="C1403" s="167">
        <v>180.89</v>
      </c>
      <c r="D1403" t="s">
        <v>671</v>
      </c>
      <c r="E1403" t="s">
        <v>1703</v>
      </c>
      <c r="F1403" t="s">
        <v>7341</v>
      </c>
      <c r="G1403" t="s">
        <v>7340</v>
      </c>
      <c r="I1403" t="s">
        <v>2809</v>
      </c>
    </row>
    <row r="1404" spans="1:9" x14ac:dyDescent="0.25">
      <c r="A1404" t="s">
        <v>2247</v>
      </c>
      <c r="B1404" t="s">
        <v>4108</v>
      </c>
      <c r="C1404" s="167">
        <v>200.73</v>
      </c>
      <c r="D1404" t="s">
        <v>21</v>
      </c>
      <c r="E1404" t="s">
        <v>1701</v>
      </c>
      <c r="F1404" t="s">
        <v>7344</v>
      </c>
      <c r="G1404" t="s">
        <v>7340</v>
      </c>
      <c r="I1404" t="s">
        <v>2809</v>
      </c>
    </row>
    <row r="1405" spans="1:9" x14ac:dyDescent="0.25">
      <c r="A1405" t="s">
        <v>2250</v>
      </c>
      <c r="B1405" t="s">
        <v>4111</v>
      </c>
      <c r="C1405" s="167">
        <v>200.73</v>
      </c>
      <c r="D1405" t="s">
        <v>563</v>
      </c>
      <c r="E1405" t="s">
        <v>1701</v>
      </c>
      <c r="F1405" t="s">
        <v>7344</v>
      </c>
      <c r="G1405" t="s">
        <v>7340</v>
      </c>
      <c r="I1405" t="s">
        <v>2809</v>
      </c>
    </row>
    <row r="1406" spans="1:9" x14ac:dyDescent="0.25">
      <c r="A1406" t="s">
        <v>2253</v>
      </c>
      <c r="B1406" t="s">
        <v>4114</v>
      </c>
      <c r="C1406" s="167">
        <v>200.73</v>
      </c>
      <c r="D1406" t="s">
        <v>671</v>
      </c>
      <c r="E1406" t="s">
        <v>1701</v>
      </c>
      <c r="F1406" t="s">
        <v>7344</v>
      </c>
      <c r="G1406" t="s">
        <v>7340</v>
      </c>
      <c r="I1406" t="s">
        <v>2809</v>
      </c>
    </row>
    <row r="1407" spans="1:9" x14ac:dyDescent="0.25">
      <c r="A1407" t="s">
        <v>2248</v>
      </c>
      <c r="B1407" t="s">
        <v>4109</v>
      </c>
      <c r="C1407" s="167">
        <v>200.73</v>
      </c>
      <c r="D1407" t="s">
        <v>21</v>
      </c>
      <c r="E1407" t="s">
        <v>1699</v>
      </c>
      <c r="F1407" t="s">
        <v>7344</v>
      </c>
      <c r="G1407" t="s">
        <v>7340</v>
      </c>
      <c r="I1407" t="s">
        <v>2809</v>
      </c>
    </row>
    <row r="1408" spans="1:9" x14ac:dyDescent="0.25">
      <c r="A1408" t="s">
        <v>2251</v>
      </c>
      <c r="B1408" t="s">
        <v>4112</v>
      </c>
      <c r="C1408" s="167">
        <v>200.73</v>
      </c>
      <c r="D1408" t="s">
        <v>563</v>
      </c>
      <c r="E1408" t="s">
        <v>1699</v>
      </c>
      <c r="F1408" t="s">
        <v>7344</v>
      </c>
      <c r="G1408" t="s">
        <v>7340</v>
      </c>
      <c r="I1408" t="s">
        <v>2809</v>
      </c>
    </row>
    <row r="1409" spans="1:9" x14ac:dyDescent="0.25">
      <c r="A1409" t="s">
        <v>2254</v>
      </c>
      <c r="B1409" t="s">
        <v>4115</v>
      </c>
      <c r="C1409" s="167">
        <v>200.73</v>
      </c>
      <c r="D1409" t="s">
        <v>671</v>
      </c>
      <c r="E1409" t="s">
        <v>1699</v>
      </c>
      <c r="F1409" t="s">
        <v>7344</v>
      </c>
      <c r="G1409" t="s">
        <v>7340</v>
      </c>
      <c r="I1409" t="s">
        <v>2809</v>
      </c>
    </row>
    <row r="1410" spans="1:9" x14ac:dyDescent="0.25">
      <c r="A1410" t="s">
        <v>2249</v>
      </c>
      <c r="B1410" t="s">
        <v>4110</v>
      </c>
      <c r="C1410" s="167">
        <v>200.73</v>
      </c>
      <c r="D1410" t="s">
        <v>21</v>
      </c>
      <c r="E1410" t="s">
        <v>1703</v>
      </c>
      <c r="F1410" t="s">
        <v>7344</v>
      </c>
      <c r="G1410" t="s">
        <v>7340</v>
      </c>
      <c r="I1410" t="s">
        <v>2809</v>
      </c>
    </row>
    <row r="1411" spans="1:9" x14ac:dyDescent="0.25">
      <c r="A1411" t="s">
        <v>2252</v>
      </c>
      <c r="B1411" t="s">
        <v>4113</v>
      </c>
      <c r="C1411" s="167">
        <v>200.73</v>
      </c>
      <c r="D1411" t="s">
        <v>563</v>
      </c>
      <c r="E1411" t="s">
        <v>1703</v>
      </c>
      <c r="F1411" t="s">
        <v>7344</v>
      </c>
      <c r="G1411" t="s">
        <v>7340</v>
      </c>
      <c r="I1411" t="s">
        <v>2809</v>
      </c>
    </row>
    <row r="1412" spans="1:9" x14ac:dyDescent="0.25">
      <c r="A1412" t="s">
        <v>2255</v>
      </c>
      <c r="B1412" t="s">
        <v>4116</v>
      </c>
      <c r="C1412" s="167">
        <v>200.73</v>
      </c>
      <c r="D1412" t="s">
        <v>671</v>
      </c>
      <c r="E1412" t="s">
        <v>1703</v>
      </c>
      <c r="F1412" t="s">
        <v>7344</v>
      </c>
      <c r="G1412" t="s">
        <v>7340</v>
      </c>
      <c r="I1412" t="s">
        <v>2809</v>
      </c>
    </row>
    <row r="1413" spans="1:9" x14ac:dyDescent="0.25">
      <c r="A1413" t="s">
        <v>2256</v>
      </c>
      <c r="B1413" t="s">
        <v>4117</v>
      </c>
      <c r="C1413" s="167">
        <v>220.55</v>
      </c>
      <c r="D1413" t="s">
        <v>21</v>
      </c>
      <c r="E1413" t="s">
        <v>1701</v>
      </c>
      <c r="F1413" t="s">
        <v>7343</v>
      </c>
      <c r="G1413" t="s">
        <v>7340</v>
      </c>
      <c r="I1413" t="s">
        <v>2809</v>
      </c>
    </row>
    <row r="1414" spans="1:9" x14ac:dyDescent="0.25">
      <c r="A1414" t="s">
        <v>2259</v>
      </c>
      <c r="B1414" t="s">
        <v>4120</v>
      </c>
      <c r="C1414" s="167">
        <v>220.55</v>
      </c>
      <c r="D1414" t="s">
        <v>563</v>
      </c>
      <c r="E1414" t="s">
        <v>1701</v>
      </c>
      <c r="F1414" t="s">
        <v>7343</v>
      </c>
      <c r="G1414" t="s">
        <v>7340</v>
      </c>
      <c r="I1414" t="s">
        <v>2809</v>
      </c>
    </row>
    <row r="1415" spans="1:9" x14ac:dyDescent="0.25">
      <c r="A1415" t="s">
        <v>2262</v>
      </c>
      <c r="B1415" t="s">
        <v>4123</v>
      </c>
      <c r="C1415" s="167">
        <v>220.55</v>
      </c>
      <c r="D1415" t="s">
        <v>671</v>
      </c>
      <c r="E1415" t="s">
        <v>1701</v>
      </c>
      <c r="F1415" t="s">
        <v>7343</v>
      </c>
      <c r="G1415" t="s">
        <v>7340</v>
      </c>
      <c r="I1415" t="s">
        <v>2809</v>
      </c>
    </row>
    <row r="1416" spans="1:9" x14ac:dyDescent="0.25">
      <c r="A1416" t="s">
        <v>2257</v>
      </c>
      <c r="B1416" t="s">
        <v>4118</v>
      </c>
      <c r="C1416" s="167">
        <v>220.55</v>
      </c>
      <c r="D1416" t="s">
        <v>21</v>
      </c>
      <c r="E1416" t="s">
        <v>1699</v>
      </c>
      <c r="F1416" t="s">
        <v>7343</v>
      </c>
      <c r="G1416" t="s">
        <v>7340</v>
      </c>
      <c r="I1416" t="s">
        <v>2809</v>
      </c>
    </row>
    <row r="1417" spans="1:9" x14ac:dyDescent="0.25">
      <c r="A1417" t="s">
        <v>2260</v>
      </c>
      <c r="B1417" t="s">
        <v>4121</v>
      </c>
      <c r="C1417" s="167">
        <v>220.55</v>
      </c>
      <c r="D1417" t="s">
        <v>563</v>
      </c>
      <c r="E1417" t="s">
        <v>1699</v>
      </c>
      <c r="F1417" t="s">
        <v>7343</v>
      </c>
      <c r="G1417" t="s">
        <v>7340</v>
      </c>
      <c r="I1417" t="s">
        <v>2809</v>
      </c>
    </row>
    <row r="1418" spans="1:9" x14ac:dyDescent="0.25">
      <c r="A1418" t="s">
        <v>2263</v>
      </c>
      <c r="B1418" t="s">
        <v>4124</v>
      </c>
      <c r="C1418" s="167">
        <v>220.55</v>
      </c>
      <c r="D1418" t="s">
        <v>671</v>
      </c>
      <c r="E1418" t="s">
        <v>1699</v>
      </c>
      <c r="F1418" t="s">
        <v>7343</v>
      </c>
      <c r="G1418" t="s">
        <v>7340</v>
      </c>
      <c r="I1418" t="s">
        <v>2809</v>
      </c>
    </row>
    <row r="1419" spans="1:9" x14ac:dyDescent="0.25">
      <c r="A1419" t="s">
        <v>2258</v>
      </c>
      <c r="B1419" t="s">
        <v>4119</v>
      </c>
      <c r="C1419" s="167">
        <v>220.55</v>
      </c>
      <c r="D1419" t="s">
        <v>21</v>
      </c>
      <c r="E1419" t="s">
        <v>1703</v>
      </c>
      <c r="F1419" t="s">
        <v>7343</v>
      </c>
      <c r="G1419" t="s">
        <v>7340</v>
      </c>
      <c r="I1419" t="s">
        <v>2809</v>
      </c>
    </row>
    <row r="1420" spans="1:9" x14ac:dyDescent="0.25">
      <c r="A1420" t="s">
        <v>2261</v>
      </c>
      <c r="B1420" t="s">
        <v>4122</v>
      </c>
      <c r="C1420" s="167">
        <v>220.55</v>
      </c>
      <c r="D1420" t="s">
        <v>563</v>
      </c>
      <c r="E1420" t="s">
        <v>1703</v>
      </c>
      <c r="F1420" t="s">
        <v>7343</v>
      </c>
      <c r="G1420" t="s">
        <v>7340</v>
      </c>
      <c r="I1420" t="s">
        <v>2809</v>
      </c>
    </row>
    <row r="1421" spans="1:9" x14ac:dyDescent="0.25">
      <c r="A1421" t="s">
        <v>2264</v>
      </c>
      <c r="B1421" t="s">
        <v>4125</v>
      </c>
      <c r="C1421" s="167">
        <v>220.55</v>
      </c>
      <c r="D1421" t="s">
        <v>671</v>
      </c>
      <c r="E1421" t="s">
        <v>1703</v>
      </c>
      <c r="F1421" t="s">
        <v>7343</v>
      </c>
      <c r="G1421" t="s">
        <v>7340</v>
      </c>
      <c r="I1421" t="s">
        <v>2809</v>
      </c>
    </row>
    <row r="1422" spans="1:9" x14ac:dyDescent="0.25">
      <c r="A1422" t="s">
        <v>2265</v>
      </c>
      <c r="B1422" t="s">
        <v>4126</v>
      </c>
      <c r="C1422" s="167">
        <v>167.67</v>
      </c>
      <c r="D1422" t="s">
        <v>21</v>
      </c>
      <c r="E1422" t="s">
        <v>1701</v>
      </c>
      <c r="F1422" t="s">
        <v>7339</v>
      </c>
      <c r="G1422" t="s">
        <v>7340</v>
      </c>
      <c r="I1422" t="s">
        <v>2809</v>
      </c>
    </row>
    <row r="1423" spans="1:9" x14ac:dyDescent="0.25">
      <c r="A1423" t="s">
        <v>2268</v>
      </c>
      <c r="B1423" t="s">
        <v>4129</v>
      </c>
      <c r="C1423" s="167">
        <v>167.67</v>
      </c>
      <c r="D1423" t="s">
        <v>563</v>
      </c>
      <c r="E1423" t="s">
        <v>1701</v>
      </c>
      <c r="F1423" t="s">
        <v>7339</v>
      </c>
      <c r="G1423" t="s">
        <v>7340</v>
      </c>
      <c r="I1423" t="s">
        <v>2809</v>
      </c>
    </row>
    <row r="1424" spans="1:9" x14ac:dyDescent="0.25">
      <c r="A1424" t="s">
        <v>2271</v>
      </c>
      <c r="B1424" t="s">
        <v>4132</v>
      </c>
      <c r="C1424" s="167">
        <v>167.67</v>
      </c>
      <c r="D1424" t="s">
        <v>671</v>
      </c>
      <c r="E1424" t="s">
        <v>1701</v>
      </c>
      <c r="F1424" t="s">
        <v>7339</v>
      </c>
      <c r="G1424" t="s">
        <v>7340</v>
      </c>
      <c r="I1424" t="s">
        <v>2809</v>
      </c>
    </row>
    <row r="1425" spans="1:9" x14ac:dyDescent="0.25">
      <c r="A1425" t="s">
        <v>2266</v>
      </c>
      <c r="B1425" t="s">
        <v>4127</v>
      </c>
      <c r="C1425" s="167">
        <v>167.67</v>
      </c>
      <c r="D1425" t="s">
        <v>21</v>
      </c>
      <c r="E1425" t="s">
        <v>1699</v>
      </c>
      <c r="F1425" t="s">
        <v>7339</v>
      </c>
      <c r="G1425" t="s">
        <v>7340</v>
      </c>
      <c r="I1425" t="s">
        <v>2809</v>
      </c>
    </row>
    <row r="1426" spans="1:9" x14ac:dyDescent="0.25">
      <c r="A1426" t="s">
        <v>2269</v>
      </c>
      <c r="B1426" t="s">
        <v>4130</v>
      </c>
      <c r="C1426" s="167">
        <v>167.67</v>
      </c>
      <c r="D1426" t="s">
        <v>563</v>
      </c>
      <c r="E1426" t="s">
        <v>1699</v>
      </c>
      <c r="F1426" t="s">
        <v>7339</v>
      </c>
      <c r="G1426" t="s">
        <v>7340</v>
      </c>
      <c r="I1426" t="s">
        <v>2809</v>
      </c>
    </row>
    <row r="1427" spans="1:9" x14ac:dyDescent="0.25">
      <c r="A1427" t="s">
        <v>2272</v>
      </c>
      <c r="B1427" t="s">
        <v>4133</v>
      </c>
      <c r="C1427" s="167">
        <v>167.67</v>
      </c>
      <c r="D1427" t="s">
        <v>671</v>
      </c>
      <c r="E1427" t="s">
        <v>1699</v>
      </c>
      <c r="F1427" t="s">
        <v>7339</v>
      </c>
      <c r="G1427" t="s">
        <v>7340</v>
      </c>
      <c r="I1427" t="s">
        <v>2809</v>
      </c>
    </row>
    <row r="1428" spans="1:9" x14ac:dyDescent="0.25">
      <c r="A1428" t="s">
        <v>2267</v>
      </c>
      <c r="B1428" t="s">
        <v>4128</v>
      </c>
      <c r="C1428" s="167">
        <v>167.67</v>
      </c>
      <c r="D1428" t="s">
        <v>21</v>
      </c>
      <c r="E1428" t="s">
        <v>1703</v>
      </c>
      <c r="F1428" t="s">
        <v>7339</v>
      </c>
      <c r="G1428" t="s">
        <v>7340</v>
      </c>
      <c r="I1428" t="s">
        <v>2809</v>
      </c>
    </row>
    <row r="1429" spans="1:9" x14ac:dyDescent="0.25">
      <c r="A1429" t="s">
        <v>2270</v>
      </c>
      <c r="B1429" t="s">
        <v>4131</v>
      </c>
      <c r="C1429" s="167">
        <v>167.67</v>
      </c>
      <c r="D1429" t="s">
        <v>563</v>
      </c>
      <c r="E1429" t="s">
        <v>1703</v>
      </c>
      <c r="F1429" t="s">
        <v>7339</v>
      </c>
      <c r="G1429" t="s">
        <v>7340</v>
      </c>
      <c r="I1429" t="s">
        <v>2809</v>
      </c>
    </row>
    <row r="1430" spans="1:9" x14ac:dyDescent="0.25">
      <c r="A1430" t="s">
        <v>2273</v>
      </c>
      <c r="B1430" t="s">
        <v>4134</v>
      </c>
      <c r="C1430" s="167">
        <v>167.67</v>
      </c>
      <c r="D1430" t="s">
        <v>671</v>
      </c>
      <c r="E1430" t="s">
        <v>1703</v>
      </c>
      <c r="F1430" t="s">
        <v>7339</v>
      </c>
      <c r="G1430" t="s">
        <v>7340</v>
      </c>
      <c r="I1430" t="s">
        <v>2809</v>
      </c>
    </row>
    <row r="1431" spans="1:9" x14ac:dyDescent="0.25">
      <c r="A1431" t="s">
        <v>2274</v>
      </c>
      <c r="B1431" t="s">
        <v>4135</v>
      </c>
      <c r="C1431" s="167">
        <v>187.5</v>
      </c>
      <c r="D1431" t="s">
        <v>21</v>
      </c>
      <c r="E1431" t="s">
        <v>1701</v>
      </c>
      <c r="F1431" t="s">
        <v>7341</v>
      </c>
      <c r="G1431" t="s">
        <v>7340</v>
      </c>
      <c r="I1431" t="s">
        <v>2809</v>
      </c>
    </row>
    <row r="1432" spans="1:9" x14ac:dyDescent="0.25">
      <c r="A1432" t="s">
        <v>2277</v>
      </c>
      <c r="B1432" t="s">
        <v>4138</v>
      </c>
      <c r="C1432" s="167">
        <v>187.5</v>
      </c>
      <c r="D1432" t="s">
        <v>563</v>
      </c>
      <c r="E1432" t="s">
        <v>1701</v>
      </c>
      <c r="F1432" t="s">
        <v>7341</v>
      </c>
      <c r="G1432" t="s">
        <v>7340</v>
      </c>
      <c r="I1432" t="s">
        <v>2809</v>
      </c>
    </row>
    <row r="1433" spans="1:9" x14ac:dyDescent="0.25">
      <c r="A1433" t="s">
        <v>2280</v>
      </c>
      <c r="B1433" t="s">
        <v>4141</v>
      </c>
      <c r="C1433" s="167">
        <v>187.5</v>
      </c>
      <c r="D1433" t="s">
        <v>671</v>
      </c>
      <c r="E1433" t="s">
        <v>1701</v>
      </c>
      <c r="F1433" t="s">
        <v>7341</v>
      </c>
      <c r="G1433" t="s">
        <v>7340</v>
      </c>
      <c r="I1433" t="s">
        <v>2809</v>
      </c>
    </row>
    <row r="1434" spans="1:9" x14ac:dyDescent="0.25">
      <c r="A1434" t="s">
        <v>2275</v>
      </c>
      <c r="B1434" t="s">
        <v>4136</v>
      </c>
      <c r="C1434" s="167">
        <v>187.5</v>
      </c>
      <c r="D1434" t="s">
        <v>21</v>
      </c>
      <c r="E1434" t="s">
        <v>1699</v>
      </c>
      <c r="F1434" t="s">
        <v>7341</v>
      </c>
      <c r="G1434" t="s">
        <v>7340</v>
      </c>
      <c r="I1434" t="s">
        <v>2809</v>
      </c>
    </row>
    <row r="1435" spans="1:9" x14ac:dyDescent="0.25">
      <c r="A1435" t="s">
        <v>2278</v>
      </c>
      <c r="B1435" t="s">
        <v>4139</v>
      </c>
      <c r="C1435" s="167">
        <v>187.5</v>
      </c>
      <c r="D1435" t="s">
        <v>563</v>
      </c>
      <c r="E1435" t="s">
        <v>1699</v>
      </c>
      <c r="F1435" t="s">
        <v>7341</v>
      </c>
      <c r="G1435" t="s">
        <v>7340</v>
      </c>
      <c r="I1435" t="s">
        <v>2809</v>
      </c>
    </row>
    <row r="1436" spans="1:9" x14ac:dyDescent="0.25">
      <c r="A1436" t="s">
        <v>2281</v>
      </c>
      <c r="B1436" t="s">
        <v>4142</v>
      </c>
      <c r="C1436" s="167">
        <v>187.5</v>
      </c>
      <c r="D1436" t="s">
        <v>671</v>
      </c>
      <c r="E1436" t="s">
        <v>1699</v>
      </c>
      <c r="F1436" t="s">
        <v>7341</v>
      </c>
      <c r="G1436" t="s">
        <v>7340</v>
      </c>
      <c r="I1436" t="s">
        <v>2809</v>
      </c>
    </row>
    <row r="1437" spans="1:9" x14ac:dyDescent="0.25">
      <c r="A1437" t="s">
        <v>2276</v>
      </c>
      <c r="B1437" t="s">
        <v>4137</v>
      </c>
      <c r="C1437" s="167">
        <v>187.5</v>
      </c>
      <c r="D1437" t="s">
        <v>21</v>
      </c>
      <c r="E1437" t="s">
        <v>1703</v>
      </c>
      <c r="F1437" t="s">
        <v>7341</v>
      </c>
      <c r="G1437" t="s">
        <v>7340</v>
      </c>
      <c r="I1437" t="s">
        <v>2809</v>
      </c>
    </row>
    <row r="1438" spans="1:9" x14ac:dyDescent="0.25">
      <c r="A1438" t="s">
        <v>2279</v>
      </c>
      <c r="B1438" t="s">
        <v>4140</v>
      </c>
      <c r="C1438" s="167">
        <v>187.5</v>
      </c>
      <c r="D1438" t="s">
        <v>563</v>
      </c>
      <c r="E1438" t="s">
        <v>1703</v>
      </c>
      <c r="F1438" t="s">
        <v>7341</v>
      </c>
      <c r="G1438" t="s">
        <v>7340</v>
      </c>
      <c r="I1438" t="s">
        <v>2809</v>
      </c>
    </row>
    <row r="1439" spans="1:9" x14ac:dyDescent="0.25">
      <c r="A1439" t="s">
        <v>2282</v>
      </c>
      <c r="B1439" t="s">
        <v>4143</v>
      </c>
      <c r="C1439" s="167">
        <v>187.5</v>
      </c>
      <c r="D1439" t="s">
        <v>671</v>
      </c>
      <c r="E1439" t="s">
        <v>1703</v>
      </c>
      <c r="F1439" t="s">
        <v>7341</v>
      </c>
      <c r="G1439" t="s">
        <v>7340</v>
      </c>
      <c r="I1439" t="s">
        <v>2809</v>
      </c>
    </row>
    <row r="1440" spans="1:9" x14ac:dyDescent="0.25">
      <c r="A1440" t="s">
        <v>2283</v>
      </c>
      <c r="B1440" t="s">
        <v>4144</v>
      </c>
      <c r="C1440" s="167">
        <v>200.73</v>
      </c>
      <c r="D1440" t="s">
        <v>21</v>
      </c>
      <c r="E1440" t="s">
        <v>1701</v>
      </c>
      <c r="F1440" t="s">
        <v>7344</v>
      </c>
      <c r="G1440" t="s">
        <v>7340</v>
      </c>
      <c r="I1440" t="s">
        <v>2809</v>
      </c>
    </row>
    <row r="1441" spans="1:9" x14ac:dyDescent="0.25">
      <c r="A1441" t="s">
        <v>2286</v>
      </c>
      <c r="B1441" t="s">
        <v>4147</v>
      </c>
      <c r="C1441" s="167">
        <v>200.73</v>
      </c>
      <c r="D1441" t="s">
        <v>563</v>
      </c>
      <c r="E1441" t="s">
        <v>1701</v>
      </c>
      <c r="F1441" t="s">
        <v>7344</v>
      </c>
      <c r="G1441" t="s">
        <v>7340</v>
      </c>
      <c r="I1441" t="s">
        <v>2809</v>
      </c>
    </row>
    <row r="1442" spans="1:9" x14ac:dyDescent="0.25">
      <c r="A1442" t="s">
        <v>2289</v>
      </c>
      <c r="B1442" t="s">
        <v>4150</v>
      </c>
      <c r="C1442" s="167">
        <v>200.73</v>
      </c>
      <c r="D1442" t="s">
        <v>671</v>
      </c>
      <c r="E1442" t="s">
        <v>1701</v>
      </c>
      <c r="F1442" t="s">
        <v>7344</v>
      </c>
      <c r="G1442" t="s">
        <v>7340</v>
      </c>
      <c r="I1442" t="s">
        <v>2809</v>
      </c>
    </row>
    <row r="1443" spans="1:9" x14ac:dyDescent="0.25">
      <c r="A1443" t="s">
        <v>2284</v>
      </c>
      <c r="B1443" t="s">
        <v>4145</v>
      </c>
      <c r="C1443" s="167">
        <v>200.73</v>
      </c>
      <c r="D1443" t="s">
        <v>21</v>
      </c>
      <c r="E1443" t="s">
        <v>1699</v>
      </c>
      <c r="F1443" t="s">
        <v>7344</v>
      </c>
      <c r="G1443" t="s">
        <v>7340</v>
      </c>
      <c r="I1443" t="s">
        <v>2809</v>
      </c>
    </row>
    <row r="1444" spans="1:9" x14ac:dyDescent="0.25">
      <c r="A1444" t="s">
        <v>2287</v>
      </c>
      <c r="B1444" t="s">
        <v>4148</v>
      </c>
      <c r="C1444" s="167">
        <v>200.73</v>
      </c>
      <c r="D1444" t="s">
        <v>563</v>
      </c>
      <c r="E1444" t="s">
        <v>1699</v>
      </c>
      <c r="F1444" t="s">
        <v>7344</v>
      </c>
      <c r="G1444" t="s">
        <v>7340</v>
      </c>
      <c r="I1444" t="s">
        <v>2809</v>
      </c>
    </row>
    <row r="1445" spans="1:9" x14ac:dyDescent="0.25">
      <c r="A1445" t="s">
        <v>2290</v>
      </c>
      <c r="B1445" t="s">
        <v>4151</v>
      </c>
      <c r="C1445" s="167">
        <v>200.73</v>
      </c>
      <c r="D1445" t="s">
        <v>671</v>
      </c>
      <c r="E1445" t="s">
        <v>1699</v>
      </c>
      <c r="F1445" t="s">
        <v>7344</v>
      </c>
      <c r="G1445" t="s">
        <v>7340</v>
      </c>
      <c r="I1445" t="s">
        <v>2809</v>
      </c>
    </row>
    <row r="1446" spans="1:9" x14ac:dyDescent="0.25">
      <c r="A1446" t="s">
        <v>2285</v>
      </c>
      <c r="B1446" t="s">
        <v>4146</v>
      </c>
      <c r="C1446" s="167">
        <v>200.73</v>
      </c>
      <c r="D1446" t="s">
        <v>21</v>
      </c>
      <c r="E1446" t="s">
        <v>1703</v>
      </c>
      <c r="F1446" t="s">
        <v>7344</v>
      </c>
      <c r="G1446" t="s">
        <v>7340</v>
      </c>
      <c r="I1446" t="s">
        <v>2809</v>
      </c>
    </row>
    <row r="1447" spans="1:9" x14ac:dyDescent="0.25">
      <c r="A1447" t="s">
        <v>2288</v>
      </c>
      <c r="B1447" t="s">
        <v>4149</v>
      </c>
      <c r="C1447" s="167">
        <v>200.73</v>
      </c>
      <c r="D1447" t="s">
        <v>563</v>
      </c>
      <c r="E1447" t="s">
        <v>1703</v>
      </c>
      <c r="F1447" t="s">
        <v>7344</v>
      </c>
      <c r="G1447" t="s">
        <v>7340</v>
      </c>
      <c r="I1447" t="s">
        <v>2809</v>
      </c>
    </row>
    <row r="1448" spans="1:9" x14ac:dyDescent="0.25">
      <c r="A1448" t="s">
        <v>2291</v>
      </c>
      <c r="B1448" t="s">
        <v>4152</v>
      </c>
      <c r="C1448" s="167">
        <v>200.73</v>
      </c>
      <c r="D1448" t="s">
        <v>671</v>
      </c>
      <c r="E1448" t="s">
        <v>1703</v>
      </c>
      <c r="F1448" t="s">
        <v>7344</v>
      </c>
      <c r="G1448" t="s">
        <v>7340</v>
      </c>
      <c r="I1448" t="s">
        <v>2809</v>
      </c>
    </row>
    <row r="1449" spans="1:9" x14ac:dyDescent="0.25">
      <c r="A1449" t="s">
        <v>2292</v>
      </c>
      <c r="B1449" t="s">
        <v>4153</v>
      </c>
      <c r="C1449" s="167">
        <v>220.55</v>
      </c>
      <c r="D1449" t="s">
        <v>21</v>
      </c>
      <c r="E1449" t="s">
        <v>1701</v>
      </c>
      <c r="F1449" t="s">
        <v>7343</v>
      </c>
      <c r="G1449" t="s">
        <v>7340</v>
      </c>
      <c r="I1449" t="s">
        <v>2809</v>
      </c>
    </row>
    <row r="1450" spans="1:9" x14ac:dyDescent="0.25">
      <c r="A1450" t="s">
        <v>2295</v>
      </c>
      <c r="B1450" t="s">
        <v>4156</v>
      </c>
      <c r="C1450" s="167">
        <v>220.55</v>
      </c>
      <c r="D1450" t="s">
        <v>563</v>
      </c>
      <c r="E1450" t="s">
        <v>1701</v>
      </c>
      <c r="F1450" t="s">
        <v>7343</v>
      </c>
      <c r="G1450" t="s">
        <v>7340</v>
      </c>
      <c r="I1450" t="s">
        <v>2809</v>
      </c>
    </row>
    <row r="1451" spans="1:9" x14ac:dyDescent="0.25">
      <c r="A1451" t="s">
        <v>2298</v>
      </c>
      <c r="B1451" t="s">
        <v>4159</v>
      </c>
      <c r="C1451" s="167">
        <v>220.55</v>
      </c>
      <c r="D1451" t="s">
        <v>671</v>
      </c>
      <c r="E1451" t="s">
        <v>1701</v>
      </c>
      <c r="F1451" t="s">
        <v>7343</v>
      </c>
      <c r="G1451" t="s">
        <v>7340</v>
      </c>
      <c r="I1451" t="s">
        <v>2809</v>
      </c>
    </row>
    <row r="1452" spans="1:9" x14ac:dyDescent="0.25">
      <c r="A1452" t="s">
        <v>2293</v>
      </c>
      <c r="B1452" t="s">
        <v>4154</v>
      </c>
      <c r="C1452" s="167">
        <v>220.55</v>
      </c>
      <c r="D1452" t="s">
        <v>21</v>
      </c>
      <c r="E1452" t="s">
        <v>1699</v>
      </c>
      <c r="F1452" t="s">
        <v>7343</v>
      </c>
      <c r="G1452" t="s">
        <v>7340</v>
      </c>
      <c r="I1452" t="s">
        <v>2809</v>
      </c>
    </row>
    <row r="1453" spans="1:9" x14ac:dyDescent="0.25">
      <c r="A1453" t="s">
        <v>2296</v>
      </c>
      <c r="B1453" t="s">
        <v>4157</v>
      </c>
      <c r="C1453" s="167">
        <v>220.55</v>
      </c>
      <c r="D1453" t="s">
        <v>563</v>
      </c>
      <c r="E1453" t="s">
        <v>1699</v>
      </c>
      <c r="F1453" t="s">
        <v>7343</v>
      </c>
      <c r="G1453" t="s">
        <v>7340</v>
      </c>
      <c r="I1453" t="s">
        <v>2809</v>
      </c>
    </row>
    <row r="1454" spans="1:9" x14ac:dyDescent="0.25">
      <c r="A1454" t="s">
        <v>2299</v>
      </c>
      <c r="B1454" t="s">
        <v>4160</v>
      </c>
      <c r="C1454" s="167">
        <v>220.55</v>
      </c>
      <c r="D1454" t="s">
        <v>671</v>
      </c>
      <c r="E1454" t="s">
        <v>1699</v>
      </c>
      <c r="F1454" t="s">
        <v>7343</v>
      </c>
      <c r="G1454" t="s">
        <v>7340</v>
      </c>
      <c r="I1454" t="s">
        <v>2809</v>
      </c>
    </row>
    <row r="1455" spans="1:9" x14ac:dyDescent="0.25">
      <c r="A1455" t="s">
        <v>2294</v>
      </c>
      <c r="B1455" t="s">
        <v>4155</v>
      </c>
      <c r="C1455" s="167">
        <v>220.55</v>
      </c>
      <c r="D1455" t="s">
        <v>21</v>
      </c>
      <c r="E1455" t="s">
        <v>1703</v>
      </c>
      <c r="F1455" t="s">
        <v>7343</v>
      </c>
      <c r="G1455" t="s">
        <v>7340</v>
      </c>
      <c r="I1455" t="s">
        <v>2809</v>
      </c>
    </row>
    <row r="1456" spans="1:9" x14ac:dyDescent="0.25">
      <c r="A1456" t="s">
        <v>2297</v>
      </c>
      <c r="B1456" t="s">
        <v>4158</v>
      </c>
      <c r="C1456" s="167">
        <v>220.55</v>
      </c>
      <c r="D1456" t="s">
        <v>563</v>
      </c>
      <c r="E1456" t="s">
        <v>1703</v>
      </c>
      <c r="F1456" t="s">
        <v>7343</v>
      </c>
      <c r="G1456" t="s">
        <v>7340</v>
      </c>
      <c r="I1456" t="s">
        <v>2809</v>
      </c>
    </row>
    <row r="1457" spans="1:9" x14ac:dyDescent="0.25">
      <c r="A1457" t="s">
        <v>2300</v>
      </c>
      <c r="B1457" t="s">
        <v>4161</v>
      </c>
      <c r="C1457" s="167">
        <v>220.55</v>
      </c>
      <c r="D1457" t="s">
        <v>671</v>
      </c>
      <c r="E1457" t="s">
        <v>1703</v>
      </c>
      <c r="F1457" t="s">
        <v>7343</v>
      </c>
      <c r="G1457" t="s">
        <v>7340</v>
      </c>
      <c r="I1457" t="s">
        <v>2809</v>
      </c>
    </row>
    <row r="1458" spans="1:9" x14ac:dyDescent="0.25">
      <c r="A1458" t="s">
        <v>2301</v>
      </c>
      <c r="B1458" t="s">
        <v>4162</v>
      </c>
      <c r="C1458" s="167">
        <v>134.62</v>
      </c>
      <c r="D1458" t="s">
        <v>21</v>
      </c>
      <c r="E1458" t="s">
        <v>2853</v>
      </c>
      <c r="F1458" t="s">
        <v>7339</v>
      </c>
      <c r="G1458" t="s">
        <v>7340</v>
      </c>
      <c r="I1458" t="s">
        <v>2809</v>
      </c>
    </row>
    <row r="1459" spans="1:9" x14ac:dyDescent="0.25">
      <c r="A1459" t="s">
        <v>2302</v>
      </c>
      <c r="B1459" t="s">
        <v>4163</v>
      </c>
      <c r="C1459" s="167">
        <v>134.62</v>
      </c>
      <c r="D1459" t="s">
        <v>563</v>
      </c>
      <c r="E1459" t="s">
        <v>2853</v>
      </c>
      <c r="F1459" t="s">
        <v>7339</v>
      </c>
      <c r="G1459" t="s">
        <v>7340</v>
      </c>
      <c r="I1459" t="s">
        <v>2809</v>
      </c>
    </row>
    <row r="1460" spans="1:9" x14ac:dyDescent="0.25">
      <c r="A1460" t="s">
        <v>2303</v>
      </c>
      <c r="B1460" t="s">
        <v>4164</v>
      </c>
      <c r="C1460" s="167">
        <v>134.62</v>
      </c>
      <c r="D1460" t="s">
        <v>671</v>
      </c>
      <c r="E1460" t="s">
        <v>2853</v>
      </c>
      <c r="F1460" t="s">
        <v>7339</v>
      </c>
      <c r="G1460" t="s">
        <v>7340</v>
      </c>
      <c r="I1460" t="s">
        <v>2809</v>
      </c>
    </row>
    <row r="1461" spans="1:9" x14ac:dyDescent="0.25">
      <c r="A1461" t="s">
        <v>2304</v>
      </c>
      <c r="B1461" t="s">
        <v>4165</v>
      </c>
      <c r="C1461" s="167">
        <v>141.21</v>
      </c>
      <c r="D1461" t="s">
        <v>21</v>
      </c>
      <c r="E1461" t="s">
        <v>2853</v>
      </c>
      <c r="F1461" t="s">
        <v>7341</v>
      </c>
      <c r="G1461" t="s">
        <v>7340</v>
      </c>
      <c r="I1461" t="s">
        <v>2809</v>
      </c>
    </row>
    <row r="1462" spans="1:9" x14ac:dyDescent="0.25">
      <c r="A1462" t="s">
        <v>2305</v>
      </c>
      <c r="B1462" t="s">
        <v>4166</v>
      </c>
      <c r="C1462" s="167">
        <v>141.21</v>
      </c>
      <c r="D1462" t="s">
        <v>563</v>
      </c>
      <c r="E1462" t="s">
        <v>2853</v>
      </c>
      <c r="F1462" t="s">
        <v>7341</v>
      </c>
      <c r="G1462" t="s">
        <v>7340</v>
      </c>
      <c r="I1462" t="s">
        <v>2809</v>
      </c>
    </row>
    <row r="1463" spans="1:9" x14ac:dyDescent="0.25">
      <c r="A1463" t="s">
        <v>2306</v>
      </c>
      <c r="B1463" t="s">
        <v>4167</v>
      </c>
      <c r="C1463" s="167">
        <v>141.21</v>
      </c>
      <c r="D1463" t="s">
        <v>671</v>
      </c>
      <c r="E1463" t="s">
        <v>2853</v>
      </c>
      <c r="F1463" t="s">
        <v>7341</v>
      </c>
      <c r="G1463" t="s">
        <v>7340</v>
      </c>
      <c r="I1463" t="s">
        <v>2809</v>
      </c>
    </row>
    <row r="1464" spans="1:9" x14ac:dyDescent="0.25">
      <c r="A1464" t="s">
        <v>2307</v>
      </c>
      <c r="B1464" t="s">
        <v>4168</v>
      </c>
      <c r="C1464" s="167">
        <v>147.84</v>
      </c>
      <c r="D1464" t="s">
        <v>21</v>
      </c>
      <c r="E1464" t="s">
        <v>2853</v>
      </c>
      <c r="F1464" t="s">
        <v>7344</v>
      </c>
      <c r="G1464" t="s">
        <v>7340</v>
      </c>
      <c r="I1464" t="s">
        <v>2809</v>
      </c>
    </row>
    <row r="1465" spans="1:9" x14ac:dyDescent="0.25">
      <c r="A1465" t="s">
        <v>2308</v>
      </c>
      <c r="B1465" t="s">
        <v>4169</v>
      </c>
      <c r="C1465" s="167">
        <v>147.84</v>
      </c>
      <c r="D1465" t="s">
        <v>563</v>
      </c>
      <c r="E1465" t="s">
        <v>2853</v>
      </c>
      <c r="F1465" t="s">
        <v>7344</v>
      </c>
      <c r="G1465" t="s">
        <v>7340</v>
      </c>
      <c r="I1465" t="s">
        <v>2809</v>
      </c>
    </row>
    <row r="1466" spans="1:9" x14ac:dyDescent="0.25">
      <c r="A1466" t="s">
        <v>2309</v>
      </c>
      <c r="B1466" t="s">
        <v>4170</v>
      </c>
      <c r="C1466" s="167">
        <v>147.84</v>
      </c>
      <c r="D1466" t="s">
        <v>671</v>
      </c>
      <c r="E1466" t="s">
        <v>2853</v>
      </c>
      <c r="F1466" t="s">
        <v>7344</v>
      </c>
      <c r="G1466" t="s">
        <v>7340</v>
      </c>
      <c r="I1466" t="s">
        <v>2809</v>
      </c>
    </row>
    <row r="1467" spans="1:9" x14ac:dyDescent="0.25">
      <c r="A1467" t="s">
        <v>2310</v>
      </c>
      <c r="B1467" t="s">
        <v>4171</v>
      </c>
      <c r="C1467" s="167">
        <v>154.44</v>
      </c>
      <c r="D1467" t="s">
        <v>21</v>
      </c>
      <c r="E1467" t="s">
        <v>2853</v>
      </c>
      <c r="F1467" t="s">
        <v>7343</v>
      </c>
      <c r="G1467" t="s">
        <v>7340</v>
      </c>
      <c r="I1467" t="s">
        <v>2809</v>
      </c>
    </row>
    <row r="1468" spans="1:9" x14ac:dyDescent="0.25">
      <c r="A1468" t="s">
        <v>2311</v>
      </c>
      <c r="B1468" t="s">
        <v>4172</v>
      </c>
      <c r="C1468" s="167">
        <v>154.44</v>
      </c>
      <c r="D1468" t="s">
        <v>563</v>
      </c>
      <c r="E1468" t="s">
        <v>2853</v>
      </c>
      <c r="F1468" t="s">
        <v>7343</v>
      </c>
      <c r="G1468" t="s">
        <v>7340</v>
      </c>
      <c r="I1468" t="s">
        <v>2809</v>
      </c>
    </row>
    <row r="1469" spans="1:9" x14ac:dyDescent="0.25">
      <c r="A1469" t="s">
        <v>2312</v>
      </c>
      <c r="B1469" t="s">
        <v>4173</v>
      </c>
      <c r="C1469" s="167">
        <v>154.44</v>
      </c>
      <c r="D1469" t="s">
        <v>671</v>
      </c>
      <c r="E1469" t="s">
        <v>2853</v>
      </c>
      <c r="F1469" t="s">
        <v>7343</v>
      </c>
      <c r="G1469" t="s">
        <v>7340</v>
      </c>
      <c r="I1469" t="s">
        <v>2809</v>
      </c>
    </row>
    <row r="1470" spans="1:9" x14ac:dyDescent="0.25">
      <c r="A1470" t="s">
        <v>7464</v>
      </c>
      <c r="B1470" t="s">
        <v>7465</v>
      </c>
      <c r="C1470" s="167">
        <v>13.8</v>
      </c>
      <c r="D1470" t="s">
        <v>21</v>
      </c>
      <c r="E1470" t="s">
        <v>1701</v>
      </c>
      <c r="F1470" t="s">
        <v>7352</v>
      </c>
      <c r="G1470" t="s">
        <v>7352</v>
      </c>
      <c r="I1470" t="s">
        <v>2809</v>
      </c>
    </row>
    <row r="1471" spans="1:9" x14ac:dyDescent="0.25">
      <c r="A1471" t="s">
        <v>7466</v>
      </c>
      <c r="B1471" t="s">
        <v>7467</v>
      </c>
      <c r="C1471" s="167">
        <v>13.8</v>
      </c>
      <c r="D1471" t="s">
        <v>563</v>
      </c>
      <c r="E1471" t="s">
        <v>1701</v>
      </c>
      <c r="F1471" t="s">
        <v>7352</v>
      </c>
      <c r="G1471" t="s">
        <v>7352</v>
      </c>
      <c r="I1471" t="s">
        <v>2809</v>
      </c>
    </row>
    <row r="1472" spans="1:9" x14ac:dyDescent="0.25">
      <c r="A1472" t="s">
        <v>7468</v>
      </c>
      <c r="B1472" t="s">
        <v>7469</v>
      </c>
      <c r="C1472" s="167">
        <v>13.8</v>
      </c>
      <c r="D1472" t="s">
        <v>671</v>
      </c>
      <c r="E1472" t="s">
        <v>1701</v>
      </c>
      <c r="F1472" t="s">
        <v>7352</v>
      </c>
      <c r="G1472" t="s">
        <v>7352</v>
      </c>
      <c r="I1472" t="s">
        <v>2809</v>
      </c>
    </row>
    <row r="1473" spans="1:9" x14ac:dyDescent="0.25">
      <c r="A1473" t="s">
        <v>7470</v>
      </c>
      <c r="B1473" t="s">
        <v>7471</v>
      </c>
      <c r="C1473" s="167">
        <v>13.8</v>
      </c>
      <c r="D1473" t="s">
        <v>21</v>
      </c>
      <c r="E1473" t="s">
        <v>1699</v>
      </c>
      <c r="F1473" t="s">
        <v>7352</v>
      </c>
      <c r="G1473" t="s">
        <v>7352</v>
      </c>
      <c r="I1473" t="s">
        <v>2809</v>
      </c>
    </row>
    <row r="1474" spans="1:9" x14ac:dyDescent="0.25">
      <c r="A1474" t="s">
        <v>7472</v>
      </c>
      <c r="B1474" t="s">
        <v>7473</v>
      </c>
      <c r="C1474" s="167">
        <v>13.8</v>
      </c>
      <c r="D1474" t="s">
        <v>563</v>
      </c>
      <c r="E1474" t="s">
        <v>1699</v>
      </c>
      <c r="F1474" t="s">
        <v>7352</v>
      </c>
      <c r="G1474" t="s">
        <v>7352</v>
      </c>
      <c r="I1474" t="s">
        <v>2809</v>
      </c>
    </row>
    <row r="1475" spans="1:9" x14ac:dyDescent="0.25">
      <c r="A1475" t="s">
        <v>7474</v>
      </c>
      <c r="B1475" t="s">
        <v>7475</v>
      </c>
      <c r="C1475" s="167">
        <v>13.8</v>
      </c>
      <c r="D1475" t="s">
        <v>671</v>
      </c>
      <c r="E1475" t="s">
        <v>1699</v>
      </c>
      <c r="F1475" t="s">
        <v>7352</v>
      </c>
      <c r="G1475" t="s">
        <v>7352</v>
      </c>
      <c r="I1475" t="s">
        <v>2809</v>
      </c>
    </row>
    <row r="1476" spans="1:9" x14ac:dyDescent="0.25">
      <c r="A1476" t="s">
        <v>7476</v>
      </c>
      <c r="B1476" t="s">
        <v>7477</v>
      </c>
      <c r="C1476" s="167">
        <v>13.8</v>
      </c>
      <c r="D1476" t="s">
        <v>21</v>
      </c>
      <c r="E1476" t="s">
        <v>1703</v>
      </c>
      <c r="F1476" t="s">
        <v>7352</v>
      </c>
      <c r="G1476" t="s">
        <v>7352</v>
      </c>
      <c r="I1476" t="s">
        <v>2809</v>
      </c>
    </row>
    <row r="1477" spans="1:9" x14ac:dyDescent="0.25">
      <c r="A1477" t="s">
        <v>7478</v>
      </c>
      <c r="B1477" t="s">
        <v>7479</v>
      </c>
      <c r="C1477" s="167">
        <v>13.8</v>
      </c>
      <c r="D1477" t="s">
        <v>563</v>
      </c>
      <c r="E1477" t="s">
        <v>1703</v>
      </c>
      <c r="F1477" t="s">
        <v>7352</v>
      </c>
      <c r="G1477" t="s">
        <v>7352</v>
      </c>
      <c r="I1477" t="s">
        <v>2809</v>
      </c>
    </row>
    <row r="1478" spans="1:9" x14ac:dyDescent="0.25">
      <c r="A1478" t="s">
        <v>7480</v>
      </c>
      <c r="B1478" t="s">
        <v>7481</v>
      </c>
      <c r="C1478" s="167">
        <v>13.8</v>
      </c>
      <c r="D1478" t="s">
        <v>671</v>
      </c>
      <c r="E1478" t="s">
        <v>1703</v>
      </c>
      <c r="F1478" t="s">
        <v>7352</v>
      </c>
      <c r="G1478" t="s">
        <v>7352</v>
      </c>
      <c r="I1478" t="s">
        <v>2809</v>
      </c>
    </row>
    <row r="1479" spans="1:9" x14ac:dyDescent="0.25">
      <c r="A1479" t="s">
        <v>7482</v>
      </c>
      <c r="B1479" t="s">
        <v>7483</v>
      </c>
      <c r="C1479" s="167">
        <v>11.5</v>
      </c>
      <c r="D1479" t="s">
        <v>21</v>
      </c>
      <c r="E1479" t="s">
        <v>1701</v>
      </c>
      <c r="F1479" t="s">
        <v>7352</v>
      </c>
      <c r="G1479" t="s">
        <v>7352</v>
      </c>
      <c r="I1479" t="s">
        <v>2809</v>
      </c>
    </row>
    <row r="1480" spans="1:9" x14ac:dyDescent="0.25">
      <c r="A1480" t="s">
        <v>7484</v>
      </c>
      <c r="B1480" t="s">
        <v>7485</v>
      </c>
      <c r="C1480" s="167">
        <v>11.5</v>
      </c>
      <c r="D1480" t="s">
        <v>563</v>
      </c>
      <c r="E1480" t="s">
        <v>1701</v>
      </c>
      <c r="F1480" t="s">
        <v>7352</v>
      </c>
      <c r="G1480" t="s">
        <v>7352</v>
      </c>
      <c r="I1480" t="s">
        <v>2809</v>
      </c>
    </row>
    <row r="1481" spans="1:9" x14ac:dyDescent="0.25">
      <c r="A1481" t="s">
        <v>7486</v>
      </c>
      <c r="B1481" t="s">
        <v>7487</v>
      </c>
      <c r="C1481" s="167">
        <v>11.5</v>
      </c>
      <c r="D1481" t="s">
        <v>671</v>
      </c>
      <c r="E1481" t="s">
        <v>1701</v>
      </c>
      <c r="F1481" t="s">
        <v>7352</v>
      </c>
      <c r="G1481" t="s">
        <v>7352</v>
      </c>
      <c r="I1481" t="s">
        <v>2809</v>
      </c>
    </row>
    <row r="1482" spans="1:9" x14ac:dyDescent="0.25">
      <c r="A1482" t="s">
        <v>7488</v>
      </c>
      <c r="B1482" t="s">
        <v>7489</v>
      </c>
      <c r="C1482" s="167">
        <v>11.5</v>
      </c>
      <c r="D1482" t="s">
        <v>21</v>
      </c>
      <c r="E1482" t="s">
        <v>1699</v>
      </c>
      <c r="F1482" t="s">
        <v>7352</v>
      </c>
      <c r="G1482" t="s">
        <v>7352</v>
      </c>
      <c r="I1482" t="s">
        <v>2809</v>
      </c>
    </row>
    <row r="1483" spans="1:9" x14ac:dyDescent="0.25">
      <c r="A1483" t="s">
        <v>7490</v>
      </c>
      <c r="B1483" t="s">
        <v>7491</v>
      </c>
      <c r="C1483" s="167">
        <v>11.5</v>
      </c>
      <c r="D1483" t="s">
        <v>563</v>
      </c>
      <c r="E1483" t="s">
        <v>1699</v>
      </c>
      <c r="F1483" t="s">
        <v>7352</v>
      </c>
      <c r="G1483" t="s">
        <v>7352</v>
      </c>
      <c r="I1483" t="s">
        <v>2809</v>
      </c>
    </row>
    <row r="1484" spans="1:9" x14ac:dyDescent="0.25">
      <c r="A1484" t="s">
        <v>7492</v>
      </c>
      <c r="B1484" t="s">
        <v>7493</v>
      </c>
      <c r="C1484" s="167">
        <v>11.5</v>
      </c>
      <c r="D1484" t="s">
        <v>671</v>
      </c>
      <c r="E1484" t="s">
        <v>1699</v>
      </c>
      <c r="F1484" t="s">
        <v>7352</v>
      </c>
      <c r="G1484" t="s">
        <v>7352</v>
      </c>
      <c r="I1484" t="s">
        <v>2809</v>
      </c>
    </row>
    <row r="1485" spans="1:9" x14ac:dyDescent="0.25">
      <c r="A1485" t="s">
        <v>7494</v>
      </c>
      <c r="B1485" t="s">
        <v>7495</v>
      </c>
      <c r="C1485" s="167">
        <v>11.5</v>
      </c>
      <c r="D1485" t="s">
        <v>21</v>
      </c>
      <c r="E1485" t="s">
        <v>1703</v>
      </c>
      <c r="F1485" t="s">
        <v>7352</v>
      </c>
      <c r="G1485" t="s">
        <v>7352</v>
      </c>
      <c r="I1485" t="s">
        <v>2809</v>
      </c>
    </row>
    <row r="1486" spans="1:9" x14ac:dyDescent="0.25">
      <c r="A1486" t="s">
        <v>7496</v>
      </c>
      <c r="B1486" t="s">
        <v>7497</v>
      </c>
      <c r="C1486" s="167">
        <v>11.5</v>
      </c>
      <c r="D1486" t="s">
        <v>563</v>
      </c>
      <c r="E1486" t="s">
        <v>1703</v>
      </c>
      <c r="F1486" t="s">
        <v>7352</v>
      </c>
      <c r="G1486" t="s">
        <v>7352</v>
      </c>
      <c r="I1486" t="s">
        <v>2809</v>
      </c>
    </row>
    <row r="1487" spans="1:9" x14ac:dyDescent="0.25">
      <c r="A1487" t="s">
        <v>7498</v>
      </c>
      <c r="B1487" t="s">
        <v>7499</v>
      </c>
      <c r="C1487" s="167">
        <v>11.5</v>
      </c>
      <c r="D1487" t="s">
        <v>21</v>
      </c>
      <c r="E1487" t="s">
        <v>671</v>
      </c>
      <c r="F1487" t="s">
        <v>7352</v>
      </c>
      <c r="G1487" t="s">
        <v>7352</v>
      </c>
      <c r="I1487" t="s">
        <v>2809</v>
      </c>
    </row>
    <row r="1488" spans="1:9" x14ac:dyDescent="0.25">
      <c r="A1488" t="s">
        <v>1800</v>
      </c>
      <c r="B1488" t="s">
        <v>1801</v>
      </c>
      <c r="C1488" s="167">
        <v>11.69</v>
      </c>
      <c r="D1488" t="s">
        <v>21</v>
      </c>
      <c r="E1488" t="s">
        <v>2853</v>
      </c>
      <c r="F1488" t="s">
        <v>7339</v>
      </c>
      <c r="G1488" t="s">
        <v>7338</v>
      </c>
      <c r="I1488" t="s">
        <v>2893</v>
      </c>
    </row>
    <row r="1489" spans="1:9" x14ac:dyDescent="0.25">
      <c r="A1489" t="s">
        <v>1802</v>
      </c>
      <c r="B1489" t="s">
        <v>1803</v>
      </c>
      <c r="C1489" s="167">
        <v>11.69</v>
      </c>
      <c r="D1489" t="s">
        <v>563</v>
      </c>
      <c r="E1489" t="s">
        <v>2853</v>
      </c>
      <c r="F1489" t="s">
        <v>7339</v>
      </c>
      <c r="G1489" t="s">
        <v>7338</v>
      </c>
      <c r="I1489" t="s">
        <v>2893</v>
      </c>
    </row>
    <row r="1490" spans="1:9" x14ac:dyDescent="0.25">
      <c r="A1490" t="s">
        <v>4781</v>
      </c>
      <c r="B1490" t="s">
        <v>4782</v>
      </c>
      <c r="C1490" s="167">
        <v>11.69</v>
      </c>
      <c r="D1490" t="s">
        <v>4633</v>
      </c>
      <c r="E1490" t="s">
        <v>2853</v>
      </c>
      <c r="F1490" t="s">
        <v>7339</v>
      </c>
      <c r="G1490" t="s">
        <v>7338</v>
      </c>
      <c r="I1490" t="s">
        <v>2893</v>
      </c>
    </row>
    <row r="1491" spans="1:9" x14ac:dyDescent="0.25">
      <c r="A1491" t="s">
        <v>1804</v>
      </c>
      <c r="B1491" t="s">
        <v>1805</v>
      </c>
      <c r="C1491" s="167">
        <v>11.69</v>
      </c>
      <c r="D1491" t="s">
        <v>671</v>
      </c>
      <c r="E1491" t="s">
        <v>2853</v>
      </c>
      <c r="F1491" t="s">
        <v>7339</v>
      </c>
      <c r="G1491" t="s">
        <v>7338</v>
      </c>
      <c r="I1491" t="s">
        <v>2893</v>
      </c>
    </row>
    <row r="1492" spans="1:9" x14ac:dyDescent="0.25">
      <c r="A1492" t="s">
        <v>1806</v>
      </c>
      <c r="B1492" t="s">
        <v>1807</v>
      </c>
      <c r="C1492" s="167">
        <v>13.42</v>
      </c>
      <c r="D1492" t="s">
        <v>21</v>
      </c>
      <c r="E1492" t="s">
        <v>2853</v>
      </c>
      <c r="F1492" t="s">
        <v>7341</v>
      </c>
      <c r="G1492" t="s">
        <v>7338</v>
      </c>
      <c r="I1492" t="s">
        <v>2893</v>
      </c>
    </row>
    <row r="1493" spans="1:9" x14ac:dyDescent="0.25">
      <c r="A1493" t="s">
        <v>1808</v>
      </c>
      <c r="B1493" t="s">
        <v>1809</v>
      </c>
      <c r="C1493" s="167">
        <v>13.42</v>
      </c>
      <c r="D1493" t="s">
        <v>563</v>
      </c>
      <c r="E1493" t="s">
        <v>2853</v>
      </c>
      <c r="F1493" t="s">
        <v>7341</v>
      </c>
      <c r="G1493" t="s">
        <v>7338</v>
      </c>
      <c r="I1493" t="s">
        <v>2893</v>
      </c>
    </row>
    <row r="1494" spans="1:9" x14ac:dyDescent="0.25">
      <c r="A1494" t="s">
        <v>4783</v>
      </c>
      <c r="B1494" t="s">
        <v>4784</v>
      </c>
      <c r="C1494" s="167">
        <v>13.42</v>
      </c>
      <c r="D1494" t="s">
        <v>4633</v>
      </c>
      <c r="E1494" t="s">
        <v>2853</v>
      </c>
      <c r="F1494" t="s">
        <v>7341</v>
      </c>
      <c r="G1494" t="s">
        <v>7338</v>
      </c>
      <c r="I1494" t="s">
        <v>2893</v>
      </c>
    </row>
    <row r="1495" spans="1:9" x14ac:dyDescent="0.25">
      <c r="A1495" t="s">
        <v>1810</v>
      </c>
      <c r="B1495" t="s">
        <v>1811</v>
      </c>
      <c r="C1495" s="167">
        <v>13.42</v>
      </c>
      <c r="D1495" t="s">
        <v>671</v>
      </c>
      <c r="E1495" t="s">
        <v>2853</v>
      </c>
      <c r="F1495" t="s">
        <v>7341</v>
      </c>
      <c r="G1495" t="s">
        <v>7338</v>
      </c>
      <c r="I1495" t="s">
        <v>2893</v>
      </c>
    </row>
    <row r="1496" spans="1:9" x14ac:dyDescent="0.25">
      <c r="A1496" t="s">
        <v>1812</v>
      </c>
      <c r="B1496" t="s">
        <v>1813</v>
      </c>
      <c r="C1496" s="167">
        <v>15.79</v>
      </c>
      <c r="D1496" t="s">
        <v>21</v>
      </c>
      <c r="E1496" t="s">
        <v>2853</v>
      </c>
      <c r="F1496" t="s">
        <v>7344</v>
      </c>
      <c r="G1496" t="s">
        <v>7338</v>
      </c>
      <c r="I1496" t="s">
        <v>2893</v>
      </c>
    </row>
    <row r="1497" spans="1:9" x14ac:dyDescent="0.25">
      <c r="A1497" t="s">
        <v>1814</v>
      </c>
      <c r="B1497" t="s">
        <v>1815</v>
      </c>
      <c r="C1497" s="167">
        <v>15.79</v>
      </c>
      <c r="D1497" t="s">
        <v>563</v>
      </c>
      <c r="E1497" t="s">
        <v>2853</v>
      </c>
      <c r="F1497" t="s">
        <v>7344</v>
      </c>
      <c r="G1497" t="s">
        <v>7338</v>
      </c>
      <c r="I1497" t="s">
        <v>2893</v>
      </c>
    </row>
    <row r="1498" spans="1:9" x14ac:dyDescent="0.25">
      <c r="A1498" t="s">
        <v>4785</v>
      </c>
      <c r="B1498" t="s">
        <v>4786</v>
      </c>
      <c r="C1498" s="167">
        <v>15.79</v>
      </c>
      <c r="D1498" t="s">
        <v>4633</v>
      </c>
      <c r="E1498" t="s">
        <v>2853</v>
      </c>
      <c r="F1498" t="s">
        <v>7344</v>
      </c>
      <c r="G1498" t="s">
        <v>7338</v>
      </c>
      <c r="I1498" t="s">
        <v>2893</v>
      </c>
    </row>
    <row r="1499" spans="1:9" x14ac:dyDescent="0.25">
      <c r="A1499" t="s">
        <v>1816</v>
      </c>
      <c r="B1499" t="s">
        <v>1817</v>
      </c>
      <c r="C1499" s="167">
        <v>15.79</v>
      </c>
      <c r="D1499" t="s">
        <v>671</v>
      </c>
      <c r="E1499" t="s">
        <v>2853</v>
      </c>
      <c r="F1499" t="s">
        <v>7344</v>
      </c>
      <c r="G1499" t="s">
        <v>7338</v>
      </c>
      <c r="I1499" t="s">
        <v>2893</v>
      </c>
    </row>
    <row r="1500" spans="1:9" x14ac:dyDescent="0.25">
      <c r="A1500" t="s">
        <v>1818</v>
      </c>
      <c r="B1500" t="s">
        <v>1819</v>
      </c>
      <c r="C1500" s="167">
        <v>18.66</v>
      </c>
      <c r="D1500" t="s">
        <v>21</v>
      </c>
      <c r="E1500" t="s">
        <v>2853</v>
      </c>
      <c r="F1500" t="s">
        <v>7343</v>
      </c>
      <c r="G1500" t="s">
        <v>7338</v>
      </c>
      <c r="I1500" t="s">
        <v>2893</v>
      </c>
    </row>
    <row r="1501" spans="1:9" x14ac:dyDescent="0.25">
      <c r="A1501" t="s">
        <v>1820</v>
      </c>
      <c r="B1501" t="s">
        <v>1821</v>
      </c>
      <c r="C1501" s="167">
        <v>18.66</v>
      </c>
      <c r="D1501" t="s">
        <v>563</v>
      </c>
      <c r="E1501" t="s">
        <v>2853</v>
      </c>
      <c r="F1501" t="s">
        <v>7343</v>
      </c>
      <c r="G1501" t="s">
        <v>7338</v>
      </c>
      <c r="I1501" t="s">
        <v>2893</v>
      </c>
    </row>
    <row r="1502" spans="1:9" x14ac:dyDescent="0.25">
      <c r="A1502" t="s">
        <v>4787</v>
      </c>
      <c r="B1502" t="s">
        <v>4788</v>
      </c>
      <c r="C1502" s="167">
        <v>18.66</v>
      </c>
      <c r="D1502" t="s">
        <v>4633</v>
      </c>
      <c r="E1502" t="s">
        <v>2853</v>
      </c>
      <c r="F1502" t="s">
        <v>7343</v>
      </c>
      <c r="G1502" t="s">
        <v>7338</v>
      </c>
      <c r="I1502" t="s">
        <v>2893</v>
      </c>
    </row>
    <row r="1503" spans="1:9" x14ac:dyDescent="0.25">
      <c r="A1503" t="s">
        <v>1822</v>
      </c>
      <c r="B1503" t="s">
        <v>1823</v>
      </c>
      <c r="C1503" s="167">
        <v>18.66</v>
      </c>
      <c r="D1503" t="s">
        <v>671</v>
      </c>
      <c r="E1503" t="s">
        <v>2853</v>
      </c>
      <c r="F1503" t="s">
        <v>7343</v>
      </c>
      <c r="G1503" t="s">
        <v>7338</v>
      </c>
      <c r="I1503" t="s">
        <v>2893</v>
      </c>
    </row>
    <row r="1504" spans="1:9" x14ac:dyDescent="0.25">
      <c r="A1504" t="s">
        <v>1712</v>
      </c>
      <c r="B1504" t="s">
        <v>1713</v>
      </c>
      <c r="C1504" s="167">
        <v>120.23</v>
      </c>
      <c r="D1504" t="s">
        <v>21</v>
      </c>
      <c r="E1504" t="s">
        <v>2853</v>
      </c>
      <c r="F1504" t="s">
        <v>7339</v>
      </c>
      <c r="G1504" t="s">
        <v>7354</v>
      </c>
      <c r="I1504" t="s">
        <v>2893</v>
      </c>
    </row>
    <row r="1505" spans="1:9" x14ac:dyDescent="0.25">
      <c r="A1505" t="s">
        <v>1728</v>
      </c>
      <c r="B1505" t="s">
        <v>1729</v>
      </c>
      <c r="C1505" s="167">
        <v>120.23</v>
      </c>
      <c r="D1505" t="s">
        <v>563</v>
      </c>
      <c r="E1505" t="s">
        <v>2853</v>
      </c>
      <c r="F1505" t="s">
        <v>7339</v>
      </c>
      <c r="G1505" t="s">
        <v>7354</v>
      </c>
      <c r="I1505" t="s">
        <v>2893</v>
      </c>
    </row>
    <row r="1506" spans="1:9" x14ac:dyDescent="0.25">
      <c r="A1506" t="s">
        <v>4757</v>
      </c>
      <c r="B1506" t="s">
        <v>4758</v>
      </c>
      <c r="C1506" s="167">
        <v>115.16</v>
      </c>
      <c r="D1506" t="s">
        <v>4633</v>
      </c>
      <c r="E1506" t="s">
        <v>2853</v>
      </c>
      <c r="F1506" t="s">
        <v>7339</v>
      </c>
      <c r="G1506" t="s">
        <v>7354</v>
      </c>
      <c r="I1506" t="s">
        <v>2893</v>
      </c>
    </row>
    <row r="1507" spans="1:9" x14ac:dyDescent="0.25">
      <c r="A1507" t="s">
        <v>1744</v>
      </c>
      <c r="B1507" t="s">
        <v>1745</v>
      </c>
      <c r="C1507" s="167">
        <v>120.23</v>
      </c>
      <c r="D1507" t="s">
        <v>671</v>
      </c>
      <c r="E1507" t="s">
        <v>2853</v>
      </c>
      <c r="F1507" t="s">
        <v>7339</v>
      </c>
      <c r="G1507" t="s">
        <v>7354</v>
      </c>
      <c r="I1507" t="s">
        <v>2893</v>
      </c>
    </row>
    <row r="1508" spans="1:9" x14ac:dyDescent="0.25">
      <c r="A1508" t="s">
        <v>1760</v>
      </c>
      <c r="B1508" t="s">
        <v>1761</v>
      </c>
      <c r="C1508" s="167">
        <v>120.23</v>
      </c>
      <c r="D1508" t="s">
        <v>21</v>
      </c>
      <c r="E1508" t="s">
        <v>2853</v>
      </c>
      <c r="F1508" t="s">
        <v>7339</v>
      </c>
      <c r="G1508" t="s">
        <v>7354</v>
      </c>
      <c r="I1508" t="s">
        <v>2893</v>
      </c>
    </row>
    <row r="1509" spans="1:9" x14ac:dyDescent="0.25">
      <c r="A1509" t="s">
        <v>1776</v>
      </c>
      <c r="B1509" t="s">
        <v>1777</v>
      </c>
      <c r="C1509" s="167">
        <v>120.23</v>
      </c>
      <c r="D1509" t="s">
        <v>563</v>
      </c>
      <c r="E1509" t="s">
        <v>2853</v>
      </c>
      <c r="F1509" t="s">
        <v>7339</v>
      </c>
      <c r="G1509" t="s">
        <v>7354</v>
      </c>
      <c r="I1509" t="s">
        <v>2893</v>
      </c>
    </row>
    <row r="1510" spans="1:9" x14ac:dyDescent="0.25">
      <c r="A1510" t="s">
        <v>4773</v>
      </c>
      <c r="B1510" t="s">
        <v>4774</v>
      </c>
      <c r="C1510" s="167">
        <v>115.16</v>
      </c>
      <c r="D1510" t="s">
        <v>4633</v>
      </c>
      <c r="E1510" t="s">
        <v>2853</v>
      </c>
      <c r="F1510" t="s">
        <v>7339</v>
      </c>
      <c r="G1510" t="s">
        <v>7354</v>
      </c>
      <c r="I1510" t="s">
        <v>2893</v>
      </c>
    </row>
    <row r="1511" spans="1:9" x14ac:dyDescent="0.25">
      <c r="A1511" t="s">
        <v>1792</v>
      </c>
      <c r="B1511" t="s">
        <v>1793</v>
      </c>
      <c r="C1511" s="167">
        <v>120.23</v>
      </c>
      <c r="D1511" t="s">
        <v>671</v>
      </c>
      <c r="E1511" t="s">
        <v>2853</v>
      </c>
      <c r="F1511" t="s">
        <v>7339</v>
      </c>
      <c r="G1511" t="s">
        <v>7354</v>
      </c>
      <c r="I1511" t="s">
        <v>2893</v>
      </c>
    </row>
    <row r="1512" spans="1:9" x14ac:dyDescent="0.25">
      <c r="A1512" t="s">
        <v>1714</v>
      </c>
      <c r="B1512" t="s">
        <v>1715</v>
      </c>
      <c r="C1512" s="167">
        <v>145.53</v>
      </c>
      <c r="D1512" t="s">
        <v>21</v>
      </c>
      <c r="E1512" t="s">
        <v>2853</v>
      </c>
      <c r="F1512" t="s">
        <v>7341</v>
      </c>
      <c r="G1512" t="s">
        <v>7354</v>
      </c>
      <c r="I1512" t="s">
        <v>2893</v>
      </c>
    </row>
    <row r="1513" spans="1:9" x14ac:dyDescent="0.25">
      <c r="A1513" t="s">
        <v>1730</v>
      </c>
      <c r="B1513" t="s">
        <v>1731</v>
      </c>
      <c r="C1513" s="167">
        <v>145.53</v>
      </c>
      <c r="D1513" t="s">
        <v>563</v>
      </c>
      <c r="E1513" t="s">
        <v>2853</v>
      </c>
      <c r="F1513" t="s">
        <v>7341</v>
      </c>
      <c r="G1513" t="s">
        <v>7354</v>
      </c>
      <c r="I1513" t="s">
        <v>2893</v>
      </c>
    </row>
    <row r="1514" spans="1:9" x14ac:dyDescent="0.25">
      <c r="A1514" t="s">
        <v>4759</v>
      </c>
      <c r="B1514" t="s">
        <v>4760</v>
      </c>
      <c r="C1514" s="167">
        <v>139.21</v>
      </c>
      <c r="D1514" t="s">
        <v>4633</v>
      </c>
      <c r="E1514" t="s">
        <v>2853</v>
      </c>
      <c r="F1514" t="s">
        <v>7341</v>
      </c>
      <c r="G1514" t="s">
        <v>7354</v>
      </c>
      <c r="I1514" t="s">
        <v>2893</v>
      </c>
    </row>
    <row r="1515" spans="1:9" x14ac:dyDescent="0.25">
      <c r="A1515" t="s">
        <v>1746</v>
      </c>
      <c r="B1515" t="s">
        <v>1747</v>
      </c>
      <c r="C1515" s="167">
        <v>145.53</v>
      </c>
      <c r="D1515" t="s">
        <v>671</v>
      </c>
      <c r="E1515" t="s">
        <v>2853</v>
      </c>
      <c r="F1515" t="s">
        <v>7341</v>
      </c>
      <c r="G1515" t="s">
        <v>7354</v>
      </c>
      <c r="I1515" t="s">
        <v>2893</v>
      </c>
    </row>
    <row r="1516" spans="1:9" x14ac:dyDescent="0.25">
      <c r="A1516" t="s">
        <v>1762</v>
      </c>
      <c r="B1516" t="s">
        <v>1763</v>
      </c>
      <c r="C1516" s="167">
        <v>145.53</v>
      </c>
      <c r="D1516" t="s">
        <v>21</v>
      </c>
      <c r="E1516" t="s">
        <v>2853</v>
      </c>
      <c r="F1516" t="s">
        <v>7341</v>
      </c>
      <c r="G1516" t="s">
        <v>7354</v>
      </c>
      <c r="I1516" t="s">
        <v>2893</v>
      </c>
    </row>
    <row r="1517" spans="1:9" x14ac:dyDescent="0.25">
      <c r="A1517" t="s">
        <v>1778</v>
      </c>
      <c r="B1517" t="s">
        <v>1779</v>
      </c>
      <c r="C1517" s="167">
        <v>145.53</v>
      </c>
      <c r="D1517" t="s">
        <v>563</v>
      </c>
      <c r="E1517" t="s">
        <v>2853</v>
      </c>
      <c r="F1517" t="s">
        <v>7341</v>
      </c>
      <c r="G1517" t="s">
        <v>7354</v>
      </c>
      <c r="I1517" t="s">
        <v>2893</v>
      </c>
    </row>
    <row r="1518" spans="1:9" x14ac:dyDescent="0.25">
      <c r="A1518" t="s">
        <v>4775</v>
      </c>
      <c r="B1518" t="s">
        <v>4776</v>
      </c>
      <c r="C1518" s="167">
        <v>139.21</v>
      </c>
      <c r="D1518" t="s">
        <v>4633</v>
      </c>
      <c r="E1518" t="s">
        <v>2853</v>
      </c>
      <c r="F1518" t="s">
        <v>7341</v>
      </c>
      <c r="G1518" t="s">
        <v>7354</v>
      </c>
      <c r="I1518" t="s">
        <v>2893</v>
      </c>
    </row>
    <row r="1519" spans="1:9" x14ac:dyDescent="0.25">
      <c r="A1519" t="s">
        <v>1794</v>
      </c>
      <c r="B1519" t="s">
        <v>1795</v>
      </c>
      <c r="C1519" s="167">
        <v>145.53</v>
      </c>
      <c r="D1519" t="s">
        <v>671</v>
      </c>
      <c r="E1519" t="s">
        <v>2853</v>
      </c>
      <c r="F1519" t="s">
        <v>7341</v>
      </c>
      <c r="G1519" t="s">
        <v>7354</v>
      </c>
      <c r="I1519" t="s">
        <v>2893</v>
      </c>
    </row>
    <row r="1520" spans="1:9" x14ac:dyDescent="0.25">
      <c r="A1520" t="s">
        <v>1716</v>
      </c>
      <c r="B1520" t="s">
        <v>1717</v>
      </c>
      <c r="C1520" s="167">
        <v>163.25</v>
      </c>
      <c r="D1520" t="s">
        <v>21</v>
      </c>
      <c r="E1520" t="s">
        <v>2853</v>
      </c>
      <c r="F1520" t="s">
        <v>7344</v>
      </c>
      <c r="G1520" t="s">
        <v>7354</v>
      </c>
      <c r="I1520" t="s">
        <v>2893</v>
      </c>
    </row>
    <row r="1521" spans="1:9" x14ac:dyDescent="0.25">
      <c r="A1521" t="s">
        <v>1732</v>
      </c>
      <c r="B1521" t="s">
        <v>1733</v>
      </c>
      <c r="C1521" s="167">
        <v>163.25</v>
      </c>
      <c r="D1521" t="s">
        <v>563</v>
      </c>
      <c r="E1521" t="s">
        <v>2853</v>
      </c>
      <c r="F1521" t="s">
        <v>7344</v>
      </c>
      <c r="G1521" t="s">
        <v>7354</v>
      </c>
      <c r="I1521" t="s">
        <v>2893</v>
      </c>
    </row>
    <row r="1522" spans="1:9" x14ac:dyDescent="0.25">
      <c r="A1522" t="s">
        <v>4761</v>
      </c>
      <c r="B1522" t="s">
        <v>4762</v>
      </c>
      <c r="C1522" s="167">
        <v>156.93</v>
      </c>
      <c r="D1522" t="s">
        <v>4633</v>
      </c>
      <c r="E1522" t="s">
        <v>2853</v>
      </c>
      <c r="F1522" t="s">
        <v>7344</v>
      </c>
      <c r="G1522" t="s">
        <v>7354</v>
      </c>
      <c r="I1522" t="s">
        <v>2893</v>
      </c>
    </row>
    <row r="1523" spans="1:9" x14ac:dyDescent="0.25">
      <c r="A1523" t="s">
        <v>1748</v>
      </c>
      <c r="B1523" t="s">
        <v>1749</v>
      </c>
      <c r="C1523" s="167">
        <v>163.25</v>
      </c>
      <c r="D1523" t="s">
        <v>671</v>
      </c>
      <c r="E1523" t="s">
        <v>2853</v>
      </c>
      <c r="F1523" t="s">
        <v>7344</v>
      </c>
      <c r="G1523" t="s">
        <v>7354</v>
      </c>
      <c r="I1523" t="s">
        <v>2893</v>
      </c>
    </row>
    <row r="1524" spans="1:9" x14ac:dyDescent="0.25">
      <c r="A1524" t="s">
        <v>1764</v>
      </c>
      <c r="B1524" t="s">
        <v>1765</v>
      </c>
      <c r="C1524" s="167">
        <v>163.25</v>
      </c>
      <c r="D1524" t="s">
        <v>21</v>
      </c>
      <c r="E1524" t="s">
        <v>2853</v>
      </c>
      <c r="F1524" t="s">
        <v>7344</v>
      </c>
      <c r="G1524" t="s">
        <v>7354</v>
      </c>
      <c r="I1524" t="s">
        <v>2893</v>
      </c>
    </row>
    <row r="1525" spans="1:9" x14ac:dyDescent="0.25">
      <c r="A1525" t="s">
        <v>1780</v>
      </c>
      <c r="B1525" t="s">
        <v>1781</v>
      </c>
      <c r="C1525" s="167">
        <v>163.25</v>
      </c>
      <c r="D1525" t="s">
        <v>563</v>
      </c>
      <c r="E1525" t="s">
        <v>2853</v>
      </c>
      <c r="F1525" t="s">
        <v>7344</v>
      </c>
      <c r="G1525" t="s">
        <v>7354</v>
      </c>
      <c r="I1525" t="s">
        <v>2893</v>
      </c>
    </row>
    <row r="1526" spans="1:9" x14ac:dyDescent="0.25">
      <c r="A1526" t="s">
        <v>4777</v>
      </c>
      <c r="B1526" t="s">
        <v>4778</v>
      </c>
      <c r="C1526" s="167">
        <v>156.93</v>
      </c>
      <c r="D1526" t="s">
        <v>4633</v>
      </c>
      <c r="E1526" t="s">
        <v>2853</v>
      </c>
      <c r="F1526" t="s">
        <v>7344</v>
      </c>
      <c r="G1526" t="s">
        <v>7354</v>
      </c>
      <c r="I1526" t="s">
        <v>2893</v>
      </c>
    </row>
    <row r="1527" spans="1:9" x14ac:dyDescent="0.25">
      <c r="A1527" t="s">
        <v>1796</v>
      </c>
      <c r="B1527" t="s">
        <v>1797</v>
      </c>
      <c r="C1527" s="167">
        <v>163.25</v>
      </c>
      <c r="D1527" t="s">
        <v>671</v>
      </c>
      <c r="E1527" t="s">
        <v>2853</v>
      </c>
      <c r="F1527" t="s">
        <v>7344</v>
      </c>
      <c r="G1527" t="s">
        <v>7354</v>
      </c>
      <c r="I1527" t="s">
        <v>2893</v>
      </c>
    </row>
    <row r="1528" spans="1:9" x14ac:dyDescent="0.25">
      <c r="A1528" t="s">
        <v>1718</v>
      </c>
      <c r="B1528" t="s">
        <v>1719</v>
      </c>
      <c r="C1528" s="167">
        <v>180.97</v>
      </c>
      <c r="D1528" t="s">
        <v>21</v>
      </c>
      <c r="E1528" t="s">
        <v>2853</v>
      </c>
      <c r="F1528" t="s">
        <v>7343</v>
      </c>
      <c r="G1528" t="s">
        <v>7354</v>
      </c>
      <c r="I1528" t="s">
        <v>2893</v>
      </c>
    </row>
    <row r="1529" spans="1:9" x14ac:dyDescent="0.25">
      <c r="A1529" t="s">
        <v>1734</v>
      </c>
      <c r="B1529" t="s">
        <v>1735</v>
      </c>
      <c r="C1529" s="167">
        <v>180.97</v>
      </c>
      <c r="D1529" t="s">
        <v>563</v>
      </c>
      <c r="E1529" t="s">
        <v>2853</v>
      </c>
      <c r="F1529" t="s">
        <v>7343</v>
      </c>
      <c r="G1529" t="s">
        <v>7354</v>
      </c>
      <c r="I1529" t="s">
        <v>2893</v>
      </c>
    </row>
    <row r="1530" spans="1:9" x14ac:dyDescent="0.25">
      <c r="A1530" t="s">
        <v>4763</v>
      </c>
      <c r="B1530" t="s">
        <v>4764</v>
      </c>
      <c r="C1530" s="167">
        <v>173.38</v>
      </c>
      <c r="D1530" t="s">
        <v>4633</v>
      </c>
      <c r="E1530" t="s">
        <v>2853</v>
      </c>
      <c r="F1530" t="s">
        <v>7343</v>
      </c>
      <c r="G1530" t="s">
        <v>7354</v>
      </c>
      <c r="I1530" t="s">
        <v>2893</v>
      </c>
    </row>
    <row r="1531" spans="1:9" x14ac:dyDescent="0.25">
      <c r="A1531" t="s">
        <v>1750</v>
      </c>
      <c r="B1531" t="s">
        <v>1751</v>
      </c>
      <c r="C1531" s="167">
        <v>180.97</v>
      </c>
      <c r="D1531" t="s">
        <v>671</v>
      </c>
      <c r="E1531" t="s">
        <v>2853</v>
      </c>
      <c r="F1531" t="s">
        <v>7343</v>
      </c>
      <c r="G1531" t="s">
        <v>7354</v>
      </c>
      <c r="I1531" t="s">
        <v>2893</v>
      </c>
    </row>
    <row r="1532" spans="1:9" x14ac:dyDescent="0.25">
      <c r="A1532" t="s">
        <v>1766</v>
      </c>
      <c r="B1532" t="s">
        <v>1767</v>
      </c>
      <c r="C1532" s="167">
        <v>180.97</v>
      </c>
      <c r="D1532" t="s">
        <v>21</v>
      </c>
      <c r="E1532" t="s">
        <v>2853</v>
      </c>
      <c r="F1532" t="s">
        <v>7343</v>
      </c>
      <c r="G1532" t="s">
        <v>7354</v>
      </c>
      <c r="I1532" t="s">
        <v>2893</v>
      </c>
    </row>
    <row r="1533" spans="1:9" x14ac:dyDescent="0.25">
      <c r="A1533" t="s">
        <v>1782</v>
      </c>
      <c r="B1533" t="s">
        <v>1783</v>
      </c>
      <c r="C1533" s="167">
        <v>180.97</v>
      </c>
      <c r="D1533" t="s">
        <v>563</v>
      </c>
      <c r="E1533" t="s">
        <v>2853</v>
      </c>
      <c r="F1533" t="s">
        <v>7343</v>
      </c>
      <c r="G1533" t="s">
        <v>7354</v>
      </c>
      <c r="I1533" t="s">
        <v>2893</v>
      </c>
    </row>
    <row r="1534" spans="1:9" x14ac:dyDescent="0.25">
      <c r="A1534" t="s">
        <v>4779</v>
      </c>
      <c r="B1534" t="s">
        <v>4780</v>
      </c>
      <c r="C1534" s="167">
        <v>173.38</v>
      </c>
      <c r="D1534" t="s">
        <v>4633</v>
      </c>
      <c r="E1534" t="s">
        <v>2853</v>
      </c>
      <c r="F1534" t="s">
        <v>7343</v>
      </c>
      <c r="G1534" t="s">
        <v>7354</v>
      </c>
      <c r="I1534" t="s">
        <v>2893</v>
      </c>
    </row>
    <row r="1535" spans="1:9" x14ac:dyDescent="0.25">
      <c r="A1535" t="s">
        <v>1798</v>
      </c>
      <c r="B1535" t="s">
        <v>1799</v>
      </c>
      <c r="C1535" s="167">
        <v>180.97</v>
      </c>
      <c r="D1535" t="s">
        <v>671</v>
      </c>
      <c r="E1535" t="s">
        <v>2853</v>
      </c>
      <c r="F1535" t="s">
        <v>7343</v>
      </c>
      <c r="G1535" t="s">
        <v>7354</v>
      </c>
      <c r="I1535" t="s">
        <v>2893</v>
      </c>
    </row>
    <row r="1536" spans="1:9" x14ac:dyDescent="0.25">
      <c r="A1536" t="s">
        <v>1700</v>
      </c>
      <c r="B1536" t="s">
        <v>1698</v>
      </c>
      <c r="C1536" s="167">
        <v>0.65</v>
      </c>
      <c r="D1536" t="s">
        <v>2853</v>
      </c>
      <c r="E1536" t="s">
        <v>1701</v>
      </c>
      <c r="F1536" t="s">
        <v>7338</v>
      </c>
      <c r="G1536" t="s">
        <v>7338</v>
      </c>
      <c r="I1536" t="s">
        <v>2809</v>
      </c>
    </row>
    <row r="1537" spans="1:9" x14ac:dyDescent="0.25">
      <c r="A1537" t="s">
        <v>1697</v>
      </c>
      <c r="B1537" t="s">
        <v>1698</v>
      </c>
      <c r="C1537" s="167">
        <v>0.65</v>
      </c>
      <c r="D1537" t="s">
        <v>2853</v>
      </c>
      <c r="E1537" t="s">
        <v>1699</v>
      </c>
      <c r="F1537" t="s">
        <v>7338</v>
      </c>
      <c r="G1537" t="s">
        <v>7338</v>
      </c>
      <c r="I1537" t="s">
        <v>2809</v>
      </c>
    </row>
    <row r="1538" spans="1:9" x14ac:dyDescent="0.25">
      <c r="A1538" t="s">
        <v>1702</v>
      </c>
      <c r="B1538" t="s">
        <v>1698</v>
      </c>
      <c r="C1538" s="167">
        <v>0.65</v>
      </c>
      <c r="D1538" t="s">
        <v>2853</v>
      </c>
      <c r="E1538" t="s">
        <v>1703</v>
      </c>
      <c r="F1538" t="s">
        <v>7338</v>
      </c>
      <c r="G1538" t="s">
        <v>7338</v>
      </c>
      <c r="I1538" t="s">
        <v>2809</v>
      </c>
    </row>
    <row r="1539" spans="1:9" x14ac:dyDescent="0.25">
      <c r="A1539" t="s">
        <v>7967</v>
      </c>
      <c r="B1539" t="s">
        <v>7966</v>
      </c>
      <c r="C1539" s="167">
        <v>15.5</v>
      </c>
      <c r="D1539" t="s">
        <v>2853</v>
      </c>
      <c r="E1539" t="s">
        <v>1701</v>
      </c>
      <c r="F1539" t="s">
        <v>7352</v>
      </c>
      <c r="G1539" t="s">
        <v>7338</v>
      </c>
      <c r="I1539" t="s">
        <v>2810</v>
      </c>
    </row>
    <row r="1540" spans="1:9" x14ac:dyDescent="0.25">
      <c r="A1540" t="s">
        <v>7965</v>
      </c>
      <c r="B1540" t="s">
        <v>7966</v>
      </c>
      <c r="C1540" s="167">
        <v>15.5</v>
      </c>
      <c r="D1540" t="s">
        <v>2853</v>
      </c>
      <c r="E1540" t="s">
        <v>1699</v>
      </c>
      <c r="F1540" t="s">
        <v>7352</v>
      </c>
      <c r="G1540" t="s">
        <v>7338</v>
      </c>
      <c r="I1540" t="s">
        <v>2810</v>
      </c>
    </row>
    <row r="1541" spans="1:9" x14ac:dyDescent="0.25">
      <c r="A1541" t="s">
        <v>7968</v>
      </c>
      <c r="B1541" t="s">
        <v>7966</v>
      </c>
      <c r="C1541" s="167">
        <v>15.5</v>
      </c>
      <c r="D1541" t="s">
        <v>2853</v>
      </c>
      <c r="E1541" t="s">
        <v>1703</v>
      </c>
      <c r="F1541" t="s">
        <v>7352</v>
      </c>
      <c r="G1541" t="s">
        <v>7338</v>
      </c>
      <c r="I1541" t="s">
        <v>2810</v>
      </c>
    </row>
    <row r="1542" spans="1:9" x14ac:dyDescent="0.25">
      <c r="A1542" t="s">
        <v>7440</v>
      </c>
      <c r="B1542" t="s">
        <v>7441</v>
      </c>
      <c r="C1542" s="167">
        <v>23</v>
      </c>
      <c r="D1542" t="s">
        <v>21</v>
      </c>
      <c r="E1542" t="s">
        <v>1701</v>
      </c>
      <c r="F1542" t="s">
        <v>7352</v>
      </c>
      <c r="G1542" t="s">
        <v>7352</v>
      </c>
      <c r="I1542" t="s">
        <v>2809</v>
      </c>
    </row>
    <row r="1543" spans="1:9" x14ac:dyDescent="0.25">
      <c r="A1543" t="s">
        <v>7442</v>
      </c>
      <c r="B1543" t="s">
        <v>7443</v>
      </c>
      <c r="C1543" s="167">
        <v>23</v>
      </c>
      <c r="D1543" t="s">
        <v>563</v>
      </c>
      <c r="E1543" t="s">
        <v>1701</v>
      </c>
      <c r="F1543" t="s">
        <v>7352</v>
      </c>
      <c r="G1543" t="s">
        <v>7352</v>
      </c>
      <c r="I1543" t="s">
        <v>2809</v>
      </c>
    </row>
    <row r="1544" spans="1:9" x14ac:dyDescent="0.25">
      <c r="A1544" t="s">
        <v>7444</v>
      </c>
      <c r="B1544" t="s">
        <v>7445</v>
      </c>
      <c r="C1544" s="167">
        <v>23</v>
      </c>
      <c r="D1544" t="s">
        <v>671</v>
      </c>
      <c r="E1544" t="s">
        <v>1701</v>
      </c>
      <c r="F1544" t="s">
        <v>7352</v>
      </c>
      <c r="G1544" t="s">
        <v>7352</v>
      </c>
      <c r="I1544" t="s">
        <v>2809</v>
      </c>
    </row>
    <row r="1545" spans="1:9" x14ac:dyDescent="0.25">
      <c r="A1545" t="s">
        <v>7446</v>
      </c>
      <c r="B1545" t="s">
        <v>7447</v>
      </c>
      <c r="C1545" s="167">
        <v>23</v>
      </c>
      <c r="D1545" t="s">
        <v>21</v>
      </c>
      <c r="E1545" t="s">
        <v>1699</v>
      </c>
      <c r="F1545" t="s">
        <v>7352</v>
      </c>
      <c r="G1545" t="s">
        <v>7352</v>
      </c>
      <c r="I1545" t="s">
        <v>2809</v>
      </c>
    </row>
    <row r="1546" spans="1:9" x14ac:dyDescent="0.25">
      <c r="A1546" t="s">
        <v>7448</v>
      </c>
      <c r="B1546" t="s">
        <v>7449</v>
      </c>
      <c r="C1546" s="167">
        <v>23</v>
      </c>
      <c r="D1546" t="s">
        <v>563</v>
      </c>
      <c r="E1546" t="s">
        <v>1699</v>
      </c>
      <c r="F1546" t="s">
        <v>7352</v>
      </c>
      <c r="G1546" t="s">
        <v>7352</v>
      </c>
      <c r="I1546" t="s">
        <v>2809</v>
      </c>
    </row>
    <row r="1547" spans="1:9" x14ac:dyDescent="0.25">
      <c r="A1547" t="s">
        <v>7450</v>
      </c>
      <c r="B1547" t="s">
        <v>7451</v>
      </c>
      <c r="C1547" s="167">
        <v>23</v>
      </c>
      <c r="D1547" t="s">
        <v>671</v>
      </c>
      <c r="E1547" t="s">
        <v>1699</v>
      </c>
      <c r="F1547" t="s">
        <v>7352</v>
      </c>
      <c r="G1547" t="s">
        <v>7352</v>
      </c>
      <c r="I1547" t="s">
        <v>2809</v>
      </c>
    </row>
    <row r="1548" spans="1:9" x14ac:dyDescent="0.25">
      <c r="A1548" t="s">
        <v>7452</v>
      </c>
      <c r="B1548" t="s">
        <v>7453</v>
      </c>
      <c r="C1548" s="167">
        <v>23</v>
      </c>
      <c r="D1548" t="s">
        <v>21</v>
      </c>
      <c r="E1548" t="s">
        <v>1703</v>
      </c>
      <c r="F1548" t="s">
        <v>7352</v>
      </c>
      <c r="G1548" t="s">
        <v>7352</v>
      </c>
      <c r="I1548" t="s">
        <v>2809</v>
      </c>
    </row>
    <row r="1549" spans="1:9" x14ac:dyDescent="0.25">
      <c r="A1549" t="s">
        <v>7454</v>
      </c>
      <c r="B1549" t="s">
        <v>7455</v>
      </c>
      <c r="C1549" s="167">
        <v>23</v>
      </c>
      <c r="D1549" t="s">
        <v>563</v>
      </c>
      <c r="E1549" t="s">
        <v>1703</v>
      </c>
      <c r="F1549" t="s">
        <v>7352</v>
      </c>
      <c r="G1549" t="s">
        <v>7352</v>
      </c>
      <c r="I1549" t="s">
        <v>2809</v>
      </c>
    </row>
    <row r="1550" spans="1:9" x14ac:dyDescent="0.25">
      <c r="A1550" t="s">
        <v>7456</v>
      </c>
      <c r="B1550" t="s">
        <v>7457</v>
      </c>
      <c r="C1550" s="167">
        <v>23</v>
      </c>
      <c r="D1550" t="s">
        <v>671</v>
      </c>
      <c r="E1550" t="s">
        <v>1703</v>
      </c>
      <c r="F1550" t="s">
        <v>7352</v>
      </c>
      <c r="G1550" t="s">
        <v>7352</v>
      </c>
      <c r="I1550" t="s">
        <v>2809</v>
      </c>
    </row>
    <row r="1551" spans="1:9" x14ac:dyDescent="0.25">
      <c r="A1551" t="s">
        <v>7458</v>
      </c>
      <c r="B1551" t="s">
        <v>7459</v>
      </c>
      <c r="C1551" s="167">
        <v>16.28</v>
      </c>
      <c r="D1551" t="s">
        <v>2853</v>
      </c>
      <c r="E1551" t="s">
        <v>1701</v>
      </c>
      <c r="F1551" t="s">
        <v>7352</v>
      </c>
      <c r="G1551" t="s">
        <v>7352</v>
      </c>
      <c r="I1551" t="s">
        <v>2809</v>
      </c>
    </row>
    <row r="1552" spans="1:9" x14ac:dyDescent="0.25">
      <c r="A1552" t="s">
        <v>7460</v>
      </c>
      <c r="B1552" t="s">
        <v>7461</v>
      </c>
      <c r="C1552" s="167">
        <v>16.28</v>
      </c>
      <c r="D1552" t="s">
        <v>2853</v>
      </c>
      <c r="E1552" t="s">
        <v>1699</v>
      </c>
      <c r="F1552" t="s">
        <v>7352</v>
      </c>
      <c r="G1552" t="s">
        <v>7352</v>
      </c>
      <c r="I1552" t="s">
        <v>2809</v>
      </c>
    </row>
    <row r="1553" spans="1:9" x14ac:dyDescent="0.25">
      <c r="A1553" t="s">
        <v>7462</v>
      </c>
      <c r="B1553" t="s">
        <v>7463</v>
      </c>
      <c r="C1553" s="167">
        <v>16.28</v>
      </c>
      <c r="D1553" t="s">
        <v>2853</v>
      </c>
      <c r="E1553" t="s">
        <v>1703</v>
      </c>
      <c r="F1553" t="s">
        <v>7352</v>
      </c>
      <c r="G1553" t="s">
        <v>7352</v>
      </c>
      <c r="I1553" t="s">
        <v>2809</v>
      </c>
    </row>
    <row r="1554" spans="1:9" x14ac:dyDescent="0.25">
      <c r="A1554" t="s">
        <v>1215</v>
      </c>
      <c r="B1554" t="s">
        <v>3328</v>
      </c>
      <c r="C1554" s="167">
        <v>211.55</v>
      </c>
      <c r="D1554" t="s">
        <v>21</v>
      </c>
      <c r="E1554" t="s">
        <v>1701</v>
      </c>
      <c r="F1554" t="s">
        <v>7339</v>
      </c>
      <c r="G1554" t="s">
        <v>7354</v>
      </c>
      <c r="I1554" t="s">
        <v>2809</v>
      </c>
    </row>
    <row r="1555" spans="1:9" x14ac:dyDescent="0.25">
      <c r="A1555" t="s">
        <v>1218</v>
      </c>
      <c r="B1555" t="s">
        <v>3331</v>
      </c>
      <c r="C1555" s="167">
        <v>211.55</v>
      </c>
      <c r="D1555" t="s">
        <v>563</v>
      </c>
      <c r="E1555" t="s">
        <v>1701</v>
      </c>
      <c r="F1555" t="s">
        <v>7339</v>
      </c>
      <c r="G1555" t="s">
        <v>7354</v>
      </c>
      <c r="I1555" t="s">
        <v>2809</v>
      </c>
    </row>
    <row r="1556" spans="1:9" x14ac:dyDescent="0.25">
      <c r="A1556" t="s">
        <v>1221</v>
      </c>
      <c r="B1556" t="s">
        <v>3334</v>
      </c>
      <c r="C1556" s="167">
        <v>211.55</v>
      </c>
      <c r="D1556" t="s">
        <v>671</v>
      </c>
      <c r="E1556" t="s">
        <v>1701</v>
      </c>
      <c r="F1556" t="s">
        <v>7339</v>
      </c>
      <c r="G1556" t="s">
        <v>7354</v>
      </c>
      <c r="I1556" t="s">
        <v>2809</v>
      </c>
    </row>
    <row r="1557" spans="1:9" x14ac:dyDescent="0.25">
      <c r="A1557" t="s">
        <v>1216</v>
      </c>
      <c r="B1557" t="s">
        <v>3329</v>
      </c>
      <c r="C1557" s="167">
        <v>211.55</v>
      </c>
      <c r="D1557" t="s">
        <v>21</v>
      </c>
      <c r="E1557" t="s">
        <v>1699</v>
      </c>
      <c r="F1557" t="s">
        <v>7339</v>
      </c>
      <c r="G1557" t="s">
        <v>7354</v>
      </c>
      <c r="I1557" t="s">
        <v>2809</v>
      </c>
    </row>
    <row r="1558" spans="1:9" x14ac:dyDescent="0.25">
      <c r="A1558" t="s">
        <v>1219</v>
      </c>
      <c r="B1558" t="s">
        <v>3332</v>
      </c>
      <c r="C1558" s="167">
        <v>211.55</v>
      </c>
      <c r="D1558" t="s">
        <v>563</v>
      </c>
      <c r="E1558" t="s">
        <v>1699</v>
      </c>
      <c r="F1558" t="s">
        <v>7339</v>
      </c>
      <c r="G1558" t="s">
        <v>7354</v>
      </c>
      <c r="I1558" t="s">
        <v>2809</v>
      </c>
    </row>
    <row r="1559" spans="1:9" x14ac:dyDescent="0.25">
      <c r="A1559" t="s">
        <v>1222</v>
      </c>
      <c r="B1559" t="s">
        <v>3335</v>
      </c>
      <c r="C1559" s="167">
        <v>211.55</v>
      </c>
      <c r="D1559" t="s">
        <v>671</v>
      </c>
      <c r="E1559" t="s">
        <v>1699</v>
      </c>
      <c r="F1559" t="s">
        <v>7339</v>
      </c>
      <c r="G1559" t="s">
        <v>7354</v>
      </c>
      <c r="I1559" t="s">
        <v>2809</v>
      </c>
    </row>
    <row r="1560" spans="1:9" x14ac:dyDescent="0.25">
      <c r="A1560" t="s">
        <v>1217</v>
      </c>
      <c r="B1560" t="s">
        <v>3330</v>
      </c>
      <c r="C1560" s="167">
        <v>211.55</v>
      </c>
      <c r="D1560" t="s">
        <v>21</v>
      </c>
      <c r="E1560" t="s">
        <v>1703</v>
      </c>
      <c r="F1560" t="s">
        <v>7339</v>
      </c>
      <c r="G1560" t="s">
        <v>7354</v>
      </c>
      <c r="I1560" t="s">
        <v>2809</v>
      </c>
    </row>
    <row r="1561" spans="1:9" x14ac:dyDescent="0.25">
      <c r="A1561" t="s">
        <v>1220</v>
      </c>
      <c r="B1561" t="s">
        <v>3333</v>
      </c>
      <c r="C1561" s="167">
        <v>211.55</v>
      </c>
      <c r="D1561" t="s">
        <v>563</v>
      </c>
      <c r="E1561" t="s">
        <v>1703</v>
      </c>
      <c r="F1561" t="s">
        <v>7339</v>
      </c>
      <c r="G1561" t="s">
        <v>7354</v>
      </c>
      <c r="I1561" t="s">
        <v>2809</v>
      </c>
    </row>
    <row r="1562" spans="1:9" x14ac:dyDescent="0.25">
      <c r="A1562" t="s">
        <v>1223</v>
      </c>
      <c r="B1562" t="s">
        <v>3336</v>
      </c>
      <c r="C1562" s="167">
        <v>211.55</v>
      </c>
      <c r="D1562" t="s">
        <v>671</v>
      </c>
      <c r="E1562" t="s">
        <v>1703</v>
      </c>
      <c r="F1562" t="s">
        <v>7339</v>
      </c>
      <c r="G1562" t="s">
        <v>7354</v>
      </c>
      <c r="I1562" t="s">
        <v>2809</v>
      </c>
    </row>
    <row r="1563" spans="1:9" x14ac:dyDescent="0.25">
      <c r="A1563" t="s">
        <v>1224</v>
      </c>
      <c r="B1563" t="s">
        <v>3337</v>
      </c>
      <c r="C1563" s="167">
        <v>257.83</v>
      </c>
      <c r="D1563" t="s">
        <v>21</v>
      </c>
      <c r="E1563" t="s">
        <v>1701</v>
      </c>
      <c r="F1563" t="s">
        <v>7341</v>
      </c>
      <c r="G1563" t="s">
        <v>7354</v>
      </c>
      <c r="I1563" t="s">
        <v>2809</v>
      </c>
    </row>
    <row r="1564" spans="1:9" x14ac:dyDescent="0.25">
      <c r="A1564" t="s">
        <v>1227</v>
      </c>
      <c r="B1564" t="s">
        <v>3340</v>
      </c>
      <c r="C1564" s="167">
        <v>257.83</v>
      </c>
      <c r="D1564" t="s">
        <v>563</v>
      </c>
      <c r="E1564" t="s">
        <v>1701</v>
      </c>
      <c r="F1564" t="s">
        <v>7341</v>
      </c>
      <c r="G1564" t="s">
        <v>7354</v>
      </c>
      <c r="I1564" t="s">
        <v>2809</v>
      </c>
    </row>
    <row r="1565" spans="1:9" x14ac:dyDescent="0.25">
      <c r="A1565" t="s">
        <v>1230</v>
      </c>
      <c r="B1565" t="s">
        <v>3343</v>
      </c>
      <c r="C1565" s="167">
        <v>257.83</v>
      </c>
      <c r="D1565" t="s">
        <v>671</v>
      </c>
      <c r="E1565" t="s">
        <v>1701</v>
      </c>
      <c r="F1565" t="s">
        <v>7341</v>
      </c>
      <c r="G1565" t="s">
        <v>7354</v>
      </c>
      <c r="I1565" t="s">
        <v>2809</v>
      </c>
    </row>
    <row r="1566" spans="1:9" x14ac:dyDescent="0.25">
      <c r="A1566" t="s">
        <v>1225</v>
      </c>
      <c r="B1566" t="s">
        <v>3338</v>
      </c>
      <c r="C1566" s="167">
        <v>257.83</v>
      </c>
      <c r="D1566" t="s">
        <v>21</v>
      </c>
      <c r="E1566" t="s">
        <v>1699</v>
      </c>
      <c r="F1566" t="s">
        <v>7341</v>
      </c>
      <c r="G1566" t="s">
        <v>7354</v>
      </c>
      <c r="I1566" t="s">
        <v>2809</v>
      </c>
    </row>
    <row r="1567" spans="1:9" x14ac:dyDescent="0.25">
      <c r="A1567" t="s">
        <v>1228</v>
      </c>
      <c r="B1567" t="s">
        <v>3341</v>
      </c>
      <c r="C1567" s="167">
        <v>257.83</v>
      </c>
      <c r="D1567" t="s">
        <v>563</v>
      </c>
      <c r="E1567" t="s">
        <v>1699</v>
      </c>
      <c r="F1567" t="s">
        <v>7341</v>
      </c>
      <c r="G1567" t="s">
        <v>7354</v>
      </c>
      <c r="I1567" t="s">
        <v>2809</v>
      </c>
    </row>
    <row r="1568" spans="1:9" x14ac:dyDescent="0.25">
      <c r="A1568" t="s">
        <v>1231</v>
      </c>
      <c r="B1568" t="s">
        <v>3344</v>
      </c>
      <c r="C1568" s="167">
        <v>257.83</v>
      </c>
      <c r="D1568" t="s">
        <v>671</v>
      </c>
      <c r="E1568" t="s">
        <v>1699</v>
      </c>
      <c r="F1568" t="s">
        <v>7341</v>
      </c>
      <c r="G1568" t="s">
        <v>7354</v>
      </c>
      <c r="I1568" t="s">
        <v>2809</v>
      </c>
    </row>
    <row r="1569" spans="1:9" x14ac:dyDescent="0.25">
      <c r="A1569" t="s">
        <v>1226</v>
      </c>
      <c r="B1569" t="s">
        <v>3339</v>
      </c>
      <c r="C1569" s="167">
        <v>257.83</v>
      </c>
      <c r="D1569" t="s">
        <v>21</v>
      </c>
      <c r="E1569" t="s">
        <v>1703</v>
      </c>
      <c r="F1569" t="s">
        <v>7341</v>
      </c>
      <c r="G1569" t="s">
        <v>7354</v>
      </c>
      <c r="I1569" t="s">
        <v>2809</v>
      </c>
    </row>
    <row r="1570" spans="1:9" x14ac:dyDescent="0.25">
      <c r="A1570" t="s">
        <v>1229</v>
      </c>
      <c r="B1570" t="s">
        <v>3342</v>
      </c>
      <c r="C1570" s="167">
        <v>257.83</v>
      </c>
      <c r="D1570" t="s">
        <v>563</v>
      </c>
      <c r="E1570" t="s">
        <v>1703</v>
      </c>
      <c r="F1570" t="s">
        <v>7341</v>
      </c>
      <c r="G1570" t="s">
        <v>7354</v>
      </c>
      <c r="I1570" t="s">
        <v>2809</v>
      </c>
    </row>
    <row r="1571" spans="1:9" x14ac:dyDescent="0.25">
      <c r="A1571" t="s">
        <v>1232</v>
      </c>
      <c r="B1571" t="s">
        <v>3345</v>
      </c>
      <c r="C1571" s="167">
        <v>257.83</v>
      </c>
      <c r="D1571" t="s">
        <v>671</v>
      </c>
      <c r="E1571" t="s">
        <v>1703</v>
      </c>
      <c r="F1571" t="s">
        <v>7341</v>
      </c>
      <c r="G1571" t="s">
        <v>7354</v>
      </c>
      <c r="I1571" t="s">
        <v>2809</v>
      </c>
    </row>
    <row r="1572" spans="1:9" x14ac:dyDescent="0.25">
      <c r="A1572" t="s">
        <v>1233</v>
      </c>
      <c r="B1572" t="s">
        <v>3346</v>
      </c>
      <c r="C1572" s="167">
        <v>297.49</v>
      </c>
      <c r="D1572" t="s">
        <v>21</v>
      </c>
      <c r="E1572" t="s">
        <v>1701</v>
      </c>
      <c r="F1572" t="s">
        <v>7344</v>
      </c>
      <c r="G1572" t="s">
        <v>7354</v>
      </c>
      <c r="I1572" t="s">
        <v>2809</v>
      </c>
    </row>
    <row r="1573" spans="1:9" x14ac:dyDescent="0.25">
      <c r="A1573" t="s">
        <v>1236</v>
      </c>
      <c r="B1573" t="s">
        <v>3349</v>
      </c>
      <c r="C1573" s="167">
        <v>297.49</v>
      </c>
      <c r="D1573" t="s">
        <v>563</v>
      </c>
      <c r="E1573" t="s">
        <v>1701</v>
      </c>
      <c r="F1573" t="s">
        <v>7344</v>
      </c>
      <c r="G1573" t="s">
        <v>7354</v>
      </c>
      <c r="I1573" t="s">
        <v>2809</v>
      </c>
    </row>
    <row r="1574" spans="1:9" x14ac:dyDescent="0.25">
      <c r="A1574" t="s">
        <v>1239</v>
      </c>
      <c r="B1574" t="s">
        <v>3352</v>
      </c>
      <c r="C1574" s="167">
        <v>297.49</v>
      </c>
      <c r="D1574" t="s">
        <v>671</v>
      </c>
      <c r="E1574" t="s">
        <v>1701</v>
      </c>
      <c r="F1574" t="s">
        <v>7344</v>
      </c>
      <c r="G1574" t="s">
        <v>7354</v>
      </c>
      <c r="I1574" t="s">
        <v>2809</v>
      </c>
    </row>
    <row r="1575" spans="1:9" x14ac:dyDescent="0.25">
      <c r="A1575" t="s">
        <v>1234</v>
      </c>
      <c r="B1575" t="s">
        <v>3347</v>
      </c>
      <c r="C1575" s="167">
        <v>297.49</v>
      </c>
      <c r="D1575" t="s">
        <v>21</v>
      </c>
      <c r="E1575" t="s">
        <v>1699</v>
      </c>
      <c r="F1575" t="s">
        <v>7344</v>
      </c>
      <c r="G1575" t="s">
        <v>7354</v>
      </c>
      <c r="I1575" t="s">
        <v>2809</v>
      </c>
    </row>
    <row r="1576" spans="1:9" x14ac:dyDescent="0.25">
      <c r="A1576" t="s">
        <v>1237</v>
      </c>
      <c r="B1576" t="s">
        <v>3350</v>
      </c>
      <c r="C1576" s="167">
        <v>297.49</v>
      </c>
      <c r="D1576" t="s">
        <v>563</v>
      </c>
      <c r="E1576" t="s">
        <v>1699</v>
      </c>
      <c r="F1576" t="s">
        <v>7344</v>
      </c>
      <c r="G1576" t="s">
        <v>7354</v>
      </c>
      <c r="I1576" t="s">
        <v>2809</v>
      </c>
    </row>
    <row r="1577" spans="1:9" x14ac:dyDescent="0.25">
      <c r="A1577" t="s">
        <v>1240</v>
      </c>
      <c r="B1577" t="s">
        <v>3353</v>
      </c>
      <c r="C1577" s="167">
        <v>297.49</v>
      </c>
      <c r="D1577" t="s">
        <v>671</v>
      </c>
      <c r="E1577" t="s">
        <v>1699</v>
      </c>
      <c r="F1577" t="s">
        <v>7344</v>
      </c>
      <c r="G1577" t="s">
        <v>7354</v>
      </c>
      <c r="I1577" t="s">
        <v>2809</v>
      </c>
    </row>
    <row r="1578" spans="1:9" x14ac:dyDescent="0.25">
      <c r="A1578" t="s">
        <v>1235</v>
      </c>
      <c r="B1578" t="s">
        <v>3348</v>
      </c>
      <c r="C1578" s="167">
        <v>297.49</v>
      </c>
      <c r="D1578" t="s">
        <v>21</v>
      </c>
      <c r="E1578" t="s">
        <v>1703</v>
      </c>
      <c r="F1578" t="s">
        <v>7344</v>
      </c>
      <c r="G1578" t="s">
        <v>7354</v>
      </c>
      <c r="I1578" t="s">
        <v>2809</v>
      </c>
    </row>
    <row r="1579" spans="1:9" x14ac:dyDescent="0.25">
      <c r="A1579" t="s">
        <v>1238</v>
      </c>
      <c r="B1579" t="s">
        <v>3351</v>
      </c>
      <c r="C1579" s="167">
        <v>297.49</v>
      </c>
      <c r="D1579" t="s">
        <v>563</v>
      </c>
      <c r="E1579" t="s">
        <v>1703</v>
      </c>
      <c r="F1579" t="s">
        <v>7344</v>
      </c>
      <c r="G1579" t="s">
        <v>7354</v>
      </c>
      <c r="I1579" t="s">
        <v>2809</v>
      </c>
    </row>
    <row r="1580" spans="1:9" x14ac:dyDescent="0.25">
      <c r="A1580" t="s">
        <v>1241</v>
      </c>
      <c r="B1580" t="s">
        <v>3354</v>
      </c>
      <c r="C1580" s="167">
        <v>297.49</v>
      </c>
      <c r="D1580" t="s">
        <v>671</v>
      </c>
      <c r="E1580" t="s">
        <v>1703</v>
      </c>
      <c r="F1580" t="s">
        <v>7344</v>
      </c>
      <c r="G1580" t="s">
        <v>7354</v>
      </c>
      <c r="I1580" t="s">
        <v>2809</v>
      </c>
    </row>
    <row r="1581" spans="1:9" x14ac:dyDescent="0.25">
      <c r="A1581" t="s">
        <v>1242</v>
      </c>
      <c r="B1581" t="s">
        <v>3355</v>
      </c>
      <c r="C1581" s="167">
        <v>330.53</v>
      </c>
      <c r="D1581" t="s">
        <v>21</v>
      </c>
      <c r="E1581" t="s">
        <v>1701</v>
      </c>
      <c r="F1581" t="s">
        <v>7343</v>
      </c>
      <c r="G1581" t="s">
        <v>7354</v>
      </c>
      <c r="I1581" t="s">
        <v>2809</v>
      </c>
    </row>
    <row r="1582" spans="1:9" x14ac:dyDescent="0.25">
      <c r="A1582" t="s">
        <v>1245</v>
      </c>
      <c r="B1582" t="s">
        <v>3358</v>
      </c>
      <c r="C1582" s="167">
        <v>330.53</v>
      </c>
      <c r="D1582" t="s">
        <v>563</v>
      </c>
      <c r="E1582" t="s">
        <v>1701</v>
      </c>
      <c r="F1582" t="s">
        <v>7343</v>
      </c>
      <c r="G1582" t="s">
        <v>7354</v>
      </c>
      <c r="I1582" t="s">
        <v>2809</v>
      </c>
    </row>
    <row r="1583" spans="1:9" x14ac:dyDescent="0.25">
      <c r="A1583" t="s">
        <v>1248</v>
      </c>
      <c r="B1583" t="s">
        <v>3361</v>
      </c>
      <c r="C1583" s="167">
        <v>330.53</v>
      </c>
      <c r="D1583" t="s">
        <v>671</v>
      </c>
      <c r="E1583" t="s">
        <v>1701</v>
      </c>
      <c r="F1583" t="s">
        <v>7343</v>
      </c>
      <c r="G1583" t="s">
        <v>7354</v>
      </c>
      <c r="I1583" t="s">
        <v>2809</v>
      </c>
    </row>
    <row r="1584" spans="1:9" x14ac:dyDescent="0.25">
      <c r="A1584" t="s">
        <v>1243</v>
      </c>
      <c r="B1584" t="s">
        <v>3356</v>
      </c>
      <c r="C1584" s="167">
        <v>330.53</v>
      </c>
      <c r="D1584" t="s">
        <v>21</v>
      </c>
      <c r="E1584" t="s">
        <v>1699</v>
      </c>
      <c r="F1584" t="s">
        <v>7343</v>
      </c>
      <c r="G1584" t="s">
        <v>7354</v>
      </c>
      <c r="I1584" t="s">
        <v>2809</v>
      </c>
    </row>
    <row r="1585" spans="1:9" x14ac:dyDescent="0.25">
      <c r="A1585" t="s">
        <v>1246</v>
      </c>
      <c r="B1585" t="s">
        <v>3359</v>
      </c>
      <c r="C1585" s="167">
        <v>330.53</v>
      </c>
      <c r="D1585" t="s">
        <v>563</v>
      </c>
      <c r="E1585" t="s">
        <v>1699</v>
      </c>
      <c r="F1585" t="s">
        <v>7343</v>
      </c>
      <c r="G1585" t="s">
        <v>7354</v>
      </c>
      <c r="I1585" t="s">
        <v>2809</v>
      </c>
    </row>
    <row r="1586" spans="1:9" x14ac:dyDescent="0.25">
      <c r="A1586" t="s">
        <v>1249</v>
      </c>
      <c r="B1586" t="s">
        <v>3362</v>
      </c>
      <c r="C1586" s="167">
        <v>330.53</v>
      </c>
      <c r="D1586" t="s">
        <v>671</v>
      </c>
      <c r="E1586" t="s">
        <v>1699</v>
      </c>
      <c r="F1586" t="s">
        <v>7343</v>
      </c>
      <c r="G1586" t="s">
        <v>7354</v>
      </c>
      <c r="I1586" t="s">
        <v>2809</v>
      </c>
    </row>
    <row r="1587" spans="1:9" x14ac:dyDescent="0.25">
      <c r="A1587" t="s">
        <v>1244</v>
      </c>
      <c r="B1587" t="s">
        <v>3357</v>
      </c>
      <c r="C1587" s="167">
        <v>330.53</v>
      </c>
      <c r="D1587" t="s">
        <v>21</v>
      </c>
      <c r="E1587" t="s">
        <v>1703</v>
      </c>
      <c r="F1587" t="s">
        <v>7343</v>
      </c>
      <c r="G1587" t="s">
        <v>7354</v>
      </c>
      <c r="I1587" t="s">
        <v>2809</v>
      </c>
    </row>
    <row r="1588" spans="1:9" x14ac:dyDescent="0.25">
      <c r="A1588" t="s">
        <v>1247</v>
      </c>
      <c r="B1588" t="s">
        <v>3360</v>
      </c>
      <c r="C1588" s="167">
        <v>330.53</v>
      </c>
      <c r="D1588" t="s">
        <v>563</v>
      </c>
      <c r="E1588" t="s">
        <v>1703</v>
      </c>
      <c r="F1588" t="s">
        <v>7343</v>
      </c>
      <c r="G1588" t="s">
        <v>7354</v>
      </c>
      <c r="I1588" t="s">
        <v>2809</v>
      </c>
    </row>
    <row r="1589" spans="1:9" x14ac:dyDescent="0.25">
      <c r="A1589" t="s">
        <v>1250</v>
      </c>
      <c r="B1589" t="s">
        <v>3363</v>
      </c>
      <c r="C1589" s="167">
        <v>330.53</v>
      </c>
      <c r="D1589" t="s">
        <v>671</v>
      </c>
      <c r="E1589" t="s">
        <v>1703</v>
      </c>
      <c r="F1589" t="s">
        <v>7343</v>
      </c>
      <c r="G1589" t="s">
        <v>7354</v>
      </c>
      <c r="I1589" t="s">
        <v>2809</v>
      </c>
    </row>
    <row r="1590" spans="1:9" x14ac:dyDescent="0.25">
      <c r="A1590" t="s">
        <v>1251</v>
      </c>
      <c r="B1590" t="s">
        <v>3364</v>
      </c>
      <c r="C1590" s="167">
        <v>204.93</v>
      </c>
      <c r="D1590" t="s">
        <v>21</v>
      </c>
      <c r="E1590" t="s">
        <v>1701</v>
      </c>
      <c r="F1590" t="s">
        <v>7339</v>
      </c>
      <c r="G1590" t="s">
        <v>7354</v>
      </c>
      <c r="I1590" t="s">
        <v>2809</v>
      </c>
    </row>
    <row r="1591" spans="1:9" x14ac:dyDescent="0.25">
      <c r="A1591" t="s">
        <v>1254</v>
      </c>
      <c r="B1591" t="s">
        <v>3367</v>
      </c>
      <c r="C1591" s="167">
        <v>204.93</v>
      </c>
      <c r="D1591" t="s">
        <v>563</v>
      </c>
      <c r="E1591" t="s">
        <v>1701</v>
      </c>
      <c r="F1591" t="s">
        <v>7339</v>
      </c>
      <c r="G1591" t="s">
        <v>7354</v>
      </c>
      <c r="I1591" t="s">
        <v>2809</v>
      </c>
    </row>
    <row r="1592" spans="1:9" x14ac:dyDescent="0.25">
      <c r="A1592" t="s">
        <v>1257</v>
      </c>
      <c r="B1592" t="s">
        <v>3370</v>
      </c>
      <c r="C1592" s="167">
        <v>204.93</v>
      </c>
      <c r="D1592" t="s">
        <v>671</v>
      </c>
      <c r="E1592" t="s">
        <v>1701</v>
      </c>
      <c r="F1592" t="s">
        <v>7339</v>
      </c>
      <c r="G1592" t="s">
        <v>7354</v>
      </c>
      <c r="I1592" t="s">
        <v>2809</v>
      </c>
    </row>
    <row r="1593" spans="1:9" x14ac:dyDescent="0.25">
      <c r="A1593" t="s">
        <v>1252</v>
      </c>
      <c r="B1593" t="s">
        <v>3365</v>
      </c>
      <c r="C1593" s="167">
        <v>204.93</v>
      </c>
      <c r="D1593" t="s">
        <v>21</v>
      </c>
      <c r="E1593" t="s">
        <v>1699</v>
      </c>
      <c r="F1593" t="s">
        <v>7339</v>
      </c>
      <c r="G1593" t="s">
        <v>7354</v>
      </c>
      <c r="I1593" t="s">
        <v>2809</v>
      </c>
    </row>
    <row r="1594" spans="1:9" x14ac:dyDescent="0.25">
      <c r="A1594" t="s">
        <v>1255</v>
      </c>
      <c r="B1594" t="s">
        <v>3368</v>
      </c>
      <c r="C1594" s="167">
        <v>204.93</v>
      </c>
      <c r="D1594" t="s">
        <v>563</v>
      </c>
      <c r="E1594" t="s">
        <v>1699</v>
      </c>
      <c r="F1594" t="s">
        <v>7339</v>
      </c>
      <c r="G1594" t="s">
        <v>7354</v>
      </c>
      <c r="I1594" t="s">
        <v>2809</v>
      </c>
    </row>
    <row r="1595" spans="1:9" x14ac:dyDescent="0.25">
      <c r="A1595" t="s">
        <v>1258</v>
      </c>
      <c r="B1595" t="s">
        <v>3371</v>
      </c>
      <c r="C1595" s="167">
        <v>204.93</v>
      </c>
      <c r="D1595" t="s">
        <v>671</v>
      </c>
      <c r="E1595" t="s">
        <v>1699</v>
      </c>
      <c r="F1595" t="s">
        <v>7339</v>
      </c>
      <c r="G1595" t="s">
        <v>7354</v>
      </c>
      <c r="I1595" t="s">
        <v>2809</v>
      </c>
    </row>
    <row r="1596" spans="1:9" x14ac:dyDescent="0.25">
      <c r="A1596" t="s">
        <v>1253</v>
      </c>
      <c r="B1596" t="s">
        <v>3366</v>
      </c>
      <c r="C1596" s="167">
        <v>204.93</v>
      </c>
      <c r="D1596" t="s">
        <v>21</v>
      </c>
      <c r="E1596" t="s">
        <v>1703</v>
      </c>
      <c r="F1596" t="s">
        <v>7339</v>
      </c>
      <c r="G1596" t="s">
        <v>7354</v>
      </c>
      <c r="I1596" t="s">
        <v>2809</v>
      </c>
    </row>
    <row r="1597" spans="1:9" x14ac:dyDescent="0.25">
      <c r="A1597" t="s">
        <v>1256</v>
      </c>
      <c r="B1597" t="s">
        <v>3369</v>
      </c>
      <c r="C1597" s="167">
        <v>204.93</v>
      </c>
      <c r="D1597" t="s">
        <v>563</v>
      </c>
      <c r="E1597" t="s">
        <v>1703</v>
      </c>
      <c r="F1597" t="s">
        <v>7339</v>
      </c>
      <c r="G1597" t="s">
        <v>7354</v>
      </c>
      <c r="I1597" t="s">
        <v>2809</v>
      </c>
    </row>
    <row r="1598" spans="1:9" x14ac:dyDescent="0.25">
      <c r="A1598" t="s">
        <v>1259</v>
      </c>
      <c r="B1598" t="s">
        <v>3372</v>
      </c>
      <c r="C1598" s="167">
        <v>204.93</v>
      </c>
      <c r="D1598" t="s">
        <v>671</v>
      </c>
      <c r="E1598" t="s">
        <v>1703</v>
      </c>
      <c r="F1598" t="s">
        <v>7339</v>
      </c>
      <c r="G1598" t="s">
        <v>7354</v>
      </c>
      <c r="I1598" t="s">
        <v>2809</v>
      </c>
    </row>
    <row r="1599" spans="1:9" x14ac:dyDescent="0.25">
      <c r="A1599" t="s">
        <v>1260</v>
      </c>
      <c r="B1599" t="s">
        <v>3373</v>
      </c>
      <c r="C1599" s="167">
        <v>224.78</v>
      </c>
      <c r="D1599" t="s">
        <v>21</v>
      </c>
      <c r="E1599" t="s">
        <v>1701</v>
      </c>
      <c r="F1599" t="s">
        <v>7341</v>
      </c>
      <c r="G1599" t="s">
        <v>7354</v>
      </c>
      <c r="I1599" t="s">
        <v>2809</v>
      </c>
    </row>
    <row r="1600" spans="1:9" x14ac:dyDescent="0.25">
      <c r="A1600" t="s">
        <v>1263</v>
      </c>
      <c r="B1600" t="s">
        <v>3376</v>
      </c>
      <c r="C1600" s="167">
        <v>224.78</v>
      </c>
      <c r="D1600" t="s">
        <v>563</v>
      </c>
      <c r="E1600" t="s">
        <v>1701</v>
      </c>
      <c r="F1600" t="s">
        <v>7341</v>
      </c>
      <c r="G1600" t="s">
        <v>7354</v>
      </c>
      <c r="I1600" t="s">
        <v>2809</v>
      </c>
    </row>
    <row r="1601" spans="1:9" x14ac:dyDescent="0.25">
      <c r="A1601" t="s">
        <v>1266</v>
      </c>
      <c r="B1601" t="s">
        <v>3379</v>
      </c>
      <c r="C1601" s="167">
        <v>224.78</v>
      </c>
      <c r="D1601" t="s">
        <v>671</v>
      </c>
      <c r="E1601" t="s">
        <v>1701</v>
      </c>
      <c r="F1601" t="s">
        <v>7341</v>
      </c>
      <c r="G1601" t="s">
        <v>7354</v>
      </c>
      <c r="I1601" t="s">
        <v>2809</v>
      </c>
    </row>
    <row r="1602" spans="1:9" x14ac:dyDescent="0.25">
      <c r="A1602" t="s">
        <v>1261</v>
      </c>
      <c r="B1602" t="s">
        <v>3374</v>
      </c>
      <c r="C1602" s="167">
        <v>224.78</v>
      </c>
      <c r="D1602" t="s">
        <v>21</v>
      </c>
      <c r="E1602" t="s">
        <v>1699</v>
      </c>
      <c r="F1602" t="s">
        <v>7341</v>
      </c>
      <c r="G1602" t="s">
        <v>7354</v>
      </c>
      <c r="I1602" t="s">
        <v>2809</v>
      </c>
    </row>
    <row r="1603" spans="1:9" x14ac:dyDescent="0.25">
      <c r="A1603" t="s">
        <v>1264</v>
      </c>
      <c r="B1603" t="s">
        <v>3377</v>
      </c>
      <c r="C1603" s="167">
        <v>224.78</v>
      </c>
      <c r="D1603" t="s">
        <v>563</v>
      </c>
      <c r="E1603" t="s">
        <v>1699</v>
      </c>
      <c r="F1603" t="s">
        <v>7341</v>
      </c>
      <c r="G1603" t="s">
        <v>7354</v>
      </c>
      <c r="I1603" t="s">
        <v>2809</v>
      </c>
    </row>
    <row r="1604" spans="1:9" x14ac:dyDescent="0.25">
      <c r="A1604" t="s">
        <v>1267</v>
      </c>
      <c r="B1604" t="s">
        <v>3380</v>
      </c>
      <c r="C1604" s="167">
        <v>224.78</v>
      </c>
      <c r="D1604" t="s">
        <v>671</v>
      </c>
      <c r="E1604" t="s">
        <v>1699</v>
      </c>
      <c r="F1604" t="s">
        <v>7341</v>
      </c>
      <c r="G1604" t="s">
        <v>7354</v>
      </c>
      <c r="I1604" t="s">
        <v>2809</v>
      </c>
    </row>
    <row r="1605" spans="1:9" x14ac:dyDescent="0.25">
      <c r="A1605" t="s">
        <v>1262</v>
      </c>
      <c r="B1605" t="s">
        <v>3375</v>
      </c>
      <c r="C1605" s="167">
        <v>224.78</v>
      </c>
      <c r="D1605" t="s">
        <v>21</v>
      </c>
      <c r="E1605" t="s">
        <v>1703</v>
      </c>
      <c r="F1605" t="s">
        <v>7341</v>
      </c>
      <c r="G1605" t="s">
        <v>7354</v>
      </c>
      <c r="I1605" t="s">
        <v>2809</v>
      </c>
    </row>
    <row r="1606" spans="1:9" x14ac:dyDescent="0.25">
      <c r="A1606" t="s">
        <v>1265</v>
      </c>
      <c r="B1606" t="s">
        <v>3378</v>
      </c>
      <c r="C1606" s="167">
        <v>224.78</v>
      </c>
      <c r="D1606" t="s">
        <v>563</v>
      </c>
      <c r="E1606" t="s">
        <v>1703</v>
      </c>
      <c r="F1606" t="s">
        <v>7341</v>
      </c>
      <c r="G1606" t="s">
        <v>7354</v>
      </c>
      <c r="I1606" t="s">
        <v>2809</v>
      </c>
    </row>
    <row r="1607" spans="1:9" x14ac:dyDescent="0.25">
      <c r="A1607" t="s">
        <v>1268</v>
      </c>
      <c r="B1607" t="s">
        <v>3381</v>
      </c>
      <c r="C1607" s="167">
        <v>224.78</v>
      </c>
      <c r="D1607" t="s">
        <v>671</v>
      </c>
      <c r="E1607" t="s">
        <v>1703</v>
      </c>
      <c r="F1607" t="s">
        <v>7341</v>
      </c>
      <c r="G1607" t="s">
        <v>7354</v>
      </c>
      <c r="I1607" t="s">
        <v>2809</v>
      </c>
    </row>
    <row r="1608" spans="1:9" x14ac:dyDescent="0.25">
      <c r="A1608" t="s">
        <v>1269</v>
      </c>
      <c r="B1608" t="s">
        <v>3382</v>
      </c>
      <c r="C1608" s="167">
        <v>257.83</v>
      </c>
      <c r="D1608" t="s">
        <v>21</v>
      </c>
      <c r="E1608" t="s">
        <v>1701</v>
      </c>
      <c r="F1608" t="s">
        <v>7344</v>
      </c>
      <c r="G1608" t="s">
        <v>7354</v>
      </c>
      <c r="I1608" t="s">
        <v>2809</v>
      </c>
    </row>
    <row r="1609" spans="1:9" x14ac:dyDescent="0.25">
      <c r="A1609" t="s">
        <v>1272</v>
      </c>
      <c r="B1609" t="s">
        <v>3385</v>
      </c>
      <c r="C1609" s="167">
        <v>257.83</v>
      </c>
      <c r="D1609" t="s">
        <v>563</v>
      </c>
      <c r="E1609" t="s">
        <v>1701</v>
      </c>
      <c r="F1609" t="s">
        <v>7344</v>
      </c>
      <c r="G1609" t="s">
        <v>7354</v>
      </c>
      <c r="I1609" t="s">
        <v>2809</v>
      </c>
    </row>
    <row r="1610" spans="1:9" x14ac:dyDescent="0.25">
      <c r="A1610" t="s">
        <v>1275</v>
      </c>
      <c r="B1610" t="s">
        <v>3388</v>
      </c>
      <c r="C1610" s="167">
        <v>257.83</v>
      </c>
      <c r="D1610" t="s">
        <v>671</v>
      </c>
      <c r="E1610" t="s">
        <v>1701</v>
      </c>
      <c r="F1610" t="s">
        <v>7344</v>
      </c>
      <c r="G1610" t="s">
        <v>7354</v>
      </c>
      <c r="I1610" t="s">
        <v>2809</v>
      </c>
    </row>
    <row r="1611" spans="1:9" x14ac:dyDescent="0.25">
      <c r="A1611" t="s">
        <v>1270</v>
      </c>
      <c r="B1611" t="s">
        <v>3383</v>
      </c>
      <c r="C1611" s="167">
        <v>257.83</v>
      </c>
      <c r="D1611" t="s">
        <v>21</v>
      </c>
      <c r="E1611" t="s">
        <v>1699</v>
      </c>
      <c r="F1611" t="s">
        <v>7344</v>
      </c>
      <c r="G1611" t="s">
        <v>7354</v>
      </c>
      <c r="I1611" t="s">
        <v>2809</v>
      </c>
    </row>
    <row r="1612" spans="1:9" x14ac:dyDescent="0.25">
      <c r="A1612" t="s">
        <v>1273</v>
      </c>
      <c r="B1612" t="s">
        <v>3386</v>
      </c>
      <c r="C1612" s="167">
        <v>257.83</v>
      </c>
      <c r="D1612" t="s">
        <v>563</v>
      </c>
      <c r="E1612" t="s">
        <v>1699</v>
      </c>
      <c r="F1612" t="s">
        <v>7344</v>
      </c>
      <c r="G1612" t="s">
        <v>7354</v>
      </c>
      <c r="I1612" t="s">
        <v>2809</v>
      </c>
    </row>
    <row r="1613" spans="1:9" x14ac:dyDescent="0.25">
      <c r="A1613" t="s">
        <v>1276</v>
      </c>
      <c r="B1613" t="s">
        <v>3389</v>
      </c>
      <c r="C1613" s="167">
        <v>257.83</v>
      </c>
      <c r="D1613" t="s">
        <v>671</v>
      </c>
      <c r="E1613" t="s">
        <v>1699</v>
      </c>
      <c r="F1613" t="s">
        <v>7344</v>
      </c>
      <c r="G1613" t="s">
        <v>7354</v>
      </c>
      <c r="I1613" t="s">
        <v>2809</v>
      </c>
    </row>
    <row r="1614" spans="1:9" x14ac:dyDescent="0.25">
      <c r="A1614" t="s">
        <v>1271</v>
      </c>
      <c r="B1614" t="s">
        <v>3384</v>
      </c>
      <c r="C1614" s="167">
        <v>257.83</v>
      </c>
      <c r="D1614" t="s">
        <v>21</v>
      </c>
      <c r="E1614" t="s">
        <v>1703</v>
      </c>
      <c r="F1614" t="s">
        <v>7344</v>
      </c>
      <c r="G1614" t="s">
        <v>7354</v>
      </c>
      <c r="I1614" t="s">
        <v>2809</v>
      </c>
    </row>
    <row r="1615" spans="1:9" x14ac:dyDescent="0.25">
      <c r="A1615" t="s">
        <v>1274</v>
      </c>
      <c r="B1615" t="s">
        <v>3387</v>
      </c>
      <c r="C1615" s="167">
        <v>257.83</v>
      </c>
      <c r="D1615" t="s">
        <v>563</v>
      </c>
      <c r="E1615" t="s">
        <v>1703</v>
      </c>
      <c r="F1615" t="s">
        <v>7344</v>
      </c>
      <c r="G1615" t="s">
        <v>7354</v>
      </c>
      <c r="I1615" t="s">
        <v>2809</v>
      </c>
    </row>
    <row r="1616" spans="1:9" x14ac:dyDescent="0.25">
      <c r="A1616" t="s">
        <v>1277</v>
      </c>
      <c r="B1616" t="s">
        <v>3390</v>
      </c>
      <c r="C1616" s="167">
        <v>257.83</v>
      </c>
      <c r="D1616" t="s">
        <v>671</v>
      </c>
      <c r="E1616" t="s">
        <v>1703</v>
      </c>
      <c r="F1616" t="s">
        <v>7344</v>
      </c>
      <c r="G1616" t="s">
        <v>7354</v>
      </c>
      <c r="I1616" t="s">
        <v>2809</v>
      </c>
    </row>
    <row r="1617" spans="1:9" x14ac:dyDescent="0.25">
      <c r="A1617" t="s">
        <v>1278</v>
      </c>
      <c r="B1617" t="s">
        <v>3391</v>
      </c>
      <c r="C1617" s="167">
        <v>284.26</v>
      </c>
      <c r="D1617" t="s">
        <v>21</v>
      </c>
      <c r="E1617" t="s">
        <v>1701</v>
      </c>
      <c r="F1617" t="s">
        <v>7343</v>
      </c>
      <c r="G1617" t="s">
        <v>7354</v>
      </c>
      <c r="I1617" t="s">
        <v>2809</v>
      </c>
    </row>
    <row r="1618" spans="1:9" x14ac:dyDescent="0.25">
      <c r="A1618" t="s">
        <v>1281</v>
      </c>
      <c r="B1618" t="s">
        <v>3394</v>
      </c>
      <c r="C1618" s="167">
        <v>284.26</v>
      </c>
      <c r="D1618" t="s">
        <v>563</v>
      </c>
      <c r="E1618" t="s">
        <v>1701</v>
      </c>
      <c r="F1618" t="s">
        <v>7343</v>
      </c>
      <c r="G1618" t="s">
        <v>7354</v>
      </c>
      <c r="I1618" t="s">
        <v>2809</v>
      </c>
    </row>
    <row r="1619" spans="1:9" x14ac:dyDescent="0.25">
      <c r="A1619" t="s">
        <v>1284</v>
      </c>
      <c r="B1619" t="s">
        <v>3397</v>
      </c>
      <c r="C1619" s="167">
        <v>284.26</v>
      </c>
      <c r="D1619" t="s">
        <v>671</v>
      </c>
      <c r="E1619" t="s">
        <v>1701</v>
      </c>
      <c r="F1619" t="s">
        <v>7343</v>
      </c>
      <c r="G1619" t="s">
        <v>7354</v>
      </c>
      <c r="I1619" t="s">
        <v>2809</v>
      </c>
    </row>
    <row r="1620" spans="1:9" x14ac:dyDescent="0.25">
      <c r="A1620" t="s">
        <v>1279</v>
      </c>
      <c r="B1620" t="s">
        <v>3392</v>
      </c>
      <c r="C1620" s="167">
        <v>284.26</v>
      </c>
      <c r="D1620" t="s">
        <v>21</v>
      </c>
      <c r="E1620" t="s">
        <v>1699</v>
      </c>
      <c r="F1620" t="s">
        <v>7343</v>
      </c>
      <c r="G1620" t="s">
        <v>7354</v>
      </c>
      <c r="I1620" t="s">
        <v>2809</v>
      </c>
    </row>
    <row r="1621" spans="1:9" x14ac:dyDescent="0.25">
      <c r="A1621" t="s">
        <v>1282</v>
      </c>
      <c r="B1621" t="s">
        <v>3395</v>
      </c>
      <c r="C1621" s="167">
        <v>284.26</v>
      </c>
      <c r="D1621" t="s">
        <v>563</v>
      </c>
      <c r="E1621" t="s">
        <v>1699</v>
      </c>
      <c r="F1621" t="s">
        <v>7343</v>
      </c>
      <c r="G1621" t="s">
        <v>7354</v>
      </c>
      <c r="I1621" t="s">
        <v>2809</v>
      </c>
    </row>
    <row r="1622" spans="1:9" x14ac:dyDescent="0.25">
      <c r="A1622" t="s">
        <v>1285</v>
      </c>
      <c r="B1622" t="s">
        <v>3398</v>
      </c>
      <c r="C1622" s="167">
        <v>284.26</v>
      </c>
      <c r="D1622" t="s">
        <v>671</v>
      </c>
      <c r="E1622" t="s">
        <v>1699</v>
      </c>
      <c r="F1622" t="s">
        <v>7343</v>
      </c>
      <c r="G1622" t="s">
        <v>7354</v>
      </c>
      <c r="I1622" t="s">
        <v>2809</v>
      </c>
    </row>
    <row r="1623" spans="1:9" x14ac:dyDescent="0.25">
      <c r="A1623" t="s">
        <v>1280</v>
      </c>
      <c r="B1623" t="s">
        <v>3393</v>
      </c>
      <c r="C1623" s="167">
        <v>284.26</v>
      </c>
      <c r="D1623" t="s">
        <v>21</v>
      </c>
      <c r="E1623" t="s">
        <v>1703</v>
      </c>
      <c r="F1623" t="s">
        <v>7343</v>
      </c>
      <c r="G1623" t="s">
        <v>7354</v>
      </c>
      <c r="I1623" t="s">
        <v>2809</v>
      </c>
    </row>
    <row r="1624" spans="1:9" x14ac:dyDescent="0.25">
      <c r="A1624" t="s">
        <v>1283</v>
      </c>
      <c r="B1624" t="s">
        <v>3396</v>
      </c>
      <c r="C1624" s="167">
        <v>284.26</v>
      </c>
      <c r="D1624" t="s">
        <v>563</v>
      </c>
      <c r="E1624" t="s">
        <v>1703</v>
      </c>
      <c r="F1624" t="s">
        <v>7343</v>
      </c>
      <c r="G1624" t="s">
        <v>7354</v>
      </c>
      <c r="I1624" t="s">
        <v>2809</v>
      </c>
    </row>
    <row r="1625" spans="1:9" x14ac:dyDescent="0.25">
      <c r="A1625" t="s">
        <v>1286</v>
      </c>
      <c r="B1625" t="s">
        <v>3399</v>
      </c>
      <c r="C1625" s="167">
        <v>284.26</v>
      </c>
      <c r="D1625" t="s">
        <v>671</v>
      </c>
      <c r="E1625" t="s">
        <v>1703</v>
      </c>
      <c r="F1625" t="s">
        <v>7343</v>
      </c>
      <c r="G1625" t="s">
        <v>7354</v>
      </c>
      <c r="I1625" t="s">
        <v>2809</v>
      </c>
    </row>
    <row r="1626" spans="1:9" x14ac:dyDescent="0.25">
      <c r="A1626" t="s">
        <v>1287</v>
      </c>
      <c r="B1626" t="s">
        <v>3400</v>
      </c>
      <c r="C1626" s="167">
        <v>152.04</v>
      </c>
      <c r="D1626" t="s">
        <v>21</v>
      </c>
      <c r="E1626" t="s">
        <v>1701</v>
      </c>
      <c r="F1626" t="s">
        <v>7339</v>
      </c>
      <c r="G1626" t="s">
        <v>7354</v>
      </c>
      <c r="I1626" t="s">
        <v>2809</v>
      </c>
    </row>
    <row r="1627" spans="1:9" x14ac:dyDescent="0.25">
      <c r="A1627" t="s">
        <v>1290</v>
      </c>
      <c r="B1627" t="s">
        <v>3403</v>
      </c>
      <c r="C1627" s="167">
        <v>152.04</v>
      </c>
      <c r="D1627" t="s">
        <v>563</v>
      </c>
      <c r="E1627" t="s">
        <v>1701</v>
      </c>
      <c r="F1627" t="s">
        <v>7339</v>
      </c>
      <c r="G1627" t="s">
        <v>7354</v>
      </c>
      <c r="I1627" t="s">
        <v>2809</v>
      </c>
    </row>
    <row r="1628" spans="1:9" x14ac:dyDescent="0.25">
      <c r="A1628" t="s">
        <v>1293</v>
      </c>
      <c r="B1628" t="s">
        <v>3406</v>
      </c>
      <c r="C1628" s="167">
        <v>152.04</v>
      </c>
      <c r="D1628" t="s">
        <v>671</v>
      </c>
      <c r="E1628" t="s">
        <v>1701</v>
      </c>
      <c r="F1628" t="s">
        <v>7339</v>
      </c>
      <c r="G1628" t="s">
        <v>7354</v>
      </c>
      <c r="I1628" t="s">
        <v>2809</v>
      </c>
    </row>
    <row r="1629" spans="1:9" x14ac:dyDescent="0.25">
      <c r="A1629" t="s">
        <v>1288</v>
      </c>
      <c r="B1629" t="s">
        <v>3401</v>
      </c>
      <c r="C1629" s="167">
        <v>152.04</v>
      </c>
      <c r="D1629" t="s">
        <v>21</v>
      </c>
      <c r="E1629" t="s">
        <v>1699</v>
      </c>
      <c r="F1629" t="s">
        <v>7339</v>
      </c>
      <c r="G1629" t="s">
        <v>7354</v>
      </c>
      <c r="I1629" t="s">
        <v>2809</v>
      </c>
    </row>
    <row r="1630" spans="1:9" x14ac:dyDescent="0.25">
      <c r="A1630" t="s">
        <v>1291</v>
      </c>
      <c r="B1630" t="s">
        <v>3404</v>
      </c>
      <c r="C1630" s="167">
        <v>152.04</v>
      </c>
      <c r="D1630" t="s">
        <v>563</v>
      </c>
      <c r="E1630" t="s">
        <v>1699</v>
      </c>
      <c r="F1630" t="s">
        <v>7339</v>
      </c>
      <c r="G1630" t="s">
        <v>7354</v>
      </c>
      <c r="I1630" t="s">
        <v>2809</v>
      </c>
    </row>
    <row r="1631" spans="1:9" x14ac:dyDescent="0.25">
      <c r="A1631" t="s">
        <v>1294</v>
      </c>
      <c r="B1631" t="s">
        <v>3407</v>
      </c>
      <c r="C1631" s="167">
        <v>152.04</v>
      </c>
      <c r="D1631" t="s">
        <v>671</v>
      </c>
      <c r="E1631" t="s">
        <v>1699</v>
      </c>
      <c r="F1631" t="s">
        <v>7339</v>
      </c>
      <c r="G1631" t="s">
        <v>7354</v>
      </c>
      <c r="I1631" t="s">
        <v>2809</v>
      </c>
    </row>
    <row r="1632" spans="1:9" x14ac:dyDescent="0.25">
      <c r="A1632" t="s">
        <v>1289</v>
      </c>
      <c r="B1632" t="s">
        <v>3402</v>
      </c>
      <c r="C1632" s="167">
        <v>152.04</v>
      </c>
      <c r="D1632" t="s">
        <v>21</v>
      </c>
      <c r="E1632" t="s">
        <v>1703</v>
      </c>
      <c r="F1632" t="s">
        <v>7339</v>
      </c>
      <c r="G1632" t="s">
        <v>7354</v>
      </c>
      <c r="I1632" t="s">
        <v>2809</v>
      </c>
    </row>
    <row r="1633" spans="1:9" x14ac:dyDescent="0.25">
      <c r="A1633" t="s">
        <v>1292</v>
      </c>
      <c r="B1633" t="s">
        <v>3405</v>
      </c>
      <c r="C1633" s="167">
        <v>152.04</v>
      </c>
      <c r="D1633" t="s">
        <v>563</v>
      </c>
      <c r="E1633" t="s">
        <v>1703</v>
      </c>
      <c r="F1633" t="s">
        <v>7339</v>
      </c>
      <c r="G1633" t="s">
        <v>7354</v>
      </c>
      <c r="I1633" t="s">
        <v>2809</v>
      </c>
    </row>
    <row r="1634" spans="1:9" x14ac:dyDescent="0.25">
      <c r="A1634" t="s">
        <v>1295</v>
      </c>
      <c r="B1634" t="s">
        <v>3408</v>
      </c>
      <c r="C1634" s="167">
        <v>152.04</v>
      </c>
      <c r="D1634" t="s">
        <v>671</v>
      </c>
      <c r="E1634" t="s">
        <v>1703</v>
      </c>
      <c r="F1634" t="s">
        <v>7339</v>
      </c>
      <c r="G1634" t="s">
        <v>7354</v>
      </c>
      <c r="I1634" t="s">
        <v>2809</v>
      </c>
    </row>
    <row r="1635" spans="1:9" x14ac:dyDescent="0.25">
      <c r="A1635" t="s">
        <v>1296</v>
      </c>
      <c r="B1635" t="s">
        <v>3409</v>
      </c>
      <c r="C1635" s="167">
        <v>171.89</v>
      </c>
      <c r="D1635" t="s">
        <v>21</v>
      </c>
      <c r="E1635" t="s">
        <v>1701</v>
      </c>
      <c r="F1635" t="s">
        <v>7341</v>
      </c>
      <c r="G1635" t="s">
        <v>7354</v>
      </c>
      <c r="I1635" t="s">
        <v>2809</v>
      </c>
    </row>
    <row r="1636" spans="1:9" x14ac:dyDescent="0.25">
      <c r="A1636" t="s">
        <v>1299</v>
      </c>
      <c r="B1636" t="s">
        <v>3412</v>
      </c>
      <c r="C1636" s="167">
        <v>171.89</v>
      </c>
      <c r="D1636" t="s">
        <v>563</v>
      </c>
      <c r="E1636" t="s">
        <v>1701</v>
      </c>
      <c r="F1636" t="s">
        <v>7341</v>
      </c>
      <c r="G1636" t="s">
        <v>7354</v>
      </c>
      <c r="I1636" t="s">
        <v>2809</v>
      </c>
    </row>
    <row r="1637" spans="1:9" x14ac:dyDescent="0.25">
      <c r="A1637" t="s">
        <v>1302</v>
      </c>
      <c r="B1637" t="s">
        <v>3415</v>
      </c>
      <c r="C1637" s="167">
        <v>171.89</v>
      </c>
      <c r="D1637" t="s">
        <v>671</v>
      </c>
      <c r="E1637" t="s">
        <v>1701</v>
      </c>
      <c r="F1637" t="s">
        <v>7341</v>
      </c>
      <c r="G1637" t="s">
        <v>7354</v>
      </c>
      <c r="I1637" t="s">
        <v>2809</v>
      </c>
    </row>
    <row r="1638" spans="1:9" x14ac:dyDescent="0.25">
      <c r="A1638" t="s">
        <v>1297</v>
      </c>
      <c r="B1638" t="s">
        <v>3410</v>
      </c>
      <c r="C1638" s="167">
        <v>171.89</v>
      </c>
      <c r="D1638" t="s">
        <v>21</v>
      </c>
      <c r="E1638" t="s">
        <v>1699</v>
      </c>
      <c r="F1638" t="s">
        <v>7341</v>
      </c>
      <c r="G1638" t="s">
        <v>7354</v>
      </c>
      <c r="I1638" t="s">
        <v>2809</v>
      </c>
    </row>
    <row r="1639" spans="1:9" x14ac:dyDescent="0.25">
      <c r="A1639" t="s">
        <v>1300</v>
      </c>
      <c r="B1639" t="s">
        <v>3413</v>
      </c>
      <c r="C1639" s="167">
        <v>171.89</v>
      </c>
      <c r="D1639" t="s">
        <v>563</v>
      </c>
      <c r="E1639" t="s">
        <v>1699</v>
      </c>
      <c r="F1639" t="s">
        <v>7341</v>
      </c>
      <c r="G1639" t="s">
        <v>7354</v>
      </c>
      <c r="I1639" t="s">
        <v>2809</v>
      </c>
    </row>
    <row r="1640" spans="1:9" x14ac:dyDescent="0.25">
      <c r="A1640" t="s">
        <v>1303</v>
      </c>
      <c r="B1640" t="s">
        <v>3416</v>
      </c>
      <c r="C1640" s="167">
        <v>171.89</v>
      </c>
      <c r="D1640" t="s">
        <v>671</v>
      </c>
      <c r="E1640" t="s">
        <v>1699</v>
      </c>
      <c r="F1640" t="s">
        <v>7341</v>
      </c>
      <c r="G1640" t="s">
        <v>7354</v>
      </c>
      <c r="I1640" t="s">
        <v>2809</v>
      </c>
    </row>
    <row r="1641" spans="1:9" x14ac:dyDescent="0.25">
      <c r="A1641" t="s">
        <v>1298</v>
      </c>
      <c r="B1641" t="s">
        <v>3411</v>
      </c>
      <c r="C1641" s="167">
        <v>171.89</v>
      </c>
      <c r="D1641" t="s">
        <v>21</v>
      </c>
      <c r="E1641" t="s">
        <v>1703</v>
      </c>
      <c r="F1641" t="s">
        <v>7341</v>
      </c>
      <c r="G1641" t="s">
        <v>7354</v>
      </c>
      <c r="I1641" t="s">
        <v>2809</v>
      </c>
    </row>
    <row r="1642" spans="1:9" x14ac:dyDescent="0.25">
      <c r="A1642" t="s">
        <v>1301</v>
      </c>
      <c r="B1642" t="s">
        <v>3414</v>
      </c>
      <c r="C1642" s="167">
        <v>171.89</v>
      </c>
      <c r="D1642" t="s">
        <v>563</v>
      </c>
      <c r="E1642" t="s">
        <v>1703</v>
      </c>
      <c r="F1642" t="s">
        <v>7341</v>
      </c>
      <c r="G1642" t="s">
        <v>7354</v>
      </c>
      <c r="I1642" t="s">
        <v>2809</v>
      </c>
    </row>
    <row r="1643" spans="1:9" x14ac:dyDescent="0.25">
      <c r="A1643" t="s">
        <v>1304</v>
      </c>
      <c r="B1643" t="s">
        <v>3417</v>
      </c>
      <c r="C1643" s="167">
        <v>171.89</v>
      </c>
      <c r="D1643" t="s">
        <v>671</v>
      </c>
      <c r="E1643" t="s">
        <v>1703</v>
      </c>
      <c r="F1643" t="s">
        <v>7341</v>
      </c>
      <c r="G1643" t="s">
        <v>7354</v>
      </c>
      <c r="I1643" t="s">
        <v>2809</v>
      </c>
    </row>
    <row r="1644" spans="1:9" x14ac:dyDescent="0.25">
      <c r="A1644" t="s">
        <v>1305</v>
      </c>
      <c r="B1644" t="s">
        <v>3418</v>
      </c>
      <c r="C1644" s="167">
        <v>191.72</v>
      </c>
      <c r="D1644" t="s">
        <v>21</v>
      </c>
      <c r="E1644" t="s">
        <v>1701</v>
      </c>
      <c r="F1644" t="s">
        <v>7344</v>
      </c>
      <c r="G1644" t="s">
        <v>7354</v>
      </c>
      <c r="I1644" t="s">
        <v>2809</v>
      </c>
    </row>
    <row r="1645" spans="1:9" x14ac:dyDescent="0.25">
      <c r="A1645" t="s">
        <v>1308</v>
      </c>
      <c r="B1645" t="s">
        <v>3421</v>
      </c>
      <c r="C1645" s="167">
        <v>191.72</v>
      </c>
      <c r="D1645" t="s">
        <v>563</v>
      </c>
      <c r="E1645" t="s">
        <v>1701</v>
      </c>
      <c r="F1645" t="s">
        <v>7344</v>
      </c>
      <c r="G1645" t="s">
        <v>7354</v>
      </c>
      <c r="I1645" t="s">
        <v>2809</v>
      </c>
    </row>
    <row r="1646" spans="1:9" x14ac:dyDescent="0.25">
      <c r="A1646" t="s">
        <v>1311</v>
      </c>
      <c r="B1646" t="s">
        <v>3424</v>
      </c>
      <c r="C1646" s="167">
        <v>191.72</v>
      </c>
      <c r="D1646" t="s">
        <v>671</v>
      </c>
      <c r="E1646" t="s">
        <v>1701</v>
      </c>
      <c r="F1646" t="s">
        <v>7344</v>
      </c>
      <c r="G1646" t="s">
        <v>7354</v>
      </c>
      <c r="I1646" t="s">
        <v>2809</v>
      </c>
    </row>
    <row r="1647" spans="1:9" x14ac:dyDescent="0.25">
      <c r="A1647" t="s">
        <v>1306</v>
      </c>
      <c r="B1647" t="s">
        <v>3419</v>
      </c>
      <c r="C1647" s="167">
        <v>191.72</v>
      </c>
      <c r="D1647" t="s">
        <v>21</v>
      </c>
      <c r="E1647" t="s">
        <v>1699</v>
      </c>
      <c r="F1647" t="s">
        <v>7344</v>
      </c>
      <c r="G1647" t="s">
        <v>7354</v>
      </c>
      <c r="I1647" t="s">
        <v>2809</v>
      </c>
    </row>
    <row r="1648" spans="1:9" x14ac:dyDescent="0.25">
      <c r="A1648" t="s">
        <v>1309</v>
      </c>
      <c r="B1648" t="s">
        <v>3422</v>
      </c>
      <c r="C1648" s="167">
        <v>191.72</v>
      </c>
      <c r="D1648" t="s">
        <v>563</v>
      </c>
      <c r="E1648" t="s">
        <v>1699</v>
      </c>
      <c r="F1648" t="s">
        <v>7344</v>
      </c>
      <c r="G1648" t="s">
        <v>7354</v>
      </c>
      <c r="I1648" t="s">
        <v>2809</v>
      </c>
    </row>
    <row r="1649" spans="1:9" x14ac:dyDescent="0.25">
      <c r="A1649" t="s">
        <v>1312</v>
      </c>
      <c r="B1649" t="s">
        <v>3425</v>
      </c>
      <c r="C1649" s="167">
        <v>191.72</v>
      </c>
      <c r="D1649" t="s">
        <v>671</v>
      </c>
      <c r="E1649" t="s">
        <v>1699</v>
      </c>
      <c r="F1649" t="s">
        <v>7344</v>
      </c>
      <c r="G1649" t="s">
        <v>7354</v>
      </c>
      <c r="I1649" t="s">
        <v>2809</v>
      </c>
    </row>
    <row r="1650" spans="1:9" x14ac:dyDescent="0.25">
      <c r="A1650" t="s">
        <v>1307</v>
      </c>
      <c r="B1650" t="s">
        <v>3420</v>
      </c>
      <c r="C1650" s="167">
        <v>191.72</v>
      </c>
      <c r="D1650" t="s">
        <v>21</v>
      </c>
      <c r="E1650" t="s">
        <v>1703</v>
      </c>
      <c r="F1650" t="s">
        <v>7344</v>
      </c>
      <c r="G1650" t="s">
        <v>7354</v>
      </c>
      <c r="I1650" t="s">
        <v>2809</v>
      </c>
    </row>
    <row r="1651" spans="1:9" x14ac:dyDescent="0.25">
      <c r="A1651" t="s">
        <v>1310</v>
      </c>
      <c r="B1651" t="s">
        <v>3423</v>
      </c>
      <c r="C1651" s="167">
        <v>191.72</v>
      </c>
      <c r="D1651" t="s">
        <v>563</v>
      </c>
      <c r="E1651" t="s">
        <v>1703</v>
      </c>
      <c r="F1651" t="s">
        <v>7344</v>
      </c>
      <c r="G1651" t="s">
        <v>7354</v>
      </c>
      <c r="I1651" t="s">
        <v>2809</v>
      </c>
    </row>
    <row r="1652" spans="1:9" x14ac:dyDescent="0.25">
      <c r="A1652" t="s">
        <v>1313</v>
      </c>
      <c r="B1652" t="s">
        <v>3426</v>
      </c>
      <c r="C1652" s="167">
        <v>191.72</v>
      </c>
      <c r="D1652" t="s">
        <v>671</v>
      </c>
      <c r="E1652" t="s">
        <v>1703</v>
      </c>
      <c r="F1652" t="s">
        <v>7344</v>
      </c>
      <c r="G1652" t="s">
        <v>7354</v>
      </c>
      <c r="I1652" t="s">
        <v>2809</v>
      </c>
    </row>
    <row r="1653" spans="1:9" x14ac:dyDescent="0.25">
      <c r="A1653" t="s">
        <v>1314</v>
      </c>
      <c r="B1653" t="s">
        <v>3427</v>
      </c>
      <c r="C1653" s="167">
        <v>211.55</v>
      </c>
      <c r="D1653" t="s">
        <v>21</v>
      </c>
      <c r="E1653" t="s">
        <v>1701</v>
      </c>
      <c r="F1653" t="s">
        <v>7343</v>
      </c>
      <c r="G1653" t="s">
        <v>7354</v>
      </c>
      <c r="I1653" t="s">
        <v>2809</v>
      </c>
    </row>
    <row r="1654" spans="1:9" x14ac:dyDescent="0.25">
      <c r="A1654" t="s">
        <v>1317</v>
      </c>
      <c r="B1654" t="s">
        <v>3430</v>
      </c>
      <c r="C1654" s="167">
        <v>211.55</v>
      </c>
      <c r="D1654" t="s">
        <v>563</v>
      </c>
      <c r="E1654" t="s">
        <v>1701</v>
      </c>
      <c r="F1654" t="s">
        <v>7343</v>
      </c>
      <c r="G1654" t="s">
        <v>7354</v>
      </c>
      <c r="I1654" t="s">
        <v>2809</v>
      </c>
    </row>
    <row r="1655" spans="1:9" x14ac:dyDescent="0.25">
      <c r="A1655" t="s">
        <v>1320</v>
      </c>
      <c r="B1655" t="s">
        <v>3433</v>
      </c>
      <c r="C1655" s="167">
        <v>211.55</v>
      </c>
      <c r="D1655" t="s">
        <v>671</v>
      </c>
      <c r="E1655" t="s">
        <v>1701</v>
      </c>
      <c r="F1655" t="s">
        <v>7343</v>
      </c>
      <c r="G1655" t="s">
        <v>7354</v>
      </c>
      <c r="I1655" t="s">
        <v>2809</v>
      </c>
    </row>
    <row r="1656" spans="1:9" x14ac:dyDescent="0.25">
      <c r="A1656" t="s">
        <v>1315</v>
      </c>
      <c r="B1656" t="s">
        <v>3428</v>
      </c>
      <c r="C1656" s="167">
        <v>211.55</v>
      </c>
      <c r="D1656" t="s">
        <v>21</v>
      </c>
      <c r="E1656" t="s">
        <v>1699</v>
      </c>
      <c r="F1656" t="s">
        <v>7343</v>
      </c>
      <c r="G1656" t="s">
        <v>7354</v>
      </c>
      <c r="I1656" t="s">
        <v>2809</v>
      </c>
    </row>
    <row r="1657" spans="1:9" x14ac:dyDescent="0.25">
      <c r="A1657" t="s">
        <v>1318</v>
      </c>
      <c r="B1657" t="s">
        <v>3431</v>
      </c>
      <c r="C1657" s="167">
        <v>211.55</v>
      </c>
      <c r="D1657" t="s">
        <v>563</v>
      </c>
      <c r="E1657" t="s">
        <v>1699</v>
      </c>
      <c r="F1657" t="s">
        <v>7343</v>
      </c>
      <c r="G1657" t="s">
        <v>7354</v>
      </c>
      <c r="I1657" t="s">
        <v>2809</v>
      </c>
    </row>
    <row r="1658" spans="1:9" x14ac:dyDescent="0.25">
      <c r="A1658" t="s">
        <v>1321</v>
      </c>
      <c r="B1658" t="s">
        <v>3434</v>
      </c>
      <c r="C1658" s="167">
        <v>211.55</v>
      </c>
      <c r="D1658" t="s">
        <v>671</v>
      </c>
      <c r="E1658" t="s">
        <v>1699</v>
      </c>
      <c r="F1658" t="s">
        <v>7343</v>
      </c>
      <c r="G1658" t="s">
        <v>7354</v>
      </c>
      <c r="I1658" t="s">
        <v>2809</v>
      </c>
    </row>
    <row r="1659" spans="1:9" x14ac:dyDescent="0.25">
      <c r="A1659" t="s">
        <v>1316</v>
      </c>
      <c r="B1659" t="s">
        <v>3429</v>
      </c>
      <c r="C1659" s="167">
        <v>211.55</v>
      </c>
      <c r="D1659" t="s">
        <v>21</v>
      </c>
      <c r="E1659" t="s">
        <v>1703</v>
      </c>
      <c r="F1659" t="s">
        <v>7343</v>
      </c>
      <c r="G1659" t="s">
        <v>7354</v>
      </c>
      <c r="I1659" t="s">
        <v>2809</v>
      </c>
    </row>
    <row r="1660" spans="1:9" x14ac:dyDescent="0.25">
      <c r="A1660" t="s">
        <v>1319</v>
      </c>
      <c r="B1660" t="s">
        <v>3432</v>
      </c>
      <c r="C1660" s="167">
        <v>211.55</v>
      </c>
      <c r="D1660" t="s">
        <v>563</v>
      </c>
      <c r="E1660" t="s">
        <v>1703</v>
      </c>
      <c r="F1660" t="s">
        <v>7343</v>
      </c>
      <c r="G1660" t="s">
        <v>7354</v>
      </c>
      <c r="I1660" t="s">
        <v>2809</v>
      </c>
    </row>
    <row r="1661" spans="1:9" x14ac:dyDescent="0.25">
      <c r="A1661" t="s">
        <v>1322</v>
      </c>
      <c r="B1661" t="s">
        <v>3435</v>
      </c>
      <c r="C1661" s="167">
        <v>211.55</v>
      </c>
      <c r="D1661" t="s">
        <v>671</v>
      </c>
      <c r="E1661" t="s">
        <v>1703</v>
      </c>
      <c r="F1661" t="s">
        <v>7343</v>
      </c>
      <c r="G1661" t="s">
        <v>7354</v>
      </c>
      <c r="I1661" t="s">
        <v>2809</v>
      </c>
    </row>
    <row r="1662" spans="1:9" x14ac:dyDescent="0.25">
      <c r="A1662" t="s">
        <v>1323</v>
      </c>
      <c r="B1662" t="s">
        <v>3436</v>
      </c>
      <c r="C1662" s="167">
        <v>165.27</v>
      </c>
      <c r="D1662" t="s">
        <v>21</v>
      </c>
      <c r="E1662" t="s">
        <v>1701</v>
      </c>
      <c r="F1662" t="s">
        <v>7339</v>
      </c>
      <c r="G1662" t="s">
        <v>7354</v>
      </c>
      <c r="I1662" t="s">
        <v>2809</v>
      </c>
    </row>
    <row r="1663" spans="1:9" x14ac:dyDescent="0.25">
      <c r="A1663" t="s">
        <v>1326</v>
      </c>
      <c r="B1663" t="s">
        <v>3439</v>
      </c>
      <c r="C1663" s="167">
        <v>165.27</v>
      </c>
      <c r="D1663" t="s">
        <v>563</v>
      </c>
      <c r="E1663" t="s">
        <v>1701</v>
      </c>
      <c r="F1663" t="s">
        <v>7339</v>
      </c>
      <c r="G1663" t="s">
        <v>7354</v>
      </c>
      <c r="I1663" t="s">
        <v>2809</v>
      </c>
    </row>
    <row r="1664" spans="1:9" x14ac:dyDescent="0.25">
      <c r="A1664" t="s">
        <v>1329</v>
      </c>
      <c r="B1664" t="s">
        <v>3442</v>
      </c>
      <c r="C1664" s="167">
        <v>165.27</v>
      </c>
      <c r="D1664" t="s">
        <v>671</v>
      </c>
      <c r="E1664" t="s">
        <v>1701</v>
      </c>
      <c r="F1664" t="s">
        <v>7339</v>
      </c>
      <c r="G1664" t="s">
        <v>7354</v>
      </c>
      <c r="I1664" t="s">
        <v>2809</v>
      </c>
    </row>
    <row r="1665" spans="1:9" x14ac:dyDescent="0.25">
      <c r="A1665" t="s">
        <v>1324</v>
      </c>
      <c r="B1665" t="s">
        <v>3437</v>
      </c>
      <c r="C1665" s="167">
        <v>165.27</v>
      </c>
      <c r="D1665" t="s">
        <v>21</v>
      </c>
      <c r="E1665" t="s">
        <v>1699</v>
      </c>
      <c r="F1665" t="s">
        <v>7339</v>
      </c>
      <c r="G1665" t="s">
        <v>7354</v>
      </c>
      <c r="I1665" t="s">
        <v>2809</v>
      </c>
    </row>
    <row r="1666" spans="1:9" x14ac:dyDescent="0.25">
      <c r="A1666" t="s">
        <v>1327</v>
      </c>
      <c r="B1666" t="s">
        <v>3440</v>
      </c>
      <c r="C1666" s="167">
        <v>165.27</v>
      </c>
      <c r="D1666" t="s">
        <v>563</v>
      </c>
      <c r="E1666" t="s">
        <v>1699</v>
      </c>
      <c r="F1666" t="s">
        <v>7339</v>
      </c>
      <c r="G1666" t="s">
        <v>7354</v>
      </c>
      <c r="I1666" t="s">
        <v>2809</v>
      </c>
    </row>
    <row r="1667" spans="1:9" x14ac:dyDescent="0.25">
      <c r="A1667" t="s">
        <v>1330</v>
      </c>
      <c r="B1667" t="s">
        <v>3443</v>
      </c>
      <c r="C1667" s="167">
        <v>165.27</v>
      </c>
      <c r="D1667" t="s">
        <v>671</v>
      </c>
      <c r="E1667" t="s">
        <v>1699</v>
      </c>
      <c r="F1667" t="s">
        <v>7339</v>
      </c>
      <c r="G1667" t="s">
        <v>7354</v>
      </c>
      <c r="I1667" t="s">
        <v>2809</v>
      </c>
    </row>
    <row r="1668" spans="1:9" x14ac:dyDescent="0.25">
      <c r="A1668" t="s">
        <v>1325</v>
      </c>
      <c r="B1668" t="s">
        <v>3438</v>
      </c>
      <c r="C1668" s="167">
        <v>165.27</v>
      </c>
      <c r="D1668" t="s">
        <v>21</v>
      </c>
      <c r="E1668" t="s">
        <v>1703</v>
      </c>
      <c r="F1668" t="s">
        <v>7339</v>
      </c>
      <c r="G1668" t="s">
        <v>7354</v>
      </c>
      <c r="I1668" t="s">
        <v>2809</v>
      </c>
    </row>
    <row r="1669" spans="1:9" x14ac:dyDescent="0.25">
      <c r="A1669" t="s">
        <v>1328</v>
      </c>
      <c r="B1669" t="s">
        <v>3441</v>
      </c>
      <c r="C1669" s="167">
        <v>165.27</v>
      </c>
      <c r="D1669" t="s">
        <v>563</v>
      </c>
      <c r="E1669" t="s">
        <v>1703</v>
      </c>
      <c r="F1669" t="s">
        <v>7339</v>
      </c>
      <c r="G1669" t="s">
        <v>7354</v>
      </c>
      <c r="I1669" t="s">
        <v>2809</v>
      </c>
    </row>
    <row r="1670" spans="1:9" x14ac:dyDescent="0.25">
      <c r="A1670" t="s">
        <v>1331</v>
      </c>
      <c r="B1670" t="s">
        <v>3444</v>
      </c>
      <c r="C1670" s="167">
        <v>165.27</v>
      </c>
      <c r="D1670" t="s">
        <v>671</v>
      </c>
      <c r="E1670" t="s">
        <v>1703</v>
      </c>
      <c r="F1670" t="s">
        <v>7339</v>
      </c>
      <c r="G1670" t="s">
        <v>7354</v>
      </c>
      <c r="I1670" t="s">
        <v>2809</v>
      </c>
    </row>
    <row r="1671" spans="1:9" x14ac:dyDescent="0.25">
      <c r="A1671" t="s">
        <v>1332</v>
      </c>
      <c r="B1671" t="s">
        <v>3445</v>
      </c>
      <c r="C1671" s="167">
        <v>191.72</v>
      </c>
      <c r="D1671" t="s">
        <v>21</v>
      </c>
      <c r="E1671" t="s">
        <v>1701</v>
      </c>
      <c r="F1671" t="s">
        <v>7341</v>
      </c>
      <c r="G1671" t="s">
        <v>7354</v>
      </c>
      <c r="I1671" t="s">
        <v>2809</v>
      </c>
    </row>
    <row r="1672" spans="1:9" x14ac:dyDescent="0.25">
      <c r="A1672" t="s">
        <v>1335</v>
      </c>
      <c r="B1672" t="s">
        <v>3448</v>
      </c>
      <c r="C1672" s="167">
        <v>191.72</v>
      </c>
      <c r="D1672" t="s">
        <v>563</v>
      </c>
      <c r="E1672" t="s">
        <v>1701</v>
      </c>
      <c r="F1672" t="s">
        <v>7341</v>
      </c>
      <c r="G1672" t="s">
        <v>7354</v>
      </c>
      <c r="I1672" t="s">
        <v>2809</v>
      </c>
    </row>
    <row r="1673" spans="1:9" x14ac:dyDescent="0.25">
      <c r="A1673" t="s">
        <v>1338</v>
      </c>
      <c r="B1673" t="s">
        <v>3451</v>
      </c>
      <c r="C1673" s="167">
        <v>191.72</v>
      </c>
      <c r="D1673" t="s">
        <v>671</v>
      </c>
      <c r="E1673" t="s">
        <v>1701</v>
      </c>
      <c r="F1673" t="s">
        <v>7341</v>
      </c>
      <c r="G1673" t="s">
        <v>7354</v>
      </c>
      <c r="I1673" t="s">
        <v>2809</v>
      </c>
    </row>
    <row r="1674" spans="1:9" x14ac:dyDescent="0.25">
      <c r="A1674" t="s">
        <v>1333</v>
      </c>
      <c r="B1674" t="s">
        <v>3446</v>
      </c>
      <c r="C1674" s="167">
        <v>191.72</v>
      </c>
      <c r="D1674" t="s">
        <v>21</v>
      </c>
      <c r="E1674" t="s">
        <v>1699</v>
      </c>
      <c r="F1674" t="s">
        <v>7341</v>
      </c>
      <c r="G1674" t="s">
        <v>7354</v>
      </c>
      <c r="I1674" t="s">
        <v>2809</v>
      </c>
    </row>
    <row r="1675" spans="1:9" x14ac:dyDescent="0.25">
      <c r="A1675" t="s">
        <v>1336</v>
      </c>
      <c r="B1675" t="s">
        <v>3449</v>
      </c>
      <c r="C1675" s="167">
        <v>191.72</v>
      </c>
      <c r="D1675" t="s">
        <v>563</v>
      </c>
      <c r="E1675" t="s">
        <v>1699</v>
      </c>
      <c r="F1675" t="s">
        <v>7341</v>
      </c>
      <c r="G1675" t="s">
        <v>7354</v>
      </c>
      <c r="I1675" t="s">
        <v>2809</v>
      </c>
    </row>
    <row r="1676" spans="1:9" x14ac:dyDescent="0.25">
      <c r="A1676" t="s">
        <v>1339</v>
      </c>
      <c r="B1676" t="s">
        <v>3452</v>
      </c>
      <c r="C1676" s="167">
        <v>191.72</v>
      </c>
      <c r="D1676" t="s">
        <v>671</v>
      </c>
      <c r="E1676" t="s">
        <v>1699</v>
      </c>
      <c r="F1676" t="s">
        <v>7341</v>
      </c>
      <c r="G1676" t="s">
        <v>7354</v>
      </c>
      <c r="I1676" t="s">
        <v>2809</v>
      </c>
    </row>
    <row r="1677" spans="1:9" x14ac:dyDescent="0.25">
      <c r="A1677" t="s">
        <v>1334</v>
      </c>
      <c r="B1677" t="s">
        <v>3447</v>
      </c>
      <c r="C1677" s="167">
        <v>191.72</v>
      </c>
      <c r="D1677" t="s">
        <v>21</v>
      </c>
      <c r="E1677" t="s">
        <v>1703</v>
      </c>
      <c r="F1677" t="s">
        <v>7341</v>
      </c>
      <c r="G1677" t="s">
        <v>7354</v>
      </c>
      <c r="I1677" t="s">
        <v>2809</v>
      </c>
    </row>
    <row r="1678" spans="1:9" x14ac:dyDescent="0.25">
      <c r="A1678" t="s">
        <v>1337</v>
      </c>
      <c r="B1678" t="s">
        <v>3450</v>
      </c>
      <c r="C1678" s="167">
        <v>191.72</v>
      </c>
      <c r="D1678" t="s">
        <v>563</v>
      </c>
      <c r="E1678" t="s">
        <v>1703</v>
      </c>
      <c r="F1678" t="s">
        <v>7341</v>
      </c>
      <c r="G1678" t="s">
        <v>7354</v>
      </c>
      <c r="I1678" t="s">
        <v>2809</v>
      </c>
    </row>
    <row r="1679" spans="1:9" x14ac:dyDescent="0.25">
      <c r="A1679" t="s">
        <v>1340</v>
      </c>
      <c r="B1679" t="s">
        <v>3453</v>
      </c>
      <c r="C1679" s="167">
        <v>191.72</v>
      </c>
      <c r="D1679" t="s">
        <v>671</v>
      </c>
      <c r="E1679" t="s">
        <v>1703</v>
      </c>
      <c r="F1679" t="s">
        <v>7341</v>
      </c>
      <c r="G1679" t="s">
        <v>7354</v>
      </c>
      <c r="I1679" t="s">
        <v>2809</v>
      </c>
    </row>
    <row r="1680" spans="1:9" x14ac:dyDescent="0.25">
      <c r="A1680" t="s">
        <v>1341</v>
      </c>
      <c r="B1680" t="s">
        <v>3454</v>
      </c>
      <c r="C1680" s="167">
        <v>218.15</v>
      </c>
      <c r="D1680" t="s">
        <v>21</v>
      </c>
      <c r="E1680" t="s">
        <v>1701</v>
      </c>
      <c r="F1680" t="s">
        <v>7344</v>
      </c>
      <c r="G1680" t="s">
        <v>7354</v>
      </c>
      <c r="I1680" t="s">
        <v>2809</v>
      </c>
    </row>
    <row r="1681" spans="1:9" x14ac:dyDescent="0.25">
      <c r="A1681" t="s">
        <v>1344</v>
      </c>
      <c r="B1681" t="s">
        <v>3457</v>
      </c>
      <c r="C1681" s="167">
        <v>218.15</v>
      </c>
      <c r="D1681" t="s">
        <v>563</v>
      </c>
      <c r="E1681" t="s">
        <v>1701</v>
      </c>
      <c r="F1681" t="s">
        <v>7344</v>
      </c>
      <c r="G1681" t="s">
        <v>7354</v>
      </c>
      <c r="I1681" t="s">
        <v>2809</v>
      </c>
    </row>
    <row r="1682" spans="1:9" x14ac:dyDescent="0.25">
      <c r="A1682" t="s">
        <v>1347</v>
      </c>
      <c r="B1682" t="s">
        <v>3460</v>
      </c>
      <c r="C1682" s="167">
        <v>218.15</v>
      </c>
      <c r="D1682" t="s">
        <v>671</v>
      </c>
      <c r="E1682" t="s">
        <v>1701</v>
      </c>
      <c r="F1682" t="s">
        <v>7344</v>
      </c>
      <c r="G1682" t="s">
        <v>7354</v>
      </c>
      <c r="I1682" t="s">
        <v>2809</v>
      </c>
    </row>
    <row r="1683" spans="1:9" x14ac:dyDescent="0.25">
      <c r="A1683" t="s">
        <v>1342</v>
      </c>
      <c r="B1683" t="s">
        <v>3455</v>
      </c>
      <c r="C1683" s="167">
        <v>218.15</v>
      </c>
      <c r="D1683" t="s">
        <v>21</v>
      </c>
      <c r="E1683" t="s">
        <v>1699</v>
      </c>
      <c r="F1683" t="s">
        <v>7344</v>
      </c>
      <c r="G1683" t="s">
        <v>7354</v>
      </c>
      <c r="I1683" t="s">
        <v>2809</v>
      </c>
    </row>
    <row r="1684" spans="1:9" x14ac:dyDescent="0.25">
      <c r="A1684" t="s">
        <v>1345</v>
      </c>
      <c r="B1684" t="s">
        <v>3458</v>
      </c>
      <c r="C1684" s="167">
        <v>218.15</v>
      </c>
      <c r="D1684" t="s">
        <v>563</v>
      </c>
      <c r="E1684" t="s">
        <v>1699</v>
      </c>
      <c r="F1684" t="s">
        <v>7344</v>
      </c>
      <c r="G1684" t="s">
        <v>7354</v>
      </c>
      <c r="I1684" t="s">
        <v>2809</v>
      </c>
    </row>
    <row r="1685" spans="1:9" x14ac:dyDescent="0.25">
      <c r="A1685" t="s">
        <v>1348</v>
      </c>
      <c r="B1685" t="s">
        <v>3461</v>
      </c>
      <c r="C1685" s="167">
        <v>218.15</v>
      </c>
      <c r="D1685" t="s">
        <v>671</v>
      </c>
      <c r="E1685" t="s">
        <v>1699</v>
      </c>
      <c r="F1685" t="s">
        <v>7344</v>
      </c>
      <c r="G1685" t="s">
        <v>7354</v>
      </c>
      <c r="I1685" t="s">
        <v>2809</v>
      </c>
    </row>
    <row r="1686" spans="1:9" x14ac:dyDescent="0.25">
      <c r="A1686" t="s">
        <v>1343</v>
      </c>
      <c r="B1686" t="s">
        <v>3456</v>
      </c>
      <c r="C1686" s="167">
        <v>218.15</v>
      </c>
      <c r="D1686" t="s">
        <v>21</v>
      </c>
      <c r="E1686" t="s">
        <v>1703</v>
      </c>
      <c r="F1686" t="s">
        <v>7344</v>
      </c>
      <c r="G1686" t="s">
        <v>7354</v>
      </c>
      <c r="I1686" t="s">
        <v>2809</v>
      </c>
    </row>
    <row r="1687" spans="1:9" x14ac:dyDescent="0.25">
      <c r="A1687" t="s">
        <v>1346</v>
      </c>
      <c r="B1687" t="s">
        <v>3459</v>
      </c>
      <c r="C1687" s="167">
        <v>218.15</v>
      </c>
      <c r="D1687" t="s">
        <v>563</v>
      </c>
      <c r="E1687" t="s">
        <v>1703</v>
      </c>
      <c r="F1687" t="s">
        <v>7344</v>
      </c>
      <c r="G1687" t="s">
        <v>7354</v>
      </c>
      <c r="I1687" t="s">
        <v>2809</v>
      </c>
    </row>
    <row r="1688" spans="1:9" x14ac:dyDescent="0.25">
      <c r="A1688" t="s">
        <v>1349</v>
      </c>
      <c r="B1688" t="s">
        <v>3462</v>
      </c>
      <c r="C1688" s="167">
        <v>218.15</v>
      </c>
      <c r="D1688" t="s">
        <v>671</v>
      </c>
      <c r="E1688" t="s">
        <v>1703</v>
      </c>
      <c r="F1688" t="s">
        <v>7344</v>
      </c>
      <c r="G1688" t="s">
        <v>7354</v>
      </c>
      <c r="I1688" t="s">
        <v>2809</v>
      </c>
    </row>
    <row r="1689" spans="1:9" x14ac:dyDescent="0.25">
      <c r="A1689" t="s">
        <v>1350</v>
      </c>
      <c r="B1689" t="s">
        <v>3463</v>
      </c>
      <c r="C1689" s="167">
        <v>244.6</v>
      </c>
      <c r="D1689" t="s">
        <v>21</v>
      </c>
      <c r="E1689" t="s">
        <v>1701</v>
      </c>
      <c r="F1689" t="s">
        <v>7343</v>
      </c>
      <c r="G1689" t="s">
        <v>7354</v>
      </c>
      <c r="I1689" t="s">
        <v>2809</v>
      </c>
    </row>
    <row r="1690" spans="1:9" x14ac:dyDescent="0.25">
      <c r="A1690" t="s">
        <v>1353</v>
      </c>
      <c r="B1690" t="s">
        <v>3466</v>
      </c>
      <c r="C1690" s="167">
        <v>244.6</v>
      </c>
      <c r="D1690" t="s">
        <v>563</v>
      </c>
      <c r="E1690" t="s">
        <v>1701</v>
      </c>
      <c r="F1690" t="s">
        <v>7343</v>
      </c>
      <c r="G1690" t="s">
        <v>7354</v>
      </c>
      <c r="I1690" t="s">
        <v>2809</v>
      </c>
    </row>
    <row r="1691" spans="1:9" x14ac:dyDescent="0.25">
      <c r="A1691" t="s">
        <v>1356</v>
      </c>
      <c r="B1691" t="s">
        <v>3469</v>
      </c>
      <c r="C1691" s="167">
        <v>244.6</v>
      </c>
      <c r="D1691" t="s">
        <v>671</v>
      </c>
      <c r="E1691" t="s">
        <v>1701</v>
      </c>
      <c r="F1691" t="s">
        <v>7343</v>
      </c>
      <c r="G1691" t="s">
        <v>7354</v>
      </c>
      <c r="I1691" t="s">
        <v>2809</v>
      </c>
    </row>
    <row r="1692" spans="1:9" x14ac:dyDescent="0.25">
      <c r="A1692" t="s">
        <v>1351</v>
      </c>
      <c r="B1692" t="s">
        <v>3464</v>
      </c>
      <c r="C1692" s="167">
        <v>244.6</v>
      </c>
      <c r="D1692" t="s">
        <v>21</v>
      </c>
      <c r="E1692" t="s">
        <v>1699</v>
      </c>
      <c r="F1692" t="s">
        <v>7343</v>
      </c>
      <c r="G1692" t="s">
        <v>7354</v>
      </c>
      <c r="I1692" t="s">
        <v>2809</v>
      </c>
    </row>
    <row r="1693" spans="1:9" x14ac:dyDescent="0.25">
      <c r="A1693" t="s">
        <v>1354</v>
      </c>
      <c r="B1693" t="s">
        <v>3467</v>
      </c>
      <c r="C1693" s="167">
        <v>244.6</v>
      </c>
      <c r="D1693" t="s">
        <v>563</v>
      </c>
      <c r="E1693" t="s">
        <v>1699</v>
      </c>
      <c r="F1693" t="s">
        <v>7343</v>
      </c>
      <c r="G1693" t="s">
        <v>7354</v>
      </c>
      <c r="I1693" t="s">
        <v>2809</v>
      </c>
    </row>
    <row r="1694" spans="1:9" x14ac:dyDescent="0.25">
      <c r="A1694" t="s">
        <v>1357</v>
      </c>
      <c r="B1694" t="s">
        <v>3470</v>
      </c>
      <c r="C1694" s="167">
        <v>244.6</v>
      </c>
      <c r="D1694" t="s">
        <v>671</v>
      </c>
      <c r="E1694" t="s">
        <v>1699</v>
      </c>
      <c r="F1694" t="s">
        <v>7343</v>
      </c>
      <c r="G1694" t="s">
        <v>7354</v>
      </c>
      <c r="I1694" t="s">
        <v>2809</v>
      </c>
    </row>
    <row r="1695" spans="1:9" x14ac:dyDescent="0.25">
      <c r="A1695" t="s">
        <v>1352</v>
      </c>
      <c r="B1695" t="s">
        <v>3465</v>
      </c>
      <c r="C1695" s="167">
        <v>244.6</v>
      </c>
      <c r="D1695" t="s">
        <v>21</v>
      </c>
      <c r="E1695" t="s">
        <v>1703</v>
      </c>
      <c r="F1695" t="s">
        <v>7343</v>
      </c>
      <c r="G1695" t="s">
        <v>7354</v>
      </c>
      <c r="I1695" t="s">
        <v>2809</v>
      </c>
    </row>
    <row r="1696" spans="1:9" x14ac:dyDescent="0.25">
      <c r="A1696" t="s">
        <v>1355</v>
      </c>
      <c r="B1696" t="s">
        <v>3468</v>
      </c>
      <c r="C1696" s="167">
        <v>244.6</v>
      </c>
      <c r="D1696" t="s">
        <v>563</v>
      </c>
      <c r="E1696" t="s">
        <v>1703</v>
      </c>
      <c r="F1696" t="s">
        <v>7343</v>
      </c>
      <c r="G1696" t="s">
        <v>7354</v>
      </c>
      <c r="I1696" t="s">
        <v>2809</v>
      </c>
    </row>
    <row r="1697" spans="1:9" x14ac:dyDescent="0.25">
      <c r="A1697" t="s">
        <v>1358</v>
      </c>
      <c r="B1697" t="s">
        <v>3471</v>
      </c>
      <c r="C1697" s="167">
        <v>244.6</v>
      </c>
      <c r="D1697" t="s">
        <v>671</v>
      </c>
      <c r="E1697" t="s">
        <v>1703</v>
      </c>
      <c r="F1697" t="s">
        <v>7343</v>
      </c>
      <c r="G1697" t="s">
        <v>7354</v>
      </c>
      <c r="I1697" t="s">
        <v>2809</v>
      </c>
    </row>
    <row r="1698" spans="1:9" x14ac:dyDescent="0.25">
      <c r="A1698" t="s">
        <v>1359</v>
      </c>
      <c r="B1698" t="s">
        <v>3472</v>
      </c>
      <c r="C1698" s="167">
        <v>178.49</v>
      </c>
      <c r="D1698" t="s">
        <v>21</v>
      </c>
      <c r="E1698" t="s">
        <v>1701</v>
      </c>
      <c r="F1698" t="s">
        <v>7339</v>
      </c>
      <c r="G1698" t="s">
        <v>7354</v>
      </c>
      <c r="I1698" t="s">
        <v>2809</v>
      </c>
    </row>
    <row r="1699" spans="1:9" x14ac:dyDescent="0.25">
      <c r="A1699" t="s">
        <v>1362</v>
      </c>
      <c r="B1699" t="s">
        <v>3475</v>
      </c>
      <c r="C1699" s="167">
        <v>178.49</v>
      </c>
      <c r="D1699" t="s">
        <v>563</v>
      </c>
      <c r="E1699" t="s">
        <v>1701</v>
      </c>
      <c r="F1699" t="s">
        <v>7339</v>
      </c>
      <c r="G1699" t="s">
        <v>7354</v>
      </c>
      <c r="I1699" t="s">
        <v>2809</v>
      </c>
    </row>
    <row r="1700" spans="1:9" x14ac:dyDescent="0.25">
      <c r="A1700" t="s">
        <v>1365</v>
      </c>
      <c r="B1700" t="s">
        <v>3478</v>
      </c>
      <c r="C1700" s="167">
        <v>178.49</v>
      </c>
      <c r="D1700" t="s">
        <v>671</v>
      </c>
      <c r="E1700" t="s">
        <v>1701</v>
      </c>
      <c r="F1700" t="s">
        <v>7339</v>
      </c>
      <c r="G1700" t="s">
        <v>7354</v>
      </c>
      <c r="I1700" t="s">
        <v>2809</v>
      </c>
    </row>
    <row r="1701" spans="1:9" x14ac:dyDescent="0.25">
      <c r="A1701" t="s">
        <v>1360</v>
      </c>
      <c r="B1701" t="s">
        <v>3473</v>
      </c>
      <c r="C1701" s="167">
        <v>178.49</v>
      </c>
      <c r="D1701" t="s">
        <v>21</v>
      </c>
      <c r="E1701" t="s">
        <v>1699</v>
      </c>
      <c r="F1701" t="s">
        <v>7339</v>
      </c>
      <c r="G1701" t="s">
        <v>7354</v>
      </c>
      <c r="I1701" t="s">
        <v>2809</v>
      </c>
    </row>
    <row r="1702" spans="1:9" x14ac:dyDescent="0.25">
      <c r="A1702" t="s">
        <v>1363</v>
      </c>
      <c r="B1702" t="s">
        <v>3476</v>
      </c>
      <c r="C1702" s="167">
        <v>178.49</v>
      </c>
      <c r="D1702" t="s">
        <v>563</v>
      </c>
      <c r="E1702" t="s">
        <v>1699</v>
      </c>
      <c r="F1702" t="s">
        <v>7339</v>
      </c>
      <c r="G1702" t="s">
        <v>7354</v>
      </c>
      <c r="I1702" t="s">
        <v>2809</v>
      </c>
    </row>
    <row r="1703" spans="1:9" x14ac:dyDescent="0.25">
      <c r="A1703" t="s">
        <v>1366</v>
      </c>
      <c r="B1703" t="s">
        <v>3479</v>
      </c>
      <c r="C1703" s="167">
        <v>178.49</v>
      </c>
      <c r="D1703" t="s">
        <v>671</v>
      </c>
      <c r="E1703" t="s">
        <v>1699</v>
      </c>
      <c r="F1703" t="s">
        <v>7339</v>
      </c>
      <c r="G1703" t="s">
        <v>7354</v>
      </c>
      <c r="I1703" t="s">
        <v>2809</v>
      </c>
    </row>
    <row r="1704" spans="1:9" x14ac:dyDescent="0.25">
      <c r="A1704" t="s">
        <v>1361</v>
      </c>
      <c r="B1704" t="s">
        <v>3474</v>
      </c>
      <c r="C1704" s="167">
        <v>178.49</v>
      </c>
      <c r="D1704" t="s">
        <v>21</v>
      </c>
      <c r="E1704" t="s">
        <v>1703</v>
      </c>
      <c r="F1704" t="s">
        <v>7339</v>
      </c>
      <c r="G1704" t="s">
        <v>7354</v>
      </c>
      <c r="I1704" t="s">
        <v>2809</v>
      </c>
    </row>
    <row r="1705" spans="1:9" x14ac:dyDescent="0.25">
      <c r="A1705" t="s">
        <v>1364</v>
      </c>
      <c r="B1705" t="s">
        <v>3477</v>
      </c>
      <c r="C1705" s="167">
        <v>178.49</v>
      </c>
      <c r="D1705" t="s">
        <v>563</v>
      </c>
      <c r="E1705" t="s">
        <v>1703</v>
      </c>
      <c r="F1705" t="s">
        <v>7339</v>
      </c>
      <c r="G1705" t="s">
        <v>7354</v>
      </c>
      <c r="I1705" t="s">
        <v>2809</v>
      </c>
    </row>
    <row r="1706" spans="1:9" x14ac:dyDescent="0.25">
      <c r="A1706" t="s">
        <v>1367</v>
      </c>
      <c r="B1706" t="s">
        <v>3480</v>
      </c>
      <c r="C1706" s="167">
        <v>178.49</v>
      </c>
      <c r="D1706" t="s">
        <v>671</v>
      </c>
      <c r="E1706" t="s">
        <v>1703</v>
      </c>
      <c r="F1706" t="s">
        <v>7339</v>
      </c>
      <c r="G1706" t="s">
        <v>7354</v>
      </c>
      <c r="I1706" t="s">
        <v>2809</v>
      </c>
    </row>
    <row r="1707" spans="1:9" x14ac:dyDescent="0.25">
      <c r="A1707" t="s">
        <v>1368</v>
      </c>
      <c r="B1707" t="s">
        <v>3481</v>
      </c>
      <c r="C1707" s="167">
        <v>198.33</v>
      </c>
      <c r="D1707" t="s">
        <v>21</v>
      </c>
      <c r="E1707" t="s">
        <v>1701</v>
      </c>
      <c r="F1707" t="s">
        <v>7341</v>
      </c>
      <c r="G1707" t="s">
        <v>7354</v>
      </c>
      <c r="I1707" t="s">
        <v>2809</v>
      </c>
    </row>
    <row r="1708" spans="1:9" x14ac:dyDescent="0.25">
      <c r="A1708" t="s">
        <v>1371</v>
      </c>
      <c r="B1708" t="s">
        <v>3484</v>
      </c>
      <c r="C1708" s="167">
        <v>198.33</v>
      </c>
      <c r="D1708" t="s">
        <v>563</v>
      </c>
      <c r="E1708" t="s">
        <v>1701</v>
      </c>
      <c r="F1708" t="s">
        <v>7341</v>
      </c>
      <c r="G1708" t="s">
        <v>7354</v>
      </c>
      <c r="I1708" t="s">
        <v>2809</v>
      </c>
    </row>
    <row r="1709" spans="1:9" x14ac:dyDescent="0.25">
      <c r="A1709" t="s">
        <v>1374</v>
      </c>
      <c r="B1709" t="s">
        <v>3487</v>
      </c>
      <c r="C1709" s="167">
        <v>198.33</v>
      </c>
      <c r="D1709" t="s">
        <v>671</v>
      </c>
      <c r="E1709" t="s">
        <v>1701</v>
      </c>
      <c r="F1709" t="s">
        <v>7341</v>
      </c>
      <c r="G1709" t="s">
        <v>7354</v>
      </c>
      <c r="I1709" t="s">
        <v>2809</v>
      </c>
    </row>
    <row r="1710" spans="1:9" x14ac:dyDescent="0.25">
      <c r="A1710" t="s">
        <v>1369</v>
      </c>
      <c r="B1710" t="s">
        <v>3482</v>
      </c>
      <c r="C1710" s="167">
        <v>198.33</v>
      </c>
      <c r="D1710" t="s">
        <v>21</v>
      </c>
      <c r="E1710" t="s">
        <v>1699</v>
      </c>
      <c r="F1710" t="s">
        <v>7341</v>
      </c>
      <c r="G1710" t="s">
        <v>7354</v>
      </c>
      <c r="I1710" t="s">
        <v>2809</v>
      </c>
    </row>
    <row r="1711" spans="1:9" x14ac:dyDescent="0.25">
      <c r="A1711" t="s">
        <v>1372</v>
      </c>
      <c r="B1711" t="s">
        <v>3485</v>
      </c>
      <c r="C1711" s="167">
        <v>198.33</v>
      </c>
      <c r="D1711" t="s">
        <v>563</v>
      </c>
      <c r="E1711" t="s">
        <v>1699</v>
      </c>
      <c r="F1711" t="s">
        <v>7341</v>
      </c>
      <c r="G1711" t="s">
        <v>7354</v>
      </c>
      <c r="I1711" t="s">
        <v>2809</v>
      </c>
    </row>
    <row r="1712" spans="1:9" x14ac:dyDescent="0.25">
      <c r="A1712" t="s">
        <v>1375</v>
      </c>
      <c r="B1712" t="s">
        <v>3488</v>
      </c>
      <c r="C1712" s="167">
        <v>198.33</v>
      </c>
      <c r="D1712" t="s">
        <v>671</v>
      </c>
      <c r="E1712" t="s">
        <v>1699</v>
      </c>
      <c r="F1712" t="s">
        <v>7341</v>
      </c>
      <c r="G1712" t="s">
        <v>7354</v>
      </c>
      <c r="I1712" t="s">
        <v>2809</v>
      </c>
    </row>
    <row r="1713" spans="1:9" x14ac:dyDescent="0.25">
      <c r="A1713" t="s">
        <v>1370</v>
      </c>
      <c r="B1713" t="s">
        <v>3483</v>
      </c>
      <c r="C1713" s="167">
        <v>198.33</v>
      </c>
      <c r="D1713" t="s">
        <v>21</v>
      </c>
      <c r="E1713" t="s">
        <v>1703</v>
      </c>
      <c r="F1713" t="s">
        <v>7341</v>
      </c>
      <c r="G1713" t="s">
        <v>7354</v>
      </c>
      <c r="I1713" t="s">
        <v>2809</v>
      </c>
    </row>
    <row r="1714" spans="1:9" x14ac:dyDescent="0.25">
      <c r="A1714" t="s">
        <v>1373</v>
      </c>
      <c r="B1714" t="s">
        <v>3486</v>
      </c>
      <c r="C1714" s="167">
        <v>198.33</v>
      </c>
      <c r="D1714" t="s">
        <v>563</v>
      </c>
      <c r="E1714" t="s">
        <v>1703</v>
      </c>
      <c r="F1714" t="s">
        <v>7341</v>
      </c>
      <c r="G1714" t="s">
        <v>7354</v>
      </c>
      <c r="I1714" t="s">
        <v>2809</v>
      </c>
    </row>
    <row r="1715" spans="1:9" x14ac:dyDescent="0.25">
      <c r="A1715" t="s">
        <v>1376</v>
      </c>
      <c r="B1715" t="s">
        <v>3489</v>
      </c>
      <c r="C1715" s="167">
        <v>198.33</v>
      </c>
      <c r="D1715" t="s">
        <v>671</v>
      </c>
      <c r="E1715" t="s">
        <v>1703</v>
      </c>
      <c r="F1715" t="s">
        <v>7341</v>
      </c>
      <c r="G1715" t="s">
        <v>7354</v>
      </c>
      <c r="I1715" t="s">
        <v>2809</v>
      </c>
    </row>
    <row r="1716" spans="1:9" x14ac:dyDescent="0.25">
      <c r="A1716" t="s">
        <v>1377</v>
      </c>
      <c r="B1716" t="s">
        <v>3490</v>
      </c>
      <c r="C1716" s="167">
        <v>218.15</v>
      </c>
      <c r="D1716" t="s">
        <v>21</v>
      </c>
      <c r="E1716" t="s">
        <v>1701</v>
      </c>
      <c r="F1716" t="s">
        <v>7344</v>
      </c>
      <c r="G1716" t="s">
        <v>7354</v>
      </c>
      <c r="I1716" t="s">
        <v>2809</v>
      </c>
    </row>
    <row r="1717" spans="1:9" x14ac:dyDescent="0.25">
      <c r="A1717" t="s">
        <v>1380</v>
      </c>
      <c r="B1717" t="s">
        <v>3493</v>
      </c>
      <c r="C1717" s="167">
        <v>218.15</v>
      </c>
      <c r="D1717" t="s">
        <v>563</v>
      </c>
      <c r="E1717" t="s">
        <v>1701</v>
      </c>
      <c r="F1717" t="s">
        <v>7344</v>
      </c>
      <c r="G1717" t="s">
        <v>7354</v>
      </c>
      <c r="I1717" t="s">
        <v>2809</v>
      </c>
    </row>
    <row r="1718" spans="1:9" x14ac:dyDescent="0.25">
      <c r="A1718" t="s">
        <v>1383</v>
      </c>
      <c r="B1718" t="s">
        <v>3496</v>
      </c>
      <c r="C1718" s="167">
        <v>218.15</v>
      </c>
      <c r="D1718" t="s">
        <v>671</v>
      </c>
      <c r="E1718" t="s">
        <v>1701</v>
      </c>
      <c r="F1718" t="s">
        <v>7344</v>
      </c>
      <c r="G1718" t="s">
        <v>7354</v>
      </c>
      <c r="I1718" t="s">
        <v>2809</v>
      </c>
    </row>
    <row r="1719" spans="1:9" x14ac:dyDescent="0.25">
      <c r="A1719" t="s">
        <v>1378</v>
      </c>
      <c r="B1719" t="s">
        <v>3491</v>
      </c>
      <c r="C1719" s="167">
        <v>218.15</v>
      </c>
      <c r="D1719" t="s">
        <v>21</v>
      </c>
      <c r="E1719" t="s">
        <v>1699</v>
      </c>
      <c r="F1719" t="s">
        <v>7344</v>
      </c>
      <c r="G1719" t="s">
        <v>7354</v>
      </c>
      <c r="I1719" t="s">
        <v>2809</v>
      </c>
    </row>
    <row r="1720" spans="1:9" x14ac:dyDescent="0.25">
      <c r="A1720" t="s">
        <v>1381</v>
      </c>
      <c r="B1720" t="s">
        <v>3494</v>
      </c>
      <c r="C1720" s="167">
        <v>218.15</v>
      </c>
      <c r="D1720" t="s">
        <v>563</v>
      </c>
      <c r="E1720" t="s">
        <v>1699</v>
      </c>
      <c r="F1720" t="s">
        <v>7344</v>
      </c>
      <c r="G1720" t="s">
        <v>7354</v>
      </c>
      <c r="I1720" t="s">
        <v>2809</v>
      </c>
    </row>
    <row r="1721" spans="1:9" x14ac:dyDescent="0.25">
      <c r="A1721" t="s">
        <v>1384</v>
      </c>
      <c r="B1721" t="s">
        <v>3497</v>
      </c>
      <c r="C1721" s="167">
        <v>218.15</v>
      </c>
      <c r="D1721" t="s">
        <v>671</v>
      </c>
      <c r="E1721" t="s">
        <v>1699</v>
      </c>
      <c r="F1721" t="s">
        <v>7344</v>
      </c>
      <c r="G1721" t="s">
        <v>7354</v>
      </c>
      <c r="I1721" t="s">
        <v>2809</v>
      </c>
    </row>
    <row r="1722" spans="1:9" x14ac:dyDescent="0.25">
      <c r="A1722" t="s">
        <v>1379</v>
      </c>
      <c r="B1722" t="s">
        <v>3492</v>
      </c>
      <c r="C1722" s="167">
        <v>218.15</v>
      </c>
      <c r="D1722" t="s">
        <v>21</v>
      </c>
      <c r="E1722" t="s">
        <v>1703</v>
      </c>
      <c r="F1722" t="s">
        <v>7344</v>
      </c>
      <c r="G1722" t="s">
        <v>7354</v>
      </c>
      <c r="I1722" t="s">
        <v>2809</v>
      </c>
    </row>
    <row r="1723" spans="1:9" x14ac:dyDescent="0.25">
      <c r="A1723" t="s">
        <v>1382</v>
      </c>
      <c r="B1723" t="s">
        <v>3495</v>
      </c>
      <c r="C1723" s="167">
        <v>218.15</v>
      </c>
      <c r="D1723" t="s">
        <v>563</v>
      </c>
      <c r="E1723" t="s">
        <v>1703</v>
      </c>
      <c r="F1723" t="s">
        <v>7344</v>
      </c>
      <c r="G1723" t="s">
        <v>7354</v>
      </c>
      <c r="I1723" t="s">
        <v>2809</v>
      </c>
    </row>
    <row r="1724" spans="1:9" x14ac:dyDescent="0.25">
      <c r="A1724" t="s">
        <v>1385</v>
      </c>
      <c r="B1724" t="s">
        <v>3498</v>
      </c>
      <c r="C1724" s="167">
        <v>218.15</v>
      </c>
      <c r="D1724" t="s">
        <v>671</v>
      </c>
      <c r="E1724" t="s">
        <v>1703</v>
      </c>
      <c r="F1724" t="s">
        <v>7344</v>
      </c>
      <c r="G1724" t="s">
        <v>7354</v>
      </c>
      <c r="I1724" t="s">
        <v>2809</v>
      </c>
    </row>
    <row r="1725" spans="1:9" x14ac:dyDescent="0.25">
      <c r="A1725" t="s">
        <v>1386</v>
      </c>
      <c r="B1725" t="s">
        <v>3499</v>
      </c>
      <c r="C1725" s="167">
        <v>244.6</v>
      </c>
      <c r="D1725" t="s">
        <v>21</v>
      </c>
      <c r="E1725" t="s">
        <v>1701</v>
      </c>
      <c r="F1725" t="s">
        <v>7343</v>
      </c>
      <c r="G1725" t="s">
        <v>7354</v>
      </c>
      <c r="I1725" t="s">
        <v>2809</v>
      </c>
    </row>
    <row r="1726" spans="1:9" x14ac:dyDescent="0.25">
      <c r="A1726" t="s">
        <v>1389</v>
      </c>
      <c r="B1726" t="s">
        <v>3502</v>
      </c>
      <c r="C1726" s="167">
        <v>244.6</v>
      </c>
      <c r="D1726" t="s">
        <v>563</v>
      </c>
      <c r="E1726" t="s">
        <v>1701</v>
      </c>
      <c r="F1726" t="s">
        <v>7343</v>
      </c>
      <c r="G1726" t="s">
        <v>7354</v>
      </c>
      <c r="I1726" t="s">
        <v>2809</v>
      </c>
    </row>
    <row r="1727" spans="1:9" x14ac:dyDescent="0.25">
      <c r="A1727" t="s">
        <v>1392</v>
      </c>
      <c r="B1727" t="s">
        <v>3505</v>
      </c>
      <c r="C1727" s="167">
        <v>244.6</v>
      </c>
      <c r="D1727" t="s">
        <v>671</v>
      </c>
      <c r="E1727" t="s">
        <v>1701</v>
      </c>
      <c r="F1727" t="s">
        <v>7343</v>
      </c>
      <c r="G1727" t="s">
        <v>7354</v>
      </c>
      <c r="I1727" t="s">
        <v>2809</v>
      </c>
    </row>
    <row r="1728" spans="1:9" x14ac:dyDescent="0.25">
      <c r="A1728" t="s">
        <v>1387</v>
      </c>
      <c r="B1728" t="s">
        <v>3500</v>
      </c>
      <c r="C1728" s="167">
        <v>244.6</v>
      </c>
      <c r="D1728" t="s">
        <v>21</v>
      </c>
      <c r="E1728" t="s">
        <v>1699</v>
      </c>
      <c r="F1728" t="s">
        <v>7343</v>
      </c>
      <c r="G1728" t="s">
        <v>7354</v>
      </c>
      <c r="I1728" t="s">
        <v>2809</v>
      </c>
    </row>
    <row r="1729" spans="1:9" x14ac:dyDescent="0.25">
      <c r="A1729" t="s">
        <v>1390</v>
      </c>
      <c r="B1729" t="s">
        <v>3503</v>
      </c>
      <c r="C1729" s="167">
        <v>244.6</v>
      </c>
      <c r="D1729" t="s">
        <v>563</v>
      </c>
      <c r="E1729" t="s">
        <v>1699</v>
      </c>
      <c r="F1729" t="s">
        <v>7343</v>
      </c>
      <c r="G1729" t="s">
        <v>7354</v>
      </c>
      <c r="I1729" t="s">
        <v>2809</v>
      </c>
    </row>
    <row r="1730" spans="1:9" x14ac:dyDescent="0.25">
      <c r="A1730" t="s">
        <v>1393</v>
      </c>
      <c r="B1730" t="s">
        <v>3506</v>
      </c>
      <c r="C1730" s="167">
        <v>244.6</v>
      </c>
      <c r="D1730" t="s">
        <v>671</v>
      </c>
      <c r="E1730" t="s">
        <v>1699</v>
      </c>
      <c r="F1730" t="s">
        <v>7343</v>
      </c>
      <c r="G1730" t="s">
        <v>7354</v>
      </c>
      <c r="I1730" t="s">
        <v>2809</v>
      </c>
    </row>
    <row r="1731" spans="1:9" x14ac:dyDescent="0.25">
      <c r="A1731" t="s">
        <v>1388</v>
      </c>
      <c r="B1731" t="s">
        <v>3501</v>
      </c>
      <c r="C1731" s="167">
        <v>244.6</v>
      </c>
      <c r="D1731" t="s">
        <v>21</v>
      </c>
      <c r="E1731" t="s">
        <v>1703</v>
      </c>
      <c r="F1731" t="s">
        <v>7343</v>
      </c>
      <c r="G1731" t="s">
        <v>7354</v>
      </c>
      <c r="I1731" t="s">
        <v>2809</v>
      </c>
    </row>
    <row r="1732" spans="1:9" x14ac:dyDescent="0.25">
      <c r="A1732" t="s">
        <v>1391</v>
      </c>
      <c r="B1732" t="s">
        <v>3504</v>
      </c>
      <c r="C1732" s="167">
        <v>244.6</v>
      </c>
      <c r="D1732" t="s">
        <v>563</v>
      </c>
      <c r="E1732" t="s">
        <v>1703</v>
      </c>
      <c r="F1732" t="s">
        <v>7343</v>
      </c>
      <c r="G1732" t="s">
        <v>7354</v>
      </c>
      <c r="I1732" t="s">
        <v>2809</v>
      </c>
    </row>
    <row r="1733" spans="1:9" x14ac:dyDescent="0.25">
      <c r="A1733" t="s">
        <v>1394</v>
      </c>
      <c r="B1733" t="s">
        <v>3507</v>
      </c>
      <c r="C1733" s="167">
        <v>244.6</v>
      </c>
      <c r="D1733" t="s">
        <v>671</v>
      </c>
      <c r="E1733" t="s">
        <v>1703</v>
      </c>
      <c r="F1733" t="s">
        <v>7343</v>
      </c>
      <c r="G1733" t="s">
        <v>7354</v>
      </c>
      <c r="I1733" t="s">
        <v>2809</v>
      </c>
    </row>
    <row r="1734" spans="1:9" x14ac:dyDescent="0.25">
      <c r="A1734" t="s">
        <v>2313</v>
      </c>
      <c r="B1734" t="s">
        <v>4174</v>
      </c>
      <c r="C1734" s="167">
        <v>213.95</v>
      </c>
      <c r="D1734" t="s">
        <v>21</v>
      </c>
      <c r="E1734" t="s">
        <v>1701</v>
      </c>
      <c r="F1734" t="s">
        <v>7339</v>
      </c>
      <c r="G1734" t="s">
        <v>7354</v>
      </c>
      <c r="I1734" t="s">
        <v>2809</v>
      </c>
    </row>
    <row r="1735" spans="1:9" x14ac:dyDescent="0.25">
      <c r="A1735" t="s">
        <v>2316</v>
      </c>
      <c r="B1735" t="s">
        <v>4177</v>
      </c>
      <c r="C1735" s="167">
        <v>213.95</v>
      </c>
      <c r="D1735" t="s">
        <v>563</v>
      </c>
      <c r="E1735" t="s">
        <v>1701</v>
      </c>
      <c r="F1735" t="s">
        <v>7339</v>
      </c>
      <c r="G1735" t="s">
        <v>7354</v>
      </c>
      <c r="I1735" t="s">
        <v>2809</v>
      </c>
    </row>
    <row r="1736" spans="1:9" x14ac:dyDescent="0.25">
      <c r="A1736" t="s">
        <v>2319</v>
      </c>
      <c r="B1736" t="s">
        <v>4180</v>
      </c>
      <c r="C1736" s="167">
        <v>213.95</v>
      </c>
      <c r="D1736" t="s">
        <v>671</v>
      </c>
      <c r="E1736" t="s">
        <v>1701</v>
      </c>
      <c r="F1736" t="s">
        <v>7339</v>
      </c>
      <c r="G1736" t="s">
        <v>7354</v>
      </c>
      <c r="I1736" t="s">
        <v>2809</v>
      </c>
    </row>
    <row r="1737" spans="1:9" x14ac:dyDescent="0.25">
      <c r="A1737" t="s">
        <v>2314</v>
      </c>
      <c r="B1737" t="s">
        <v>4175</v>
      </c>
      <c r="C1737" s="167">
        <v>213.95</v>
      </c>
      <c r="D1737" t="s">
        <v>21</v>
      </c>
      <c r="E1737" t="s">
        <v>1699</v>
      </c>
      <c r="F1737" t="s">
        <v>7339</v>
      </c>
      <c r="G1737" t="s">
        <v>7354</v>
      </c>
      <c r="I1737" t="s">
        <v>2809</v>
      </c>
    </row>
    <row r="1738" spans="1:9" x14ac:dyDescent="0.25">
      <c r="A1738" t="s">
        <v>2317</v>
      </c>
      <c r="B1738" t="s">
        <v>4178</v>
      </c>
      <c r="C1738" s="167">
        <v>213.95</v>
      </c>
      <c r="D1738" t="s">
        <v>563</v>
      </c>
      <c r="E1738" t="s">
        <v>1699</v>
      </c>
      <c r="F1738" t="s">
        <v>7339</v>
      </c>
      <c r="G1738" t="s">
        <v>7354</v>
      </c>
      <c r="I1738" t="s">
        <v>2809</v>
      </c>
    </row>
    <row r="1739" spans="1:9" x14ac:dyDescent="0.25">
      <c r="A1739" t="s">
        <v>2320</v>
      </c>
      <c r="B1739" t="s">
        <v>4181</v>
      </c>
      <c r="C1739" s="167">
        <v>213.95</v>
      </c>
      <c r="D1739" t="s">
        <v>671</v>
      </c>
      <c r="E1739" t="s">
        <v>1699</v>
      </c>
      <c r="F1739" t="s">
        <v>7339</v>
      </c>
      <c r="G1739" t="s">
        <v>7354</v>
      </c>
      <c r="I1739" t="s">
        <v>2809</v>
      </c>
    </row>
    <row r="1740" spans="1:9" x14ac:dyDescent="0.25">
      <c r="A1740" t="s">
        <v>2315</v>
      </c>
      <c r="B1740" t="s">
        <v>4176</v>
      </c>
      <c r="C1740" s="167">
        <v>213.95</v>
      </c>
      <c r="D1740" t="s">
        <v>21</v>
      </c>
      <c r="E1740" t="s">
        <v>1703</v>
      </c>
      <c r="F1740" t="s">
        <v>7339</v>
      </c>
      <c r="G1740" t="s">
        <v>7354</v>
      </c>
      <c r="I1740" t="s">
        <v>2809</v>
      </c>
    </row>
    <row r="1741" spans="1:9" x14ac:dyDescent="0.25">
      <c r="A1741" t="s">
        <v>2318</v>
      </c>
      <c r="B1741" t="s">
        <v>4179</v>
      </c>
      <c r="C1741" s="167">
        <v>213.95</v>
      </c>
      <c r="D1741" t="s">
        <v>563</v>
      </c>
      <c r="E1741" t="s">
        <v>1703</v>
      </c>
      <c r="F1741" t="s">
        <v>7339</v>
      </c>
      <c r="G1741" t="s">
        <v>7354</v>
      </c>
      <c r="I1741" t="s">
        <v>2809</v>
      </c>
    </row>
    <row r="1742" spans="1:9" x14ac:dyDescent="0.25">
      <c r="A1742" t="s">
        <v>2321</v>
      </c>
      <c r="B1742" t="s">
        <v>4182</v>
      </c>
      <c r="C1742" s="167">
        <v>213.95</v>
      </c>
      <c r="D1742" t="s">
        <v>671</v>
      </c>
      <c r="E1742" t="s">
        <v>1703</v>
      </c>
      <c r="F1742" t="s">
        <v>7339</v>
      </c>
      <c r="G1742" t="s">
        <v>7354</v>
      </c>
      <c r="I1742" t="s">
        <v>2809</v>
      </c>
    </row>
    <row r="1743" spans="1:9" x14ac:dyDescent="0.25">
      <c r="A1743" t="s">
        <v>2322</v>
      </c>
      <c r="B1743" t="s">
        <v>4183</v>
      </c>
      <c r="C1743" s="167">
        <v>260.23</v>
      </c>
      <c r="D1743" t="s">
        <v>21</v>
      </c>
      <c r="E1743" t="s">
        <v>1701</v>
      </c>
      <c r="F1743" t="s">
        <v>7341</v>
      </c>
      <c r="G1743" t="s">
        <v>7354</v>
      </c>
      <c r="I1743" t="s">
        <v>2809</v>
      </c>
    </row>
    <row r="1744" spans="1:9" x14ac:dyDescent="0.25">
      <c r="A1744" t="s">
        <v>2325</v>
      </c>
      <c r="B1744" t="s">
        <v>4186</v>
      </c>
      <c r="C1744" s="167">
        <v>260.23</v>
      </c>
      <c r="D1744" t="s">
        <v>563</v>
      </c>
      <c r="E1744" t="s">
        <v>1701</v>
      </c>
      <c r="F1744" t="s">
        <v>7341</v>
      </c>
      <c r="G1744" t="s">
        <v>7354</v>
      </c>
      <c r="I1744" t="s">
        <v>2809</v>
      </c>
    </row>
    <row r="1745" spans="1:9" x14ac:dyDescent="0.25">
      <c r="A1745" t="s">
        <v>2328</v>
      </c>
      <c r="B1745" t="s">
        <v>4189</v>
      </c>
      <c r="C1745" s="167">
        <v>260.23</v>
      </c>
      <c r="D1745" t="s">
        <v>671</v>
      </c>
      <c r="E1745" t="s">
        <v>1701</v>
      </c>
      <c r="F1745" t="s">
        <v>7341</v>
      </c>
      <c r="G1745" t="s">
        <v>7354</v>
      </c>
      <c r="I1745" t="s">
        <v>2809</v>
      </c>
    </row>
    <row r="1746" spans="1:9" x14ac:dyDescent="0.25">
      <c r="A1746" t="s">
        <v>2323</v>
      </c>
      <c r="B1746" t="s">
        <v>4184</v>
      </c>
      <c r="C1746" s="167">
        <v>260.23</v>
      </c>
      <c r="D1746" t="s">
        <v>21</v>
      </c>
      <c r="E1746" t="s">
        <v>1699</v>
      </c>
      <c r="F1746" t="s">
        <v>7341</v>
      </c>
      <c r="G1746" t="s">
        <v>7354</v>
      </c>
      <c r="I1746" t="s">
        <v>2809</v>
      </c>
    </row>
    <row r="1747" spans="1:9" x14ac:dyDescent="0.25">
      <c r="A1747" t="s">
        <v>2326</v>
      </c>
      <c r="B1747" t="s">
        <v>4187</v>
      </c>
      <c r="C1747" s="167">
        <v>260.23</v>
      </c>
      <c r="D1747" t="s">
        <v>563</v>
      </c>
      <c r="E1747" t="s">
        <v>1699</v>
      </c>
      <c r="F1747" t="s">
        <v>7341</v>
      </c>
      <c r="G1747" t="s">
        <v>7354</v>
      </c>
      <c r="I1747" t="s">
        <v>2809</v>
      </c>
    </row>
    <row r="1748" spans="1:9" x14ac:dyDescent="0.25">
      <c r="A1748" t="s">
        <v>2329</v>
      </c>
      <c r="B1748" t="s">
        <v>4190</v>
      </c>
      <c r="C1748" s="167">
        <v>260.23</v>
      </c>
      <c r="D1748" t="s">
        <v>671</v>
      </c>
      <c r="E1748" t="s">
        <v>1699</v>
      </c>
      <c r="F1748" t="s">
        <v>7341</v>
      </c>
      <c r="G1748" t="s">
        <v>7354</v>
      </c>
      <c r="I1748" t="s">
        <v>2809</v>
      </c>
    </row>
    <row r="1749" spans="1:9" x14ac:dyDescent="0.25">
      <c r="A1749" t="s">
        <v>2324</v>
      </c>
      <c r="B1749" t="s">
        <v>4185</v>
      </c>
      <c r="C1749" s="167">
        <v>260.23</v>
      </c>
      <c r="D1749" t="s">
        <v>21</v>
      </c>
      <c r="E1749" t="s">
        <v>1703</v>
      </c>
      <c r="F1749" t="s">
        <v>7341</v>
      </c>
      <c r="G1749" t="s">
        <v>7354</v>
      </c>
      <c r="I1749" t="s">
        <v>2809</v>
      </c>
    </row>
    <row r="1750" spans="1:9" x14ac:dyDescent="0.25">
      <c r="A1750" t="s">
        <v>2327</v>
      </c>
      <c r="B1750" t="s">
        <v>4188</v>
      </c>
      <c r="C1750" s="167">
        <v>260.23</v>
      </c>
      <c r="D1750" t="s">
        <v>563</v>
      </c>
      <c r="E1750" t="s">
        <v>1703</v>
      </c>
      <c r="F1750" t="s">
        <v>7341</v>
      </c>
      <c r="G1750" t="s">
        <v>7354</v>
      </c>
      <c r="I1750" t="s">
        <v>2809</v>
      </c>
    </row>
    <row r="1751" spans="1:9" x14ac:dyDescent="0.25">
      <c r="A1751" t="s">
        <v>2330</v>
      </c>
      <c r="B1751" t="s">
        <v>4191</v>
      </c>
      <c r="C1751" s="167">
        <v>260.23</v>
      </c>
      <c r="D1751" t="s">
        <v>671</v>
      </c>
      <c r="E1751" t="s">
        <v>1703</v>
      </c>
      <c r="F1751" t="s">
        <v>7341</v>
      </c>
      <c r="G1751" t="s">
        <v>7354</v>
      </c>
      <c r="I1751" t="s">
        <v>2809</v>
      </c>
    </row>
    <row r="1752" spans="1:9" x14ac:dyDescent="0.25">
      <c r="A1752" t="s">
        <v>2331</v>
      </c>
      <c r="B1752" t="s">
        <v>4192</v>
      </c>
      <c r="C1752" s="167">
        <v>299.89</v>
      </c>
      <c r="D1752" t="s">
        <v>21</v>
      </c>
      <c r="E1752" t="s">
        <v>1701</v>
      </c>
      <c r="F1752" t="s">
        <v>7344</v>
      </c>
      <c r="G1752" t="s">
        <v>7354</v>
      </c>
      <c r="I1752" t="s">
        <v>2809</v>
      </c>
    </row>
    <row r="1753" spans="1:9" x14ac:dyDescent="0.25">
      <c r="A1753" t="s">
        <v>2334</v>
      </c>
      <c r="B1753" t="s">
        <v>4195</v>
      </c>
      <c r="C1753" s="167">
        <v>299.89</v>
      </c>
      <c r="D1753" t="s">
        <v>563</v>
      </c>
      <c r="E1753" t="s">
        <v>1701</v>
      </c>
      <c r="F1753" t="s">
        <v>7344</v>
      </c>
      <c r="G1753" t="s">
        <v>7354</v>
      </c>
      <c r="I1753" t="s">
        <v>2809</v>
      </c>
    </row>
    <row r="1754" spans="1:9" x14ac:dyDescent="0.25">
      <c r="A1754" t="s">
        <v>2337</v>
      </c>
      <c r="B1754" t="s">
        <v>4198</v>
      </c>
      <c r="C1754" s="167">
        <v>299.89</v>
      </c>
      <c r="D1754" t="s">
        <v>671</v>
      </c>
      <c r="E1754" t="s">
        <v>1701</v>
      </c>
      <c r="F1754" t="s">
        <v>7344</v>
      </c>
      <c r="G1754" t="s">
        <v>7354</v>
      </c>
      <c r="I1754" t="s">
        <v>2809</v>
      </c>
    </row>
    <row r="1755" spans="1:9" x14ac:dyDescent="0.25">
      <c r="A1755" t="s">
        <v>2332</v>
      </c>
      <c r="B1755" t="s">
        <v>4193</v>
      </c>
      <c r="C1755" s="167">
        <v>299.89</v>
      </c>
      <c r="D1755" t="s">
        <v>21</v>
      </c>
      <c r="E1755" t="s">
        <v>1699</v>
      </c>
      <c r="F1755" t="s">
        <v>7344</v>
      </c>
      <c r="G1755" t="s">
        <v>7354</v>
      </c>
      <c r="I1755" t="s">
        <v>2809</v>
      </c>
    </row>
    <row r="1756" spans="1:9" x14ac:dyDescent="0.25">
      <c r="A1756" t="s">
        <v>2335</v>
      </c>
      <c r="B1756" t="s">
        <v>4196</v>
      </c>
      <c r="C1756" s="167">
        <v>299.89</v>
      </c>
      <c r="D1756" t="s">
        <v>563</v>
      </c>
      <c r="E1756" t="s">
        <v>1699</v>
      </c>
      <c r="F1756" t="s">
        <v>7344</v>
      </c>
      <c r="G1756" t="s">
        <v>7354</v>
      </c>
      <c r="I1756" t="s">
        <v>2809</v>
      </c>
    </row>
    <row r="1757" spans="1:9" x14ac:dyDescent="0.25">
      <c r="A1757" t="s">
        <v>2338</v>
      </c>
      <c r="B1757" t="s">
        <v>4199</v>
      </c>
      <c r="C1757" s="167">
        <v>299.89</v>
      </c>
      <c r="D1757" t="s">
        <v>671</v>
      </c>
      <c r="E1757" t="s">
        <v>1699</v>
      </c>
      <c r="F1757" t="s">
        <v>7344</v>
      </c>
      <c r="G1757" t="s">
        <v>7354</v>
      </c>
      <c r="I1757" t="s">
        <v>2809</v>
      </c>
    </row>
    <row r="1758" spans="1:9" x14ac:dyDescent="0.25">
      <c r="A1758" t="s">
        <v>2333</v>
      </c>
      <c r="B1758" t="s">
        <v>4194</v>
      </c>
      <c r="C1758" s="167">
        <v>299.89</v>
      </c>
      <c r="D1758" t="s">
        <v>21</v>
      </c>
      <c r="E1758" t="s">
        <v>1703</v>
      </c>
      <c r="F1758" t="s">
        <v>7344</v>
      </c>
      <c r="G1758" t="s">
        <v>7354</v>
      </c>
      <c r="I1758" t="s">
        <v>2809</v>
      </c>
    </row>
    <row r="1759" spans="1:9" x14ac:dyDescent="0.25">
      <c r="A1759" t="s">
        <v>2336</v>
      </c>
      <c r="B1759" t="s">
        <v>4197</v>
      </c>
      <c r="C1759" s="167">
        <v>299.89</v>
      </c>
      <c r="D1759" t="s">
        <v>563</v>
      </c>
      <c r="E1759" t="s">
        <v>1703</v>
      </c>
      <c r="F1759" t="s">
        <v>7344</v>
      </c>
      <c r="G1759" t="s">
        <v>7354</v>
      </c>
      <c r="I1759" t="s">
        <v>2809</v>
      </c>
    </row>
    <row r="1760" spans="1:9" x14ac:dyDescent="0.25">
      <c r="A1760" t="s">
        <v>2339</v>
      </c>
      <c r="B1760" t="s">
        <v>4200</v>
      </c>
      <c r="C1760" s="167">
        <v>299.89</v>
      </c>
      <c r="D1760" t="s">
        <v>671</v>
      </c>
      <c r="E1760" t="s">
        <v>1703</v>
      </c>
      <c r="F1760" t="s">
        <v>7344</v>
      </c>
      <c r="G1760" t="s">
        <v>7354</v>
      </c>
      <c r="I1760" t="s">
        <v>2809</v>
      </c>
    </row>
    <row r="1761" spans="1:9" x14ac:dyDescent="0.25">
      <c r="A1761" t="s">
        <v>2340</v>
      </c>
      <c r="B1761" t="s">
        <v>4201</v>
      </c>
      <c r="C1761" s="167">
        <v>332.93</v>
      </c>
      <c r="D1761" t="s">
        <v>21</v>
      </c>
      <c r="E1761" t="s">
        <v>1701</v>
      </c>
      <c r="F1761" t="s">
        <v>7343</v>
      </c>
      <c r="G1761" t="s">
        <v>7354</v>
      </c>
      <c r="I1761" t="s">
        <v>2809</v>
      </c>
    </row>
    <row r="1762" spans="1:9" x14ac:dyDescent="0.25">
      <c r="A1762" t="s">
        <v>2343</v>
      </c>
      <c r="B1762" t="s">
        <v>4204</v>
      </c>
      <c r="C1762" s="167">
        <v>332.93</v>
      </c>
      <c r="D1762" t="s">
        <v>563</v>
      </c>
      <c r="E1762" t="s">
        <v>1701</v>
      </c>
      <c r="F1762" t="s">
        <v>7343</v>
      </c>
      <c r="G1762" t="s">
        <v>7354</v>
      </c>
      <c r="I1762" t="s">
        <v>2809</v>
      </c>
    </row>
    <row r="1763" spans="1:9" x14ac:dyDescent="0.25">
      <c r="A1763" t="s">
        <v>2346</v>
      </c>
      <c r="B1763" t="s">
        <v>4207</v>
      </c>
      <c r="C1763" s="167">
        <v>332.93</v>
      </c>
      <c r="D1763" t="s">
        <v>671</v>
      </c>
      <c r="E1763" t="s">
        <v>1701</v>
      </c>
      <c r="F1763" t="s">
        <v>7343</v>
      </c>
      <c r="G1763" t="s">
        <v>7354</v>
      </c>
      <c r="I1763" t="s">
        <v>2809</v>
      </c>
    </row>
    <row r="1764" spans="1:9" x14ac:dyDescent="0.25">
      <c r="A1764" t="s">
        <v>2341</v>
      </c>
      <c r="B1764" t="s">
        <v>4202</v>
      </c>
      <c r="C1764" s="167">
        <v>332.93</v>
      </c>
      <c r="D1764" t="s">
        <v>21</v>
      </c>
      <c r="E1764" t="s">
        <v>1699</v>
      </c>
      <c r="F1764" t="s">
        <v>7343</v>
      </c>
      <c r="G1764" t="s">
        <v>7354</v>
      </c>
      <c r="I1764" t="s">
        <v>2809</v>
      </c>
    </row>
    <row r="1765" spans="1:9" x14ac:dyDescent="0.25">
      <c r="A1765" t="s">
        <v>2344</v>
      </c>
      <c r="B1765" t="s">
        <v>4205</v>
      </c>
      <c r="C1765" s="167">
        <v>332.93</v>
      </c>
      <c r="D1765" t="s">
        <v>563</v>
      </c>
      <c r="E1765" t="s">
        <v>1699</v>
      </c>
      <c r="F1765" t="s">
        <v>7343</v>
      </c>
      <c r="G1765" t="s">
        <v>7354</v>
      </c>
      <c r="I1765" t="s">
        <v>2809</v>
      </c>
    </row>
    <row r="1766" spans="1:9" x14ac:dyDescent="0.25">
      <c r="A1766" t="s">
        <v>2347</v>
      </c>
      <c r="B1766" t="s">
        <v>4208</v>
      </c>
      <c r="C1766" s="167">
        <v>332.93</v>
      </c>
      <c r="D1766" t="s">
        <v>671</v>
      </c>
      <c r="E1766" t="s">
        <v>1699</v>
      </c>
      <c r="F1766" t="s">
        <v>7343</v>
      </c>
      <c r="G1766" t="s">
        <v>7354</v>
      </c>
      <c r="I1766" t="s">
        <v>2809</v>
      </c>
    </row>
    <row r="1767" spans="1:9" x14ac:dyDescent="0.25">
      <c r="A1767" t="s">
        <v>2342</v>
      </c>
      <c r="B1767" t="s">
        <v>4203</v>
      </c>
      <c r="C1767" s="167">
        <v>332.93</v>
      </c>
      <c r="D1767" t="s">
        <v>21</v>
      </c>
      <c r="E1767" t="s">
        <v>1703</v>
      </c>
      <c r="F1767" t="s">
        <v>7343</v>
      </c>
      <c r="G1767" t="s">
        <v>7354</v>
      </c>
      <c r="I1767" t="s">
        <v>2809</v>
      </c>
    </row>
    <row r="1768" spans="1:9" x14ac:dyDescent="0.25">
      <c r="A1768" t="s">
        <v>2345</v>
      </c>
      <c r="B1768" t="s">
        <v>4206</v>
      </c>
      <c r="C1768" s="167">
        <v>332.93</v>
      </c>
      <c r="D1768" t="s">
        <v>563</v>
      </c>
      <c r="E1768" t="s">
        <v>1703</v>
      </c>
      <c r="F1768" t="s">
        <v>7343</v>
      </c>
      <c r="G1768" t="s">
        <v>7354</v>
      </c>
      <c r="I1768" t="s">
        <v>2809</v>
      </c>
    </row>
    <row r="1769" spans="1:9" x14ac:dyDescent="0.25">
      <c r="A1769" t="s">
        <v>2348</v>
      </c>
      <c r="B1769" t="s">
        <v>4209</v>
      </c>
      <c r="C1769" s="167">
        <v>332.93</v>
      </c>
      <c r="D1769" t="s">
        <v>671</v>
      </c>
      <c r="E1769" t="s">
        <v>1703</v>
      </c>
      <c r="F1769" t="s">
        <v>7343</v>
      </c>
      <c r="G1769" t="s">
        <v>7354</v>
      </c>
      <c r="I1769" t="s">
        <v>2809</v>
      </c>
    </row>
    <row r="1770" spans="1:9" x14ac:dyDescent="0.25">
      <c r="A1770" t="s">
        <v>2349</v>
      </c>
      <c r="B1770" t="s">
        <v>4210</v>
      </c>
      <c r="C1770" s="167">
        <v>207.33</v>
      </c>
      <c r="D1770" t="s">
        <v>21</v>
      </c>
      <c r="E1770" t="s">
        <v>1701</v>
      </c>
      <c r="F1770" t="s">
        <v>7339</v>
      </c>
      <c r="G1770" t="s">
        <v>7354</v>
      </c>
      <c r="I1770" t="s">
        <v>2809</v>
      </c>
    </row>
    <row r="1771" spans="1:9" x14ac:dyDescent="0.25">
      <c r="A1771" t="s">
        <v>2352</v>
      </c>
      <c r="B1771" t="s">
        <v>4213</v>
      </c>
      <c r="C1771" s="167">
        <v>207.33</v>
      </c>
      <c r="D1771" t="s">
        <v>563</v>
      </c>
      <c r="E1771" t="s">
        <v>1701</v>
      </c>
      <c r="F1771" t="s">
        <v>7339</v>
      </c>
      <c r="G1771" t="s">
        <v>7354</v>
      </c>
      <c r="I1771" t="s">
        <v>2809</v>
      </c>
    </row>
    <row r="1772" spans="1:9" x14ac:dyDescent="0.25">
      <c r="A1772" t="s">
        <v>2355</v>
      </c>
      <c r="B1772" t="s">
        <v>4216</v>
      </c>
      <c r="C1772" s="167">
        <v>207.33</v>
      </c>
      <c r="D1772" t="s">
        <v>671</v>
      </c>
      <c r="E1772" t="s">
        <v>1701</v>
      </c>
      <c r="F1772" t="s">
        <v>7339</v>
      </c>
      <c r="G1772" t="s">
        <v>7354</v>
      </c>
      <c r="I1772" t="s">
        <v>2809</v>
      </c>
    </row>
    <row r="1773" spans="1:9" x14ac:dyDescent="0.25">
      <c r="A1773" t="s">
        <v>2350</v>
      </c>
      <c r="B1773" t="s">
        <v>4211</v>
      </c>
      <c r="C1773" s="167">
        <v>207.33</v>
      </c>
      <c r="D1773" t="s">
        <v>21</v>
      </c>
      <c r="E1773" t="s">
        <v>1699</v>
      </c>
      <c r="F1773" t="s">
        <v>7339</v>
      </c>
      <c r="G1773" t="s">
        <v>7354</v>
      </c>
      <c r="I1773" t="s">
        <v>2809</v>
      </c>
    </row>
    <row r="1774" spans="1:9" x14ac:dyDescent="0.25">
      <c r="A1774" t="s">
        <v>2353</v>
      </c>
      <c r="B1774" t="s">
        <v>4214</v>
      </c>
      <c r="C1774" s="167">
        <v>207.33</v>
      </c>
      <c r="D1774" t="s">
        <v>563</v>
      </c>
      <c r="E1774" t="s">
        <v>1699</v>
      </c>
      <c r="F1774" t="s">
        <v>7339</v>
      </c>
      <c r="G1774" t="s">
        <v>7354</v>
      </c>
      <c r="I1774" t="s">
        <v>2809</v>
      </c>
    </row>
    <row r="1775" spans="1:9" x14ac:dyDescent="0.25">
      <c r="A1775" t="s">
        <v>2356</v>
      </c>
      <c r="B1775" t="s">
        <v>4217</v>
      </c>
      <c r="C1775" s="167">
        <v>207.33</v>
      </c>
      <c r="D1775" t="s">
        <v>671</v>
      </c>
      <c r="E1775" t="s">
        <v>1699</v>
      </c>
      <c r="F1775" t="s">
        <v>7339</v>
      </c>
      <c r="G1775" t="s">
        <v>7354</v>
      </c>
      <c r="I1775" t="s">
        <v>2809</v>
      </c>
    </row>
    <row r="1776" spans="1:9" x14ac:dyDescent="0.25">
      <c r="A1776" t="s">
        <v>2351</v>
      </c>
      <c r="B1776" t="s">
        <v>4212</v>
      </c>
      <c r="C1776" s="167">
        <v>207.33</v>
      </c>
      <c r="D1776" t="s">
        <v>21</v>
      </c>
      <c r="E1776" t="s">
        <v>1703</v>
      </c>
      <c r="F1776" t="s">
        <v>7339</v>
      </c>
      <c r="G1776" t="s">
        <v>7354</v>
      </c>
      <c r="I1776" t="s">
        <v>2809</v>
      </c>
    </row>
    <row r="1777" spans="1:9" x14ac:dyDescent="0.25">
      <c r="A1777" t="s">
        <v>2354</v>
      </c>
      <c r="B1777" t="s">
        <v>4215</v>
      </c>
      <c r="C1777" s="167">
        <v>207.33</v>
      </c>
      <c r="D1777" t="s">
        <v>563</v>
      </c>
      <c r="E1777" t="s">
        <v>1703</v>
      </c>
      <c r="F1777" t="s">
        <v>7339</v>
      </c>
      <c r="G1777" t="s">
        <v>7354</v>
      </c>
      <c r="I1777" t="s">
        <v>2809</v>
      </c>
    </row>
    <row r="1778" spans="1:9" x14ac:dyDescent="0.25">
      <c r="A1778" t="s">
        <v>2357</v>
      </c>
      <c r="B1778" t="s">
        <v>4218</v>
      </c>
      <c r="C1778" s="167">
        <v>207.33</v>
      </c>
      <c r="D1778" t="s">
        <v>671</v>
      </c>
      <c r="E1778" t="s">
        <v>1703</v>
      </c>
      <c r="F1778" t="s">
        <v>7339</v>
      </c>
      <c r="G1778" t="s">
        <v>7354</v>
      </c>
      <c r="I1778" t="s">
        <v>2809</v>
      </c>
    </row>
    <row r="1779" spans="1:9" x14ac:dyDescent="0.25">
      <c r="A1779" t="s">
        <v>2358</v>
      </c>
      <c r="B1779" t="s">
        <v>4219</v>
      </c>
      <c r="C1779" s="167">
        <v>227.18</v>
      </c>
      <c r="D1779" t="s">
        <v>21</v>
      </c>
      <c r="E1779" t="s">
        <v>1701</v>
      </c>
      <c r="F1779" t="s">
        <v>7341</v>
      </c>
      <c r="G1779" t="s">
        <v>7354</v>
      </c>
      <c r="I1779" t="s">
        <v>2809</v>
      </c>
    </row>
    <row r="1780" spans="1:9" x14ac:dyDescent="0.25">
      <c r="A1780" t="s">
        <v>2361</v>
      </c>
      <c r="B1780" t="s">
        <v>4222</v>
      </c>
      <c r="C1780" s="167">
        <v>227.18</v>
      </c>
      <c r="D1780" t="s">
        <v>563</v>
      </c>
      <c r="E1780" t="s">
        <v>1701</v>
      </c>
      <c r="F1780" t="s">
        <v>7341</v>
      </c>
      <c r="G1780" t="s">
        <v>7354</v>
      </c>
      <c r="I1780" t="s">
        <v>2809</v>
      </c>
    </row>
    <row r="1781" spans="1:9" x14ac:dyDescent="0.25">
      <c r="A1781" t="s">
        <v>2364</v>
      </c>
      <c r="B1781" t="s">
        <v>4225</v>
      </c>
      <c r="C1781" s="167">
        <v>227.18</v>
      </c>
      <c r="D1781" t="s">
        <v>671</v>
      </c>
      <c r="E1781" t="s">
        <v>1701</v>
      </c>
      <c r="F1781" t="s">
        <v>7341</v>
      </c>
      <c r="G1781" t="s">
        <v>7354</v>
      </c>
      <c r="I1781" t="s">
        <v>2809</v>
      </c>
    </row>
    <row r="1782" spans="1:9" x14ac:dyDescent="0.25">
      <c r="A1782" t="s">
        <v>2359</v>
      </c>
      <c r="B1782" t="s">
        <v>4220</v>
      </c>
      <c r="C1782" s="167">
        <v>227.18</v>
      </c>
      <c r="D1782" t="s">
        <v>21</v>
      </c>
      <c r="E1782" t="s">
        <v>1699</v>
      </c>
      <c r="F1782" t="s">
        <v>7341</v>
      </c>
      <c r="G1782" t="s">
        <v>7354</v>
      </c>
      <c r="I1782" t="s">
        <v>2809</v>
      </c>
    </row>
    <row r="1783" spans="1:9" x14ac:dyDescent="0.25">
      <c r="A1783" t="s">
        <v>2362</v>
      </c>
      <c r="B1783" t="s">
        <v>4223</v>
      </c>
      <c r="C1783" s="167">
        <v>227.18</v>
      </c>
      <c r="D1783" t="s">
        <v>563</v>
      </c>
      <c r="E1783" t="s">
        <v>1699</v>
      </c>
      <c r="F1783" t="s">
        <v>7341</v>
      </c>
      <c r="G1783" t="s">
        <v>7354</v>
      </c>
      <c r="I1783" t="s">
        <v>2809</v>
      </c>
    </row>
    <row r="1784" spans="1:9" x14ac:dyDescent="0.25">
      <c r="A1784" t="s">
        <v>2365</v>
      </c>
      <c r="B1784" t="s">
        <v>4226</v>
      </c>
      <c r="C1784" s="167">
        <v>227.18</v>
      </c>
      <c r="D1784" t="s">
        <v>671</v>
      </c>
      <c r="E1784" t="s">
        <v>1699</v>
      </c>
      <c r="F1784" t="s">
        <v>7341</v>
      </c>
      <c r="G1784" t="s">
        <v>7354</v>
      </c>
      <c r="I1784" t="s">
        <v>2809</v>
      </c>
    </row>
    <row r="1785" spans="1:9" x14ac:dyDescent="0.25">
      <c r="A1785" t="s">
        <v>2360</v>
      </c>
      <c r="B1785" t="s">
        <v>4221</v>
      </c>
      <c r="C1785" s="167">
        <v>227.18</v>
      </c>
      <c r="D1785" t="s">
        <v>21</v>
      </c>
      <c r="E1785" t="s">
        <v>1703</v>
      </c>
      <c r="F1785" t="s">
        <v>7341</v>
      </c>
      <c r="G1785" t="s">
        <v>7354</v>
      </c>
      <c r="I1785" t="s">
        <v>2809</v>
      </c>
    </row>
    <row r="1786" spans="1:9" x14ac:dyDescent="0.25">
      <c r="A1786" t="s">
        <v>2363</v>
      </c>
      <c r="B1786" t="s">
        <v>4224</v>
      </c>
      <c r="C1786" s="167">
        <v>227.18</v>
      </c>
      <c r="D1786" t="s">
        <v>563</v>
      </c>
      <c r="E1786" t="s">
        <v>1703</v>
      </c>
      <c r="F1786" t="s">
        <v>7341</v>
      </c>
      <c r="G1786" t="s">
        <v>7354</v>
      </c>
      <c r="I1786" t="s">
        <v>2809</v>
      </c>
    </row>
    <row r="1787" spans="1:9" x14ac:dyDescent="0.25">
      <c r="A1787" t="s">
        <v>2366</v>
      </c>
      <c r="B1787" t="s">
        <v>4227</v>
      </c>
      <c r="C1787" s="167">
        <v>227.18</v>
      </c>
      <c r="D1787" t="s">
        <v>671</v>
      </c>
      <c r="E1787" t="s">
        <v>1703</v>
      </c>
      <c r="F1787" t="s">
        <v>7341</v>
      </c>
      <c r="G1787" t="s">
        <v>7354</v>
      </c>
      <c r="I1787" t="s">
        <v>2809</v>
      </c>
    </row>
    <row r="1788" spans="1:9" x14ac:dyDescent="0.25">
      <c r="A1788" t="s">
        <v>2367</v>
      </c>
      <c r="B1788" t="s">
        <v>4228</v>
      </c>
      <c r="C1788" s="167">
        <v>260.23</v>
      </c>
      <c r="D1788" t="s">
        <v>21</v>
      </c>
      <c r="E1788" t="s">
        <v>1701</v>
      </c>
      <c r="F1788" t="s">
        <v>7344</v>
      </c>
      <c r="G1788" t="s">
        <v>7354</v>
      </c>
      <c r="I1788" t="s">
        <v>2809</v>
      </c>
    </row>
    <row r="1789" spans="1:9" x14ac:dyDescent="0.25">
      <c r="A1789" t="s">
        <v>2370</v>
      </c>
      <c r="B1789" t="s">
        <v>4231</v>
      </c>
      <c r="C1789" s="167">
        <v>260.23</v>
      </c>
      <c r="D1789" t="s">
        <v>563</v>
      </c>
      <c r="E1789" t="s">
        <v>1701</v>
      </c>
      <c r="F1789" t="s">
        <v>7344</v>
      </c>
      <c r="G1789" t="s">
        <v>7354</v>
      </c>
      <c r="I1789" t="s">
        <v>2809</v>
      </c>
    </row>
    <row r="1790" spans="1:9" x14ac:dyDescent="0.25">
      <c r="A1790" t="s">
        <v>2373</v>
      </c>
      <c r="B1790" t="s">
        <v>4234</v>
      </c>
      <c r="C1790" s="167">
        <v>260.23</v>
      </c>
      <c r="D1790" t="s">
        <v>671</v>
      </c>
      <c r="E1790" t="s">
        <v>1701</v>
      </c>
      <c r="F1790" t="s">
        <v>7344</v>
      </c>
      <c r="G1790" t="s">
        <v>7354</v>
      </c>
      <c r="I1790" t="s">
        <v>2809</v>
      </c>
    </row>
    <row r="1791" spans="1:9" x14ac:dyDescent="0.25">
      <c r="A1791" t="s">
        <v>2368</v>
      </c>
      <c r="B1791" t="s">
        <v>4229</v>
      </c>
      <c r="C1791" s="167">
        <v>260.23</v>
      </c>
      <c r="D1791" t="s">
        <v>21</v>
      </c>
      <c r="E1791" t="s">
        <v>1699</v>
      </c>
      <c r="F1791" t="s">
        <v>7344</v>
      </c>
      <c r="G1791" t="s">
        <v>7354</v>
      </c>
      <c r="I1791" t="s">
        <v>2809</v>
      </c>
    </row>
    <row r="1792" spans="1:9" x14ac:dyDescent="0.25">
      <c r="A1792" t="s">
        <v>2371</v>
      </c>
      <c r="B1792" t="s">
        <v>4232</v>
      </c>
      <c r="C1792" s="167">
        <v>260.23</v>
      </c>
      <c r="D1792" t="s">
        <v>563</v>
      </c>
      <c r="E1792" t="s">
        <v>1699</v>
      </c>
      <c r="F1792" t="s">
        <v>7344</v>
      </c>
      <c r="G1792" t="s">
        <v>7354</v>
      </c>
      <c r="I1792" t="s">
        <v>2809</v>
      </c>
    </row>
    <row r="1793" spans="1:9" x14ac:dyDescent="0.25">
      <c r="A1793" t="s">
        <v>2374</v>
      </c>
      <c r="B1793" t="s">
        <v>4235</v>
      </c>
      <c r="C1793" s="167">
        <v>260.23</v>
      </c>
      <c r="D1793" t="s">
        <v>671</v>
      </c>
      <c r="E1793" t="s">
        <v>1699</v>
      </c>
      <c r="F1793" t="s">
        <v>7344</v>
      </c>
      <c r="G1793" t="s">
        <v>7354</v>
      </c>
      <c r="I1793" t="s">
        <v>2809</v>
      </c>
    </row>
    <row r="1794" spans="1:9" x14ac:dyDescent="0.25">
      <c r="A1794" t="s">
        <v>2369</v>
      </c>
      <c r="B1794" t="s">
        <v>4230</v>
      </c>
      <c r="C1794" s="167">
        <v>260.23</v>
      </c>
      <c r="D1794" t="s">
        <v>21</v>
      </c>
      <c r="E1794" t="s">
        <v>1703</v>
      </c>
      <c r="F1794" t="s">
        <v>7344</v>
      </c>
      <c r="G1794" t="s">
        <v>7354</v>
      </c>
      <c r="I1794" t="s">
        <v>2809</v>
      </c>
    </row>
    <row r="1795" spans="1:9" x14ac:dyDescent="0.25">
      <c r="A1795" t="s">
        <v>2372</v>
      </c>
      <c r="B1795" t="s">
        <v>4233</v>
      </c>
      <c r="C1795" s="167">
        <v>260.23</v>
      </c>
      <c r="D1795" t="s">
        <v>563</v>
      </c>
      <c r="E1795" t="s">
        <v>1703</v>
      </c>
      <c r="F1795" t="s">
        <v>7344</v>
      </c>
      <c r="G1795" t="s">
        <v>7354</v>
      </c>
      <c r="I1795" t="s">
        <v>2809</v>
      </c>
    </row>
    <row r="1796" spans="1:9" x14ac:dyDescent="0.25">
      <c r="A1796" t="s">
        <v>2375</v>
      </c>
      <c r="B1796" t="s">
        <v>4236</v>
      </c>
      <c r="C1796" s="167">
        <v>260.23</v>
      </c>
      <c r="D1796" t="s">
        <v>671</v>
      </c>
      <c r="E1796" t="s">
        <v>1703</v>
      </c>
      <c r="F1796" t="s">
        <v>7344</v>
      </c>
      <c r="G1796" t="s">
        <v>7354</v>
      </c>
      <c r="I1796" t="s">
        <v>2809</v>
      </c>
    </row>
    <row r="1797" spans="1:9" x14ac:dyDescent="0.25">
      <c r="A1797" t="s">
        <v>2376</v>
      </c>
      <c r="B1797" t="s">
        <v>4237</v>
      </c>
      <c r="C1797" s="167">
        <v>286.66000000000003</v>
      </c>
      <c r="D1797" t="s">
        <v>21</v>
      </c>
      <c r="E1797" t="s">
        <v>1701</v>
      </c>
      <c r="F1797" t="s">
        <v>7343</v>
      </c>
      <c r="G1797" t="s">
        <v>7354</v>
      </c>
      <c r="I1797" t="s">
        <v>2809</v>
      </c>
    </row>
    <row r="1798" spans="1:9" x14ac:dyDescent="0.25">
      <c r="A1798" t="s">
        <v>2379</v>
      </c>
      <c r="B1798" t="s">
        <v>4240</v>
      </c>
      <c r="C1798" s="167">
        <v>286.66000000000003</v>
      </c>
      <c r="D1798" t="s">
        <v>563</v>
      </c>
      <c r="E1798" t="s">
        <v>1701</v>
      </c>
      <c r="F1798" t="s">
        <v>7343</v>
      </c>
      <c r="G1798" t="s">
        <v>7354</v>
      </c>
      <c r="I1798" t="s">
        <v>2809</v>
      </c>
    </row>
    <row r="1799" spans="1:9" x14ac:dyDescent="0.25">
      <c r="A1799" t="s">
        <v>2382</v>
      </c>
      <c r="B1799" t="s">
        <v>4243</v>
      </c>
      <c r="C1799" s="167">
        <v>286.66000000000003</v>
      </c>
      <c r="D1799" t="s">
        <v>671</v>
      </c>
      <c r="E1799" t="s">
        <v>1701</v>
      </c>
      <c r="F1799" t="s">
        <v>7343</v>
      </c>
      <c r="G1799" t="s">
        <v>7354</v>
      </c>
      <c r="I1799" t="s">
        <v>2809</v>
      </c>
    </row>
    <row r="1800" spans="1:9" x14ac:dyDescent="0.25">
      <c r="A1800" t="s">
        <v>2377</v>
      </c>
      <c r="B1800" t="s">
        <v>4238</v>
      </c>
      <c r="C1800" s="167">
        <v>286.66000000000003</v>
      </c>
      <c r="D1800" t="s">
        <v>21</v>
      </c>
      <c r="E1800" t="s">
        <v>1699</v>
      </c>
      <c r="F1800" t="s">
        <v>7343</v>
      </c>
      <c r="G1800" t="s">
        <v>7354</v>
      </c>
      <c r="I1800" t="s">
        <v>2809</v>
      </c>
    </row>
    <row r="1801" spans="1:9" x14ac:dyDescent="0.25">
      <c r="A1801" t="s">
        <v>2380</v>
      </c>
      <c r="B1801" t="s">
        <v>4241</v>
      </c>
      <c r="C1801" s="167">
        <v>286.66000000000003</v>
      </c>
      <c r="D1801" t="s">
        <v>563</v>
      </c>
      <c r="E1801" t="s">
        <v>1699</v>
      </c>
      <c r="F1801" t="s">
        <v>7343</v>
      </c>
      <c r="G1801" t="s">
        <v>7354</v>
      </c>
      <c r="I1801" t="s">
        <v>2809</v>
      </c>
    </row>
    <row r="1802" spans="1:9" x14ac:dyDescent="0.25">
      <c r="A1802" t="s">
        <v>2383</v>
      </c>
      <c r="B1802" t="s">
        <v>4244</v>
      </c>
      <c r="C1802" s="167">
        <v>286.66000000000003</v>
      </c>
      <c r="D1802" t="s">
        <v>671</v>
      </c>
      <c r="E1802" t="s">
        <v>1699</v>
      </c>
      <c r="F1802" t="s">
        <v>7343</v>
      </c>
      <c r="G1802" t="s">
        <v>7354</v>
      </c>
      <c r="I1802" t="s">
        <v>2809</v>
      </c>
    </row>
    <row r="1803" spans="1:9" x14ac:dyDescent="0.25">
      <c r="A1803" t="s">
        <v>2378</v>
      </c>
      <c r="B1803" t="s">
        <v>4239</v>
      </c>
      <c r="C1803" s="167">
        <v>286.66000000000003</v>
      </c>
      <c r="D1803" t="s">
        <v>21</v>
      </c>
      <c r="E1803" t="s">
        <v>1703</v>
      </c>
      <c r="F1803" t="s">
        <v>7343</v>
      </c>
      <c r="G1803" t="s">
        <v>7354</v>
      </c>
      <c r="I1803" t="s">
        <v>2809</v>
      </c>
    </row>
    <row r="1804" spans="1:9" x14ac:dyDescent="0.25">
      <c r="A1804" t="s">
        <v>2381</v>
      </c>
      <c r="B1804" t="s">
        <v>4242</v>
      </c>
      <c r="C1804" s="167">
        <v>286.66000000000003</v>
      </c>
      <c r="D1804" t="s">
        <v>563</v>
      </c>
      <c r="E1804" t="s">
        <v>1703</v>
      </c>
      <c r="F1804" t="s">
        <v>7343</v>
      </c>
      <c r="G1804" t="s">
        <v>7354</v>
      </c>
      <c r="I1804" t="s">
        <v>2809</v>
      </c>
    </row>
    <row r="1805" spans="1:9" x14ac:dyDescent="0.25">
      <c r="A1805" t="s">
        <v>2384</v>
      </c>
      <c r="B1805" t="s">
        <v>4245</v>
      </c>
      <c r="C1805" s="167">
        <v>286.66000000000003</v>
      </c>
      <c r="D1805" t="s">
        <v>671</v>
      </c>
      <c r="E1805" t="s">
        <v>1703</v>
      </c>
      <c r="F1805" t="s">
        <v>7343</v>
      </c>
      <c r="G1805" t="s">
        <v>7354</v>
      </c>
      <c r="I1805" t="s">
        <v>2809</v>
      </c>
    </row>
    <row r="1806" spans="1:9" x14ac:dyDescent="0.25">
      <c r="A1806" t="s">
        <v>2385</v>
      </c>
      <c r="B1806" t="s">
        <v>4246</v>
      </c>
      <c r="C1806" s="167">
        <v>154.44</v>
      </c>
      <c r="D1806" t="s">
        <v>21</v>
      </c>
      <c r="E1806" t="s">
        <v>1701</v>
      </c>
      <c r="F1806" t="s">
        <v>7339</v>
      </c>
      <c r="G1806" t="s">
        <v>7354</v>
      </c>
      <c r="I1806" t="s">
        <v>2809</v>
      </c>
    </row>
    <row r="1807" spans="1:9" x14ac:dyDescent="0.25">
      <c r="A1807" t="s">
        <v>2388</v>
      </c>
      <c r="B1807" t="s">
        <v>4249</v>
      </c>
      <c r="C1807" s="167">
        <v>154.44</v>
      </c>
      <c r="D1807" t="s">
        <v>563</v>
      </c>
      <c r="E1807" t="s">
        <v>1701</v>
      </c>
      <c r="F1807" t="s">
        <v>7339</v>
      </c>
      <c r="G1807" t="s">
        <v>7354</v>
      </c>
      <c r="I1807" t="s">
        <v>2809</v>
      </c>
    </row>
    <row r="1808" spans="1:9" x14ac:dyDescent="0.25">
      <c r="A1808" t="s">
        <v>2391</v>
      </c>
      <c r="B1808" t="s">
        <v>4252</v>
      </c>
      <c r="C1808" s="167">
        <v>154.44</v>
      </c>
      <c r="D1808" t="s">
        <v>671</v>
      </c>
      <c r="E1808" t="s">
        <v>1701</v>
      </c>
      <c r="F1808" t="s">
        <v>7339</v>
      </c>
      <c r="G1808" t="s">
        <v>7354</v>
      </c>
      <c r="I1808" t="s">
        <v>2809</v>
      </c>
    </row>
    <row r="1809" spans="1:9" x14ac:dyDescent="0.25">
      <c r="A1809" t="s">
        <v>2386</v>
      </c>
      <c r="B1809" t="s">
        <v>4247</v>
      </c>
      <c r="C1809" s="167">
        <v>154.44</v>
      </c>
      <c r="D1809" t="s">
        <v>21</v>
      </c>
      <c r="E1809" t="s">
        <v>1699</v>
      </c>
      <c r="F1809" t="s">
        <v>7339</v>
      </c>
      <c r="G1809" t="s">
        <v>7354</v>
      </c>
      <c r="I1809" t="s">
        <v>2809</v>
      </c>
    </row>
    <row r="1810" spans="1:9" x14ac:dyDescent="0.25">
      <c r="A1810" t="s">
        <v>2389</v>
      </c>
      <c r="B1810" t="s">
        <v>4250</v>
      </c>
      <c r="C1810" s="167">
        <v>154.44</v>
      </c>
      <c r="D1810" t="s">
        <v>563</v>
      </c>
      <c r="E1810" t="s">
        <v>1699</v>
      </c>
      <c r="F1810" t="s">
        <v>7339</v>
      </c>
      <c r="G1810" t="s">
        <v>7354</v>
      </c>
      <c r="I1810" t="s">
        <v>2809</v>
      </c>
    </row>
    <row r="1811" spans="1:9" x14ac:dyDescent="0.25">
      <c r="A1811" t="s">
        <v>2392</v>
      </c>
      <c r="B1811" t="s">
        <v>4253</v>
      </c>
      <c r="C1811" s="167">
        <v>154.44</v>
      </c>
      <c r="D1811" t="s">
        <v>671</v>
      </c>
      <c r="E1811" t="s">
        <v>1699</v>
      </c>
      <c r="F1811" t="s">
        <v>7339</v>
      </c>
      <c r="G1811" t="s">
        <v>7354</v>
      </c>
      <c r="I1811" t="s">
        <v>2809</v>
      </c>
    </row>
    <row r="1812" spans="1:9" x14ac:dyDescent="0.25">
      <c r="A1812" t="s">
        <v>2387</v>
      </c>
      <c r="B1812" t="s">
        <v>4248</v>
      </c>
      <c r="C1812" s="167">
        <v>154.44</v>
      </c>
      <c r="D1812" t="s">
        <v>21</v>
      </c>
      <c r="E1812" t="s">
        <v>1703</v>
      </c>
      <c r="F1812" t="s">
        <v>7339</v>
      </c>
      <c r="G1812" t="s">
        <v>7354</v>
      </c>
      <c r="I1812" t="s">
        <v>2809</v>
      </c>
    </row>
    <row r="1813" spans="1:9" x14ac:dyDescent="0.25">
      <c r="A1813" t="s">
        <v>2390</v>
      </c>
      <c r="B1813" t="s">
        <v>4251</v>
      </c>
      <c r="C1813" s="167">
        <v>154.44</v>
      </c>
      <c r="D1813" t="s">
        <v>563</v>
      </c>
      <c r="E1813" t="s">
        <v>1703</v>
      </c>
      <c r="F1813" t="s">
        <v>7339</v>
      </c>
      <c r="G1813" t="s">
        <v>7354</v>
      </c>
      <c r="I1813" t="s">
        <v>2809</v>
      </c>
    </row>
    <row r="1814" spans="1:9" x14ac:dyDescent="0.25">
      <c r="A1814" t="s">
        <v>2393</v>
      </c>
      <c r="B1814" t="s">
        <v>4254</v>
      </c>
      <c r="C1814" s="167">
        <v>154.44</v>
      </c>
      <c r="D1814" t="s">
        <v>671</v>
      </c>
      <c r="E1814" t="s">
        <v>1703</v>
      </c>
      <c r="F1814" t="s">
        <v>7339</v>
      </c>
      <c r="G1814" t="s">
        <v>7354</v>
      </c>
      <c r="I1814" t="s">
        <v>2809</v>
      </c>
    </row>
    <row r="1815" spans="1:9" x14ac:dyDescent="0.25">
      <c r="A1815" t="s">
        <v>2394</v>
      </c>
      <c r="B1815" t="s">
        <v>4255</v>
      </c>
      <c r="C1815" s="167">
        <v>174.29</v>
      </c>
      <c r="D1815" t="s">
        <v>21</v>
      </c>
      <c r="E1815" t="s">
        <v>1701</v>
      </c>
      <c r="F1815" t="s">
        <v>7341</v>
      </c>
      <c r="G1815" t="s">
        <v>7354</v>
      </c>
      <c r="I1815" t="s">
        <v>2809</v>
      </c>
    </row>
    <row r="1816" spans="1:9" x14ac:dyDescent="0.25">
      <c r="A1816" t="s">
        <v>2397</v>
      </c>
      <c r="B1816" t="s">
        <v>4258</v>
      </c>
      <c r="C1816" s="167">
        <v>174.29</v>
      </c>
      <c r="D1816" t="s">
        <v>563</v>
      </c>
      <c r="E1816" t="s">
        <v>1701</v>
      </c>
      <c r="F1816" t="s">
        <v>7341</v>
      </c>
      <c r="G1816" t="s">
        <v>7354</v>
      </c>
      <c r="I1816" t="s">
        <v>2809</v>
      </c>
    </row>
    <row r="1817" spans="1:9" x14ac:dyDescent="0.25">
      <c r="A1817" t="s">
        <v>2400</v>
      </c>
      <c r="B1817" t="s">
        <v>4261</v>
      </c>
      <c r="C1817" s="167">
        <v>174.29</v>
      </c>
      <c r="D1817" t="s">
        <v>671</v>
      </c>
      <c r="E1817" t="s">
        <v>1701</v>
      </c>
      <c r="F1817" t="s">
        <v>7341</v>
      </c>
      <c r="G1817" t="s">
        <v>7354</v>
      </c>
      <c r="I1817" t="s">
        <v>2809</v>
      </c>
    </row>
    <row r="1818" spans="1:9" x14ac:dyDescent="0.25">
      <c r="A1818" t="s">
        <v>2395</v>
      </c>
      <c r="B1818" t="s">
        <v>4256</v>
      </c>
      <c r="C1818" s="167">
        <v>174.29</v>
      </c>
      <c r="D1818" t="s">
        <v>21</v>
      </c>
      <c r="E1818" t="s">
        <v>1699</v>
      </c>
      <c r="F1818" t="s">
        <v>7341</v>
      </c>
      <c r="G1818" t="s">
        <v>7354</v>
      </c>
      <c r="I1818" t="s">
        <v>2809</v>
      </c>
    </row>
    <row r="1819" spans="1:9" x14ac:dyDescent="0.25">
      <c r="A1819" t="s">
        <v>2398</v>
      </c>
      <c r="B1819" t="s">
        <v>4259</v>
      </c>
      <c r="C1819" s="167">
        <v>174.29</v>
      </c>
      <c r="D1819" t="s">
        <v>563</v>
      </c>
      <c r="E1819" t="s">
        <v>1699</v>
      </c>
      <c r="F1819" t="s">
        <v>7341</v>
      </c>
      <c r="G1819" t="s">
        <v>7354</v>
      </c>
      <c r="I1819" t="s">
        <v>2809</v>
      </c>
    </row>
    <row r="1820" spans="1:9" x14ac:dyDescent="0.25">
      <c r="A1820" t="s">
        <v>2401</v>
      </c>
      <c r="B1820" t="s">
        <v>4262</v>
      </c>
      <c r="C1820" s="167">
        <v>174.29</v>
      </c>
      <c r="D1820" t="s">
        <v>671</v>
      </c>
      <c r="E1820" t="s">
        <v>1699</v>
      </c>
      <c r="F1820" t="s">
        <v>7341</v>
      </c>
      <c r="G1820" t="s">
        <v>7354</v>
      </c>
      <c r="I1820" t="s">
        <v>2809</v>
      </c>
    </row>
    <row r="1821" spans="1:9" x14ac:dyDescent="0.25">
      <c r="A1821" t="s">
        <v>2396</v>
      </c>
      <c r="B1821" t="s">
        <v>4257</v>
      </c>
      <c r="C1821" s="167">
        <v>174.29</v>
      </c>
      <c r="D1821" t="s">
        <v>21</v>
      </c>
      <c r="E1821" t="s">
        <v>1703</v>
      </c>
      <c r="F1821" t="s">
        <v>7341</v>
      </c>
      <c r="G1821" t="s">
        <v>7354</v>
      </c>
      <c r="I1821" t="s">
        <v>2809</v>
      </c>
    </row>
    <row r="1822" spans="1:9" x14ac:dyDescent="0.25">
      <c r="A1822" t="s">
        <v>2399</v>
      </c>
      <c r="B1822" t="s">
        <v>4260</v>
      </c>
      <c r="C1822" s="167">
        <v>174.29</v>
      </c>
      <c r="D1822" t="s">
        <v>563</v>
      </c>
      <c r="E1822" t="s">
        <v>1703</v>
      </c>
      <c r="F1822" t="s">
        <v>7341</v>
      </c>
      <c r="G1822" t="s">
        <v>7354</v>
      </c>
      <c r="I1822" t="s">
        <v>2809</v>
      </c>
    </row>
    <row r="1823" spans="1:9" x14ac:dyDescent="0.25">
      <c r="A1823" t="s">
        <v>2402</v>
      </c>
      <c r="B1823" t="s">
        <v>4263</v>
      </c>
      <c r="C1823" s="167">
        <v>174.29</v>
      </c>
      <c r="D1823" t="s">
        <v>671</v>
      </c>
      <c r="E1823" t="s">
        <v>1703</v>
      </c>
      <c r="F1823" t="s">
        <v>7341</v>
      </c>
      <c r="G1823" t="s">
        <v>7354</v>
      </c>
      <c r="I1823" t="s">
        <v>2809</v>
      </c>
    </row>
    <row r="1824" spans="1:9" x14ac:dyDescent="0.25">
      <c r="A1824" t="s">
        <v>2403</v>
      </c>
      <c r="B1824" t="s">
        <v>4264</v>
      </c>
      <c r="C1824" s="167">
        <v>194.12</v>
      </c>
      <c r="D1824" t="s">
        <v>21</v>
      </c>
      <c r="E1824" t="s">
        <v>1701</v>
      </c>
      <c r="F1824" t="s">
        <v>7344</v>
      </c>
      <c r="G1824" t="s">
        <v>7354</v>
      </c>
      <c r="I1824" t="s">
        <v>2809</v>
      </c>
    </row>
    <row r="1825" spans="1:9" x14ac:dyDescent="0.25">
      <c r="A1825" t="s">
        <v>2406</v>
      </c>
      <c r="B1825" t="s">
        <v>4267</v>
      </c>
      <c r="C1825" s="167">
        <v>194.12</v>
      </c>
      <c r="D1825" t="s">
        <v>563</v>
      </c>
      <c r="E1825" t="s">
        <v>1701</v>
      </c>
      <c r="F1825" t="s">
        <v>7344</v>
      </c>
      <c r="G1825" t="s">
        <v>7354</v>
      </c>
      <c r="I1825" t="s">
        <v>2809</v>
      </c>
    </row>
    <row r="1826" spans="1:9" x14ac:dyDescent="0.25">
      <c r="A1826" t="s">
        <v>2409</v>
      </c>
      <c r="B1826" t="s">
        <v>4270</v>
      </c>
      <c r="C1826" s="167">
        <v>194.12</v>
      </c>
      <c r="D1826" t="s">
        <v>671</v>
      </c>
      <c r="E1826" t="s">
        <v>1701</v>
      </c>
      <c r="F1826" t="s">
        <v>7344</v>
      </c>
      <c r="G1826" t="s">
        <v>7354</v>
      </c>
      <c r="I1826" t="s">
        <v>2809</v>
      </c>
    </row>
    <row r="1827" spans="1:9" x14ac:dyDescent="0.25">
      <c r="A1827" t="s">
        <v>2404</v>
      </c>
      <c r="B1827" t="s">
        <v>4265</v>
      </c>
      <c r="C1827" s="167">
        <v>194.12</v>
      </c>
      <c r="D1827" t="s">
        <v>21</v>
      </c>
      <c r="E1827" t="s">
        <v>1699</v>
      </c>
      <c r="F1827" t="s">
        <v>7344</v>
      </c>
      <c r="G1827" t="s">
        <v>7354</v>
      </c>
      <c r="I1827" t="s">
        <v>2809</v>
      </c>
    </row>
    <row r="1828" spans="1:9" x14ac:dyDescent="0.25">
      <c r="A1828" t="s">
        <v>2407</v>
      </c>
      <c r="B1828" t="s">
        <v>4268</v>
      </c>
      <c r="C1828" s="167">
        <v>194.12</v>
      </c>
      <c r="D1828" t="s">
        <v>563</v>
      </c>
      <c r="E1828" t="s">
        <v>1699</v>
      </c>
      <c r="F1828" t="s">
        <v>7344</v>
      </c>
      <c r="G1828" t="s">
        <v>7354</v>
      </c>
      <c r="I1828" t="s">
        <v>2809</v>
      </c>
    </row>
    <row r="1829" spans="1:9" x14ac:dyDescent="0.25">
      <c r="A1829" t="s">
        <v>2410</v>
      </c>
      <c r="B1829" t="s">
        <v>4271</v>
      </c>
      <c r="C1829" s="167">
        <v>194.12</v>
      </c>
      <c r="D1829" t="s">
        <v>671</v>
      </c>
      <c r="E1829" t="s">
        <v>1699</v>
      </c>
      <c r="F1829" t="s">
        <v>7344</v>
      </c>
      <c r="G1829" t="s">
        <v>7354</v>
      </c>
      <c r="I1829" t="s">
        <v>2809</v>
      </c>
    </row>
    <row r="1830" spans="1:9" x14ac:dyDescent="0.25">
      <c r="A1830" t="s">
        <v>2405</v>
      </c>
      <c r="B1830" t="s">
        <v>4266</v>
      </c>
      <c r="C1830" s="167">
        <v>194.12</v>
      </c>
      <c r="D1830" t="s">
        <v>21</v>
      </c>
      <c r="E1830" t="s">
        <v>1703</v>
      </c>
      <c r="F1830" t="s">
        <v>7344</v>
      </c>
      <c r="G1830" t="s">
        <v>7354</v>
      </c>
      <c r="I1830" t="s">
        <v>2809</v>
      </c>
    </row>
    <row r="1831" spans="1:9" x14ac:dyDescent="0.25">
      <c r="A1831" t="s">
        <v>2408</v>
      </c>
      <c r="B1831" t="s">
        <v>4269</v>
      </c>
      <c r="C1831" s="167">
        <v>194.12</v>
      </c>
      <c r="D1831" t="s">
        <v>563</v>
      </c>
      <c r="E1831" t="s">
        <v>1703</v>
      </c>
      <c r="F1831" t="s">
        <v>7344</v>
      </c>
      <c r="G1831" t="s">
        <v>7354</v>
      </c>
      <c r="I1831" t="s">
        <v>2809</v>
      </c>
    </row>
    <row r="1832" spans="1:9" x14ac:dyDescent="0.25">
      <c r="A1832" t="s">
        <v>2411</v>
      </c>
      <c r="B1832" t="s">
        <v>4272</v>
      </c>
      <c r="C1832" s="167">
        <v>194.12</v>
      </c>
      <c r="D1832" t="s">
        <v>671</v>
      </c>
      <c r="E1832" t="s">
        <v>1703</v>
      </c>
      <c r="F1832" t="s">
        <v>7344</v>
      </c>
      <c r="G1832" t="s">
        <v>7354</v>
      </c>
      <c r="I1832" t="s">
        <v>2809</v>
      </c>
    </row>
    <row r="1833" spans="1:9" x14ac:dyDescent="0.25">
      <c r="A1833" t="s">
        <v>2412</v>
      </c>
      <c r="B1833" t="s">
        <v>4273</v>
      </c>
      <c r="C1833" s="167">
        <v>213.95</v>
      </c>
      <c r="D1833" t="s">
        <v>21</v>
      </c>
      <c r="E1833" t="s">
        <v>1701</v>
      </c>
      <c r="F1833" t="s">
        <v>7343</v>
      </c>
      <c r="G1833" t="s">
        <v>7354</v>
      </c>
      <c r="I1833" t="s">
        <v>2809</v>
      </c>
    </row>
    <row r="1834" spans="1:9" x14ac:dyDescent="0.25">
      <c r="A1834" t="s">
        <v>2415</v>
      </c>
      <c r="B1834" t="s">
        <v>4276</v>
      </c>
      <c r="C1834" s="167">
        <v>213.95</v>
      </c>
      <c r="D1834" t="s">
        <v>563</v>
      </c>
      <c r="E1834" t="s">
        <v>1701</v>
      </c>
      <c r="F1834" t="s">
        <v>7343</v>
      </c>
      <c r="G1834" t="s">
        <v>7354</v>
      </c>
      <c r="I1834" t="s">
        <v>2809</v>
      </c>
    </row>
    <row r="1835" spans="1:9" x14ac:dyDescent="0.25">
      <c r="A1835" t="s">
        <v>2418</v>
      </c>
      <c r="B1835" t="s">
        <v>4279</v>
      </c>
      <c r="C1835" s="167">
        <v>213.95</v>
      </c>
      <c r="D1835" t="s">
        <v>671</v>
      </c>
      <c r="E1835" t="s">
        <v>1701</v>
      </c>
      <c r="F1835" t="s">
        <v>7343</v>
      </c>
      <c r="G1835" t="s">
        <v>7354</v>
      </c>
      <c r="I1835" t="s">
        <v>2809</v>
      </c>
    </row>
    <row r="1836" spans="1:9" x14ac:dyDescent="0.25">
      <c r="A1836" t="s">
        <v>2413</v>
      </c>
      <c r="B1836" t="s">
        <v>4274</v>
      </c>
      <c r="C1836" s="167">
        <v>213.95</v>
      </c>
      <c r="D1836" t="s">
        <v>21</v>
      </c>
      <c r="E1836" t="s">
        <v>1699</v>
      </c>
      <c r="F1836" t="s">
        <v>7343</v>
      </c>
      <c r="G1836" t="s">
        <v>7354</v>
      </c>
      <c r="I1836" t="s">
        <v>2809</v>
      </c>
    </row>
    <row r="1837" spans="1:9" x14ac:dyDescent="0.25">
      <c r="A1837" t="s">
        <v>2416</v>
      </c>
      <c r="B1837" t="s">
        <v>4277</v>
      </c>
      <c r="C1837" s="167">
        <v>213.95</v>
      </c>
      <c r="D1837" t="s">
        <v>563</v>
      </c>
      <c r="E1837" t="s">
        <v>1699</v>
      </c>
      <c r="F1837" t="s">
        <v>7343</v>
      </c>
      <c r="G1837" t="s">
        <v>7354</v>
      </c>
      <c r="I1837" t="s">
        <v>2809</v>
      </c>
    </row>
    <row r="1838" spans="1:9" x14ac:dyDescent="0.25">
      <c r="A1838" t="s">
        <v>2419</v>
      </c>
      <c r="B1838" t="s">
        <v>4280</v>
      </c>
      <c r="C1838" s="167">
        <v>213.95</v>
      </c>
      <c r="D1838" t="s">
        <v>671</v>
      </c>
      <c r="E1838" t="s">
        <v>1699</v>
      </c>
      <c r="F1838" t="s">
        <v>7343</v>
      </c>
      <c r="G1838" t="s">
        <v>7354</v>
      </c>
      <c r="I1838" t="s">
        <v>2809</v>
      </c>
    </row>
    <row r="1839" spans="1:9" x14ac:dyDescent="0.25">
      <c r="A1839" t="s">
        <v>2414</v>
      </c>
      <c r="B1839" t="s">
        <v>4275</v>
      </c>
      <c r="C1839" s="167">
        <v>213.95</v>
      </c>
      <c r="D1839" t="s">
        <v>21</v>
      </c>
      <c r="E1839" t="s">
        <v>1703</v>
      </c>
      <c r="F1839" t="s">
        <v>7343</v>
      </c>
      <c r="G1839" t="s">
        <v>7354</v>
      </c>
      <c r="I1839" t="s">
        <v>2809</v>
      </c>
    </row>
    <row r="1840" spans="1:9" x14ac:dyDescent="0.25">
      <c r="A1840" t="s">
        <v>2417</v>
      </c>
      <c r="B1840" t="s">
        <v>4278</v>
      </c>
      <c r="C1840" s="167">
        <v>213.95</v>
      </c>
      <c r="D1840" t="s">
        <v>563</v>
      </c>
      <c r="E1840" t="s">
        <v>1703</v>
      </c>
      <c r="F1840" t="s">
        <v>7343</v>
      </c>
      <c r="G1840" t="s">
        <v>7354</v>
      </c>
      <c r="I1840" t="s">
        <v>2809</v>
      </c>
    </row>
    <row r="1841" spans="1:9" x14ac:dyDescent="0.25">
      <c r="A1841" t="s">
        <v>2420</v>
      </c>
      <c r="B1841" t="s">
        <v>4281</v>
      </c>
      <c r="C1841" s="167">
        <v>213.95</v>
      </c>
      <c r="D1841" t="s">
        <v>671</v>
      </c>
      <c r="E1841" t="s">
        <v>1703</v>
      </c>
      <c r="F1841" t="s">
        <v>7343</v>
      </c>
      <c r="G1841" t="s">
        <v>7354</v>
      </c>
      <c r="I1841" t="s">
        <v>2809</v>
      </c>
    </row>
    <row r="1842" spans="1:9" x14ac:dyDescent="0.25">
      <c r="A1842" t="s">
        <v>2421</v>
      </c>
      <c r="B1842" t="s">
        <v>4282</v>
      </c>
      <c r="C1842" s="167">
        <v>167.67</v>
      </c>
      <c r="D1842" t="s">
        <v>21</v>
      </c>
      <c r="E1842" t="s">
        <v>1701</v>
      </c>
      <c r="F1842" t="s">
        <v>7339</v>
      </c>
      <c r="G1842" t="s">
        <v>7354</v>
      </c>
      <c r="I1842" t="s">
        <v>2809</v>
      </c>
    </row>
    <row r="1843" spans="1:9" x14ac:dyDescent="0.25">
      <c r="A1843" t="s">
        <v>2424</v>
      </c>
      <c r="B1843" t="s">
        <v>4285</v>
      </c>
      <c r="C1843" s="167">
        <v>167.67</v>
      </c>
      <c r="D1843" t="s">
        <v>563</v>
      </c>
      <c r="E1843" t="s">
        <v>1701</v>
      </c>
      <c r="F1843" t="s">
        <v>7339</v>
      </c>
      <c r="G1843" t="s">
        <v>7354</v>
      </c>
      <c r="I1843" t="s">
        <v>2809</v>
      </c>
    </row>
    <row r="1844" spans="1:9" x14ac:dyDescent="0.25">
      <c r="A1844" t="s">
        <v>2427</v>
      </c>
      <c r="B1844" t="s">
        <v>4288</v>
      </c>
      <c r="C1844" s="167">
        <v>167.67</v>
      </c>
      <c r="D1844" t="s">
        <v>671</v>
      </c>
      <c r="E1844" t="s">
        <v>1701</v>
      </c>
      <c r="F1844" t="s">
        <v>7339</v>
      </c>
      <c r="G1844" t="s">
        <v>7354</v>
      </c>
      <c r="I1844" t="s">
        <v>2809</v>
      </c>
    </row>
    <row r="1845" spans="1:9" x14ac:dyDescent="0.25">
      <c r="A1845" t="s">
        <v>2422</v>
      </c>
      <c r="B1845" t="s">
        <v>4283</v>
      </c>
      <c r="C1845" s="167">
        <v>167.67</v>
      </c>
      <c r="D1845" t="s">
        <v>21</v>
      </c>
      <c r="E1845" t="s">
        <v>1699</v>
      </c>
      <c r="F1845" t="s">
        <v>7339</v>
      </c>
      <c r="G1845" t="s">
        <v>7354</v>
      </c>
      <c r="I1845" t="s">
        <v>2809</v>
      </c>
    </row>
    <row r="1846" spans="1:9" x14ac:dyDescent="0.25">
      <c r="A1846" t="s">
        <v>2425</v>
      </c>
      <c r="B1846" t="s">
        <v>4286</v>
      </c>
      <c r="C1846" s="167">
        <v>167.67</v>
      </c>
      <c r="D1846" t="s">
        <v>563</v>
      </c>
      <c r="E1846" t="s">
        <v>1699</v>
      </c>
      <c r="F1846" t="s">
        <v>7339</v>
      </c>
      <c r="G1846" t="s">
        <v>7354</v>
      </c>
      <c r="I1846" t="s">
        <v>2809</v>
      </c>
    </row>
    <row r="1847" spans="1:9" x14ac:dyDescent="0.25">
      <c r="A1847" t="s">
        <v>2428</v>
      </c>
      <c r="B1847" t="s">
        <v>4289</v>
      </c>
      <c r="C1847" s="167">
        <v>167.67</v>
      </c>
      <c r="D1847" t="s">
        <v>671</v>
      </c>
      <c r="E1847" t="s">
        <v>1699</v>
      </c>
      <c r="F1847" t="s">
        <v>7339</v>
      </c>
      <c r="G1847" t="s">
        <v>7354</v>
      </c>
      <c r="I1847" t="s">
        <v>2809</v>
      </c>
    </row>
    <row r="1848" spans="1:9" x14ac:dyDescent="0.25">
      <c r="A1848" t="s">
        <v>2423</v>
      </c>
      <c r="B1848" t="s">
        <v>4284</v>
      </c>
      <c r="C1848" s="167">
        <v>167.67</v>
      </c>
      <c r="D1848" t="s">
        <v>21</v>
      </c>
      <c r="E1848" t="s">
        <v>1703</v>
      </c>
      <c r="F1848" t="s">
        <v>7339</v>
      </c>
      <c r="G1848" t="s">
        <v>7354</v>
      </c>
      <c r="I1848" t="s">
        <v>2809</v>
      </c>
    </row>
    <row r="1849" spans="1:9" x14ac:dyDescent="0.25">
      <c r="A1849" t="s">
        <v>2426</v>
      </c>
      <c r="B1849" t="s">
        <v>4287</v>
      </c>
      <c r="C1849" s="167">
        <v>167.67</v>
      </c>
      <c r="D1849" t="s">
        <v>563</v>
      </c>
      <c r="E1849" t="s">
        <v>1703</v>
      </c>
      <c r="F1849" t="s">
        <v>7339</v>
      </c>
      <c r="G1849" t="s">
        <v>7354</v>
      </c>
      <c r="I1849" t="s">
        <v>2809</v>
      </c>
    </row>
    <row r="1850" spans="1:9" x14ac:dyDescent="0.25">
      <c r="A1850" t="s">
        <v>2429</v>
      </c>
      <c r="B1850" t="s">
        <v>4290</v>
      </c>
      <c r="C1850" s="167">
        <v>167.67</v>
      </c>
      <c r="D1850" t="s">
        <v>671</v>
      </c>
      <c r="E1850" t="s">
        <v>1703</v>
      </c>
      <c r="F1850" t="s">
        <v>7339</v>
      </c>
      <c r="G1850" t="s">
        <v>7354</v>
      </c>
      <c r="I1850" t="s">
        <v>2809</v>
      </c>
    </row>
    <row r="1851" spans="1:9" x14ac:dyDescent="0.25">
      <c r="A1851" t="s">
        <v>2430</v>
      </c>
      <c r="B1851" t="s">
        <v>4291</v>
      </c>
      <c r="C1851" s="167">
        <v>194.12</v>
      </c>
      <c r="D1851" t="s">
        <v>21</v>
      </c>
      <c r="E1851" t="s">
        <v>1701</v>
      </c>
      <c r="F1851" t="s">
        <v>7341</v>
      </c>
      <c r="G1851" t="s">
        <v>7354</v>
      </c>
      <c r="I1851" t="s">
        <v>2809</v>
      </c>
    </row>
    <row r="1852" spans="1:9" x14ac:dyDescent="0.25">
      <c r="A1852" t="s">
        <v>2433</v>
      </c>
      <c r="B1852" t="s">
        <v>4294</v>
      </c>
      <c r="C1852" s="167">
        <v>194.12</v>
      </c>
      <c r="D1852" t="s">
        <v>563</v>
      </c>
      <c r="E1852" t="s">
        <v>1701</v>
      </c>
      <c r="F1852" t="s">
        <v>7341</v>
      </c>
      <c r="G1852" t="s">
        <v>7354</v>
      </c>
      <c r="I1852" t="s">
        <v>2809</v>
      </c>
    </row>
    <row r="1853" spans="1:9" x14ac:dyDescent="0.25">
      <c r="A1853" t="s">
        <v>2436</v>
      </c>
      <c r="B1853" t="s">
        <v>4297</v>
      </c>
      <c r="C1853" s="167">
        <v>194.12</v>
      </c>
      <c r="D1853" t="s">
        <v>671</v>
      </c>
      <c r="E1853" t="s">
        <v>1701</v>
      </c>
      <c r="F1853" t="s">
        <v>7341</v>
      </c>
      <c r="G1853" t="s">
        <v>7354</v>
      </c>
      <c r="I1853" t="s">
        <v>2809</v>
      </c>
    </row>
    <row r="1854" spans="1:9" x14ac:dyDescent="0.25">
      <c r="A1854" t="s">
        <v>2431</v>
      </c>
      <c r="B1854" t="s">
        <v>4292</v>
      </c>
      <c r="C1854" s="167">
        <v>194.12</v>
      </c>
      <c r="D1854" t="s">
        <v>21</v>
      </c>
      <c r="E1854" t="s">
        <v>1699</v>
      </c>
      <c r="F1854" t="s">
        <v>7341</v>
      </c>
      <c r="G1854" t="s">
        <v>7354</v>
      </c>
      <c r="I1854" t="s">
        <v>2809</v>
      </c>
    </row>
    <row r="1855" spans="1:9" x14ac:dyDescent="0.25">
      <c r="A1855" t="s">
        <v>2434</v>
      </c>
      <c r="B1855" t="s">
        <v>4295</v>
      </c>
      <c r="C1855" s="167">
        <v>194.12</v>
      </c>
      <c r="D1855" t="s">
        <v>563</v>
      </c>
      <c r="E1855" t="s">
        <v>1699</v>
      </c>
      <c r="F1855" t="s">
        <v>7341</v>
      </c>
      <c r="G1855" t="s">
        <v>7354</v>
      </c>
      <c r="I1855" t="s">
        <v>2809</v>
      </c>
    </row>
    <row r="1856" spans="1:9" x14ac:dyDescent="0.25">
      <c r="A1856" t="s">
        <v>2437</v>
      </c>
      <c r="B1856" t="s">
        <v>4298</v>
      </c>
      <c r="C1856" s="167">
        <v>194.12</v>
      </c>
      <c r="D1856" t="s">
        <v>671</v>
      </c>
      <c r="E1856" t="s">
        <v>1699</v>
      </c>
      <c r="F1856" t="s">
        <v>7341</v>
      </c>
      <c r="G1856" t="s">
        <v>7354</v>
      </c>
      <c r="I1856" t="s">
        <v>2809</v>
      </c>
    </row>
    <row r="1857" spans="1:9" x14ac:dyDescent="0.25">
      <c r="A1857" t="s">
        <v>2432</v>
      </c>
      <c r="B1857" t="s">
        <v>4293</v>
      </c>
      <c r="C1857" s="167">
        <v>194.12</v>
      </c>
      <c r="D1857" t="s">
        <v>21</v>
      </c>
      <c r="E1857" t="s">
        <v>1703</v>
      </c>
      <c r="F1857" t="s">
        <v>7341</v>
      </c>
      <c r="G1857" t="s">
        <v>7354</v>
      </c>
      <c r="I1857" t="s">
        <v>2809</v>
      </c>
    </row>
    <row r="1858" spans="1:9" x14ac:dyDescent="0.25">
      <c r="A1858" t="s">
        <v>2435</v>
      </c>
      <c r="B1858" t="s">
        <v>4296</v>
      </c>
      <c r="C1858" s="167">
        <v>194.12</v>
      </c>
      <c r="D1858" t="s">
        <v>563</v>
      </c>
      <c r="E1858" t="s">
        <v>1703</v>
      </c>
      <c r="F1858" t="s">
        <v>7341</v>
      </c>
      <c r="G1858" t="s">
        <v>7354</v>
      </c>
      <c r="I1858" t="s">
        <v>2809</v>
      </c>
    </row>
    <row r="1859" spans="1:9" x14ac:dyDescent="0.25">
      <c r="A1859" t="s">
        <v>2438</v>
      </c>
      <c r="B1859" t="s">
        <v>4299</v>
      </c>
      <c r="C1859" s="167">
        <v>194.12</v>
      </c>
      <c r="D1859" t="s">
        <v>671</v>
      </c>
      <c r="E1859" t="s">
        <v>1703</v>
      </c>
      <c r="F1859" t="s">
        <v>7341</v>
      </c>
      <c r="G1859" t="s">
        <v>7354</v>
      </c>
      <c r="I1859" t="s">
        <v>2809</v>
      </c>
    </row>
    <row r="1860" spans="1:9" x14ac:dyDescent="0.25">
      <c r="A1860" t="s">
        <v>2439</v>
      </c>
      <c r="B1860" t="s">
        <v>4300</v>
      </c>
      <c r="C1860" s="167">
        <v>220.55</v>
      </c>
      <c r="D1860" t="s">
        <v>21</v>
      </c>
      <c r="E1860" t="s">
        <v>1701</v>
      </c>
      <c r="F1860" t="s">
        <v>7344</v>
      </c>
      <c r="G1860" t="s">
        <v>7354</v>
      </c>
      <c r="I1860" t="s">
        <v>2809</v>
      </c>
    </row>
    <row r="1861" spans="1:9" x14ac:dyDescent="0.25">
      <c r="A1861" t="s">
        <v>2442</v>
      </c>
      <c r="B1861" t="s">
        <v>4303</v>
      </c>
      <c r="C1861" s="167">
        <v>220.55</v>
      </c>
      <c r="D1861" t="s">
        <v>563</v>
      </c>
      <c r="E1861" t="s">
        <v>1701</v>
      </c>
      <c r="F1861" t="s">
        <v>7344</v>
      </c>
      <c r="G1861" t="s">
        <v>7354</v>
      </c>
      <c r="I1861" t="s">
        <v>2809</v>
      </c>
    </row>
    <row r="1862" spans="1:9" x14ac:dyDescent="0.25">
      <c r="A1862" t="s">
        <v>2445</v>
      </c>
      <c r="B1862" t="s">
        <v>4306</v>
      </c>
      <c r="C1862" s="167">
        <v>220.55</v>
      </c>
      <c r="D1862" t="s">
        <v>671</v>
      </c>
      <c r="E1862" t="s">
        <v>1701</v>
      </c>
      <c r="F1862" t="s">
        <v>7344</v>
      </c>
      <c r="G1862" t="s">
        <v>7354</v>
      </c>
      <c r="I1862" t="s">
        <v>2809</v>
      </c>
    </row>
    <row r="1863" spans="1:9" x14ac:dyDescent="0.25">
      <c r="A1863" t="s">
        <v>2440</v>
      </c>
      <c r="B1863" t="s">
        <v>4301</v>
      </c>
      <c r="C1863" s="167">
        <v>220.55</v>
      </c>
      <c r="D1863" t="s">
        <v>21</v>
      </c>
      <c r="E1863" t="s">
        <v>1699</v>
      </c>
      <c r="F1863" t="s">
        <v>7344</v>
      </c>
      <c r="G1863" t="s">
        <v>7354</v>
      </c>
      <c r="I1863" t="s">
        <v>2809</v>
      </c>
    </row>
    <row r="1864" spans="1:9" x14ac:dyDescent="0.25">
      <c r="A1864" t="s">
        <v>2443</v>
      </c>
      <c r="B1864" t="s">
        <v>4304</v>
      </c>
      <c r="C1864" s="167">
        <v>220.55</v>
      </c>
      <c r="D1864" t="s">
        <v>563</v>
      </c>
      <c r="E1864" t="s">
        <v>1699</v>
      </c>
      <c r="F1864" t="s">
        <v>7344</v>
      </c>
      <c r="G1864" t="s">
        <v>7354</v>
      </c>
      <c r="I1864" t="s">
        <v>2809</v>
      </c>
    </row>
    <row r="1865" spans="1:9" x14ac:dyDescent="0.25">
      <c r="A1865" t="s">
        <v>2446</v>
      </c>
      <c r="B1865" t="s">
        <v>4307</v>
      </c>
      <c r="C1865" s="167">
        <v>220.55</v>
      </c>
      <c r="D1865" t="s">
        <v>671</v>
      </c>
      <c r="E1865" t="s">
        <v>1699</v>
      </c>
      <c r="F1865" t="s">
        <v>7344</v>
      </c>
      <c r="G1865" t="s">
        <v>7354</v>
      </c>
      <c r="I1865" t="s">
        <v>2809</v>
      </c>
    </row>
    <row r="1866" spans="1:9" x14ac:dyDescent="0.25">
      <c r="A1866" t="s">
        <v>2441</v>
      </c>
      <c r="B1866" t="s">
        <v>4302</v>
      </c>
      <c r="C1866" s="167">
        <v>220.55</v>
      </c>
      <c r="D1866" t="s">
        <v>21</v>
      </c>
      <c r="E1866" t="s">
        <v>1703</v>
      </c>
      <c r="F1866" t="s">
        <v>7344</v>
      </c>
      <c r="G1866" t="s">
        <v>7354</v>
      </c>
      <c r="I1866" t="s">
        <v>2809</v>
      </c>
    </row>
    <row r="1867" spans="1:9" x14ac:dyDescent="0.25">
      <c r="A1867" t="s">
        <v>2444</v>
      </c>
      <c r="B1867" t="s">
        <v>4305</v>
      </c>
      <c r="C1867" s="167">
        <v>220.55</v>
      </c>
      <c r="D1867" t="s">
        <v>563</v>
      </c>
      <c r="E1867" t="s">
        <v>1703</v>
      </c>
      <c r="F1867" t="s">
        <v>7344</v>
      </c>
      <c r="G1867" t="s">
        <v>7354</v>
      </c>
      <c r="I1867" t="s">
        <v>2809</v>
      </c>
    </row>
    <row r="1868" spans="1:9" x14ac:dyDescent="0.25">
      <c r="A1868" t="s">
        <v>2447</v>
      </c>
      <c r="B1868" t="s">
        <v>4308</v>
      </c>
      <c r="C1868" s="167">
        <v>220.55</v>
      </c>
      <c r="D1868" t="s">
        <v>671</v>
      </c>
      <c r="E1868" t="s">
        <v>1703</v>
      </c>
      <c r="F1868" t="s">
        <v>7344</v>
      </c>
      <c r="G1868" t="s">
        <v>7354</v>
      </c>
      <c r="I1868" t="s">
        <v>2809</v>
      </c>
    </row>
    <row r="1869" spans="1:9" x14ac:dyDescent="0.25">
      <c r="A1869" t="s">
        <v>2448</v>
      </c>
      <c r="B1869" t="s">
        <v>4309</v>
      </c>
      <c r="C1869" s="167">
        <v>247</v>
      </c>
      <c r="D1869" t="s">
        <v>21</v>
      </c>
      <c r="E1869" t="s">
        <v>1701</v>
      </c>
      <c r="F1869" t="s">
        <v>7343</v>
      </c>
      <c r="G1869" t="s">
        <v>7354</v>
      </c>
      <c r="I1869" t="s">
        <v>2809</v>
      </c>
    </row>
    <row r="1870" spans="1:9" x14ac:dyDescent="0.25">
      <c r="A1870" t="s">
        <v>2451</v>
      </c>
      <c r="B1870" t="s">
        <v>4312</v>
      </c>
      <c r="C1870" s="167">
        <v>247</v>
      </c>
      <c r="D1870" t="s">
        <v>563</v>
      </c>
      <c r="E1870" t="s">
        <v>1701</v>
      </c>
      <c r="F1870" t="s">
        <v>7343</v>
      </c>
      <c r="G1870" t="s">
        <v>7354</v>
      </c>
      <c r="I1870" t="s">
        <v>2809</v>
      </c>
    </row>
    <row r="1871" spans="1:9" x14ac:dyDescent="0.25">
      <c r="A1871" t="s">
        <v>2454</v>
      </c>
      <c r="B1871" t="s">
        <v>4315</v>
      </c>
      <c r="C1871" s="167">
        <v>247</v>
      </c>
      <c r="D1871" t="s">
        <v>671</v>
      </c>
      <c r="E1871" t="s">
        <v>1701</v>
      </c>
      <c r="F1871" t="s">
        <v>7343</v>
      </c>
      <c r="G1871" t="s">
        <v>7354</v>
      </c>
      <c r="I1871" t="s">
        <v>2809</v>
      </c>
    </row>
    <row r="1872" spans="1:9" x14ac:dyDescent="0.25">
      <c r="A1872" t="s">
        <v>2449</v>
      </c>
      <c r="B1872" t="s">
        <v>4310</v>
      </c>
      <c r="C1872" s="167">
        <v>247</v>
      </c>
      <c r="D1872" t="s">
        <v>21</v>
      </c>
      <c r="E1872" t="s">
        <v>1699</v>
      </c>
      <c r="F1872" t="s">
        <v>7343</v>
      </c>
      <c r="G1872" t="s">
        <v>7354</v>
      </c>
      <c r="I1872" t="s">
        <v>2809</v>
      </c>
    </row>
    <row r="1873" spans="1:9" x14ac:dyDescent="0.25">
      <c r="A1873" t="s">
        <v>2452</v>
      </c>
      <c r="B1873" t="s">
        <v>4313</v>
      </c>
      <c r="C1873" s="167">
        <v>247</v>
      </c>
      <c r="D1873" t="s">
        <v>563</v>
      </c>
      <c r="E1873" t="s">
        <v>1699</v>
      </c>
      <c r="F1873" t="s">
        <v>7343</v>
      </c>
      <c r="G1873" t="s">
        <v>7354</v>
      </c>
      <c r="I1873" t="s">
        <v>2809</v>
      </c>
    </row>
    <row r="1874" spans="1:9" x14ac:dyDescent="0.25">
      <c r="A1874" t="s">
        <v>2455</v>
      </c>
      <c r="B1874" t="s">
        <v>4316</v>
      </c>
      <c r="C1874" s="167">
        <v>247</v>
      </c>
      <c r="D1874" t="s">
        <v>671</v>
      </c>
      <c r="E1874" t="s">
        <v>1699</v>
      </c>
      <c r="F1874" t="s">
        <v>7343</v>
      </c>
      <c r="G1874" t="s">
        <v>7354</v>
      </c>
      <c r="I1874" t="s">
        <v>2809</v>
      </c>
    </row>
    <row r="1875" spans="1:9" x14ac:dyDescent="0.25">
      <c r="A1875" t="s">
        <v>2450</v>
      </c>
      <c r="B1875" t="s">
        <v>4311</v>
      </c>
      <c r="C1875" s="167">
        <v>247</v>
      </c>
      <c r="D1875" t="s">
        <v>21</v>
      </c>
      <c r="E1875" t="s">
        <v>1703</v>
      </c>
      <c r="F1875" t="s">
        <v>7343</v>
      </c>
      <c r="G1875" t="s">
        <v>7354</v>
      </c>
      <c r="I1875" t="s">
        <v>2809</v>
      </c>
    </row>
    <row r="1876" spans="1:9" x14ac:dyDescent="0.25">
      <c r="A1876" t="s">
        <v>2453</v>
      </c>
      <c r="B1876" t="s">
        <v>4314</v>
      </c>
      <c r="C1876" s="167">
        <v>247</v>
      </c>
      <c r="D1876" t="s">
        <v>563</v>
      </c>
      <c r="E1876" t="s">
        <v>1703</v>
      </c>
      <c r="F1876" t="s">
        <v>7343</v>
      </c>
      <c r="G1876" t="s">
        <v>7354</v>
      </c>
      <c r="I1876" t="s">
        <v>2809</v>
      </c>
    </row>
    <row r="1877" spans="1:9" x14ac:dyDescent="0.25">
      <c r="A1877" t="s">
        <v>2456</v>
      </c>
      <c r="B1877" t="s">
        <v>4317</v>
      </c>
      <c r="C1877" s="167">
        <v>247</v>
      </c>
      <c r="D1877" t="s">
        <v>671</v>
      </c>
      <c r="E1877" t="s">
        <v>1703</v>
      </c>
      <c r="F1877" t="s">
        <v>7343</v>
      </c>
      <c r="G1877" t="s">
        <v>7354</v>
      </c>
      <c r="I1877" t="s">
        <v>2809</v>
      </c>
    </row>
    <row r="1878" spans="1:9" x14ac:dyDescent="0.25">
      <c r="A1878" t="s">
        <v>2457</v>
      </c>
      <c r="B1878" t="s">
        <v>4318</v>
      </c>
      <c r="C1878" s="167">
        <v>180.89</v>
      </c>
      <c r="D1878" t="s">
        <v>21</v>
      </c>
      <c r="E1878" t="s">
        <v>1701</v>
      </c>
      <c r="F1878" t="s">
        <v>7339</v>
      </c>
      <c r="G1878" t="s">
        <v>7354</v>
      </c>
      <c r="I1878" t="s">
        <v>2809</v>
      </c>
    </row>
    <row r="1879" spans="1:9" x14ac:dyDescent="0.25">
      <c r="A1879" t="s">
        <v>2460</v>
      </c>
      <c r="B1879" t="s">
        <v>4321</v>
      </c>
      <c r="C1879" s="167">
        <v>180.89</v>
      </c>
      <c r="D1879" t="s">
        <v>563</v>
      </c>
      <c r="E1879" t="s">
        <v>1701</v>
      </c>
      <c r="F1879" t="s">
        <v>7339</v>
      </c>
      <c r="G1879" t="s">
        <v>7354</v>
      </c>
      <c r="I1879" t="s">
        <v>2809</v>
      </c>
    </row>
    <row r="1880" spans="1:9" x14ac:dyDescent="0.25">
      <c r="A1880" t="s">
        <v>2463</v>
      </c>
      <c r="B1880" t="s">
        <v>4324</v>
      </c>
      <c r="C1880" s="167">
        <v>180.89</v>
      </c>
      <c r="D1880" t="s">
        <v>671</v>
      </c>
      <c r="E1880" t="s">
        <v>1701</v>
      </c>
      <c r="F1880" t="s">
        <v>7339</v>
      </c>
      <c r="G1880" t="s">
        <v>7354</v>
      </c>
      <c r="I1880" t="s">
        <v>2809</v>
      </c>
    </row>
    <row r="1881" spans="1:9" x14ac:dyDescent="0.25">
      <c r="A1881" t="s">
        <v>2458</v>
      </c>
      <c r="B1881" t="s">
        <v>4319</v>
      </c>
      <c r="C1881" s="167">
        <v>180.89</v>
      </c>
      <c r="D1881" t="s">
        <v>21</v>
      </c>
      <c r="E1881" t="s">
        <v>1699</v>
      </c>
      <c r="F1881" t="s">
        <v>7339</v>
      </c>
      <c r="G1881" t="s">
        <v>7354</v>
      </c>
      <c r="I1881" t="s">
        <v>2809</v>
      </c>
    </row>
    <row r="1882" spans="1:9" x14ac:dyDescent="0.25">
      <c r="A1882" t="s">
        <v>2461</v>
      </c>
      <c r="B1882" t="s">
        <v>4322</v>
      </c>
      <c r="C1882" s="167">
        <v>180.89</v>
      </c>
      <c r="D1882" t="s">
        <v>563</v>
      </c>
      <c r="E1882" t="s">
        <v>1699</v>
      </c>
      <c r="F1882" t="s">
        <v>7339</v>
      </c>
      <c r="G1882" t="s">
        <v>7354</v>
      </c>
      <c r="I1882" t="s">
        <v>2809</v>
      </c>
    </row>
    <row r="1883" spans="1:9" x14ac:dyDescent="0.25">
      <c r="A1883" t="s">
        <v>2464</v>
      </c>
      <c r="B1883" t="s">
        <v>4325</v>
      </c>
      <c r="C1883" s="167">
        <v>180.89</v>
      </c>
      <c r="D1883" t="s">
        <v>671</v>
      </c>
      <c r="E1883" t="s">
        <v>1699</v>
      </c>
      <c r="F1883" t="s">
        <v>7339</v>
      </c>
      <c r="G1883" t="s">
        <v>7354</v>
      </c>
      <c r="I1883" t="s">
        <v>2809</v>
      </c>
    </row>
    <row r="1884" spans="1:9" x14ac:dyDescent="0.25">
      <c r="A1884" t="s">
        <v>2459</v>
      </c>
      <c r="B1884" t="s">
        <v>4320</v>
      </c>
      <c r="C1884" s="167">
        <v>180.89</v>
      </c>
      <c r="D1884" t="s">
        <v>21</v>
      </c>
      <c r="E1884" t="s">
        <v>1703</v>
      </c>
      <c r="F1884" t="s">
        <v>7339</v>
      </c>
      <c r="G1884" t="s">
        <v>7354</v>
      </c>
      <c r="I1884" t="s">
        <v>2809</v>
      </c>
    </row>
    <row r="1885" spans="1:9" x14ac:dyDescent="0.25">
      <c r="A1885" t="s">
        <v>2462</v>
      </c>
      <c r="B1885" t="s">
        <v>4323</v>
      </c>
      <c r="C1885" s="167">
        <v>180.89</v>
      </c>
      <c r="D1885" t="s">
        <v>563</v>
      </c>
      <c r="E1885" t="s">
        <v>1703</v>
      </c>
      <c r="F1885" t="s">
        <v>7339</v>
      </c>
      <c r="G1885" t="s">
        <v>7354</v>
      </c>
      <c r="I1885" t="s">
        <v>2809</v>
      </c>
    </row>
    <row r="1886" spans="1:9" x14ac:dyDescent="0.25">
      <c r="A1886" t="s">
        <v>2465</v>
      </c>
      <c r="B1886" t="s">
        <v>4326</v>
      </c>
      <c r="C1886" s="167">
        <v>180.89</v>
      </c>
      <c r="D1886" t="s">
        <v>671</v>
      </c>
      <c r="E1886" t="s">
        <v>1703</v>
      </c>
      <c r="F1886" t="s">
        <v>7339</v>
      </c>
      <c r="G1886" t="s">
        <v>7354</v>
      </c>
      <c r="I1886" t="s">
        <v>2809</v>
      </c>
    </row>
    <row r="1887" spans="1:9" x14ac:dyDescent="0.25">
      <c r="A1887" t="s">
        <v>2466</v>
      </c>
      <c r="B1887" t="s">
        <v>4327</v>
      </c>
      <c r="C1887" s="167">
        <v>200.73</v>
      </c>
      <c r="D1887" t="s">
        <v>21</v>
      </c>
      <c r="E1887" t="s">
        <v>1701</v>
      </c>
      <c r="F1887" t="s">
        <v>7341</v>
      </c>
      <c r="G1887" t="s">
        <v>7354</v>
      </c>
      <c r="I1887" t="s">
        <v>2809</v>
      </c>
    </row>
    <row r="1888" spans="1:9" x14ac:dyDescent="0.25">
      <c r="A1888" t="s">
        <v>2469</v>
      </c>
      <c r="B1888" t="s">
        <v>4330</v>
      </c>
      <c r="C1888" s="167">
        <v>200.73</v>
      </c>
      <c r="D1888" t="s">
        <v>563</v>
      </c>
      <c r="E1888" t="s">
        <v>1701</v>
      </c>
      <c r="F1888" t="s">
        <v>7341</v>
      </c>
      <c r="G1888" t="s">
        <v>7354</v>
      </c>
      <c r="I1888" t="s">
        <v>2809</v>
      </c>
    </row>
    <row r="1889" spans="1:9" x14ac:dyDescent="0.25">
      <c r="A1889" t="s">
        <v>2472</v>
      </c>
      <c r="B1889" t="s">
        <v>4333</v>
      </c>
      <c r="C1889" s="167">
        <v>200.73</v>
      </c>
      <c r="D1889" t="s">
        <v>671</v>
      </c>
      <c r="E1889" t="s">
        <v>1701</v>
      </c>
      <c r="F1889" t="s">
        <v>7341</v>
      </c>
      <c r="G1889" t="s">
        <v>7354</v>
      </c>
      <c r="I1889" t="s">
        <v>2809</v>
      </c>
    </row>
    <row r="1890" spans="1:9" x14ac:dyDescent="0.25">
      <c r="A1890" t="s">
        <v>2467</v>
      </c>
      <c r="B1890" t="s">
        <v>4328</v>
      </c>
      <c r="C1890" s="167">
        <v>200.73</v>
      </c>
      <c r="D1890" t="s">
        <v>21</v>
      </c>
      <c r="E1890" t="s">
        <v>1699</v>
      </c>
      <c r="F1890" t="s">
        <v>7341</v>
      </c>
      <c r="G1890" t="s">
        <v>7354</v>
      </c>
      <c r="I1890" t="s">
        <v>2809</v>
      </c>
    </row>
    <row r="1891" spans="1:9" x14ac:dyDescent="0.25">
      <c r="A1891" t="s">
        <v>2470</v>
      </c>
      <c r="B1891" t="s">
        <v>4331</v>
      </c>
      <c r="C1891" s="167">
        <v>200.73</v>
      </c>
      <c r="D1891" t="s">
        <v>563</v>
      </c>
      <c r="E1891" t="s">
        <v>1699</v>
      </c>
      <c r="F1891" t="s">
        <v>7341</v>
      </c>
      <c r="G1891" t="s">
        <v>7354</v>
      </c>
      <c r="I1891" t="s">
        <v>2809</v>
      </c>
    </row>
    <row r="1892" spans="1:9" x14ac:dyDescent="0.25">
      <c r="A1892" t="s">
        <v>2473</v>
      </c>
      <c r="B1892" t="s">
        <v>4334</v>
      </c>
      <c r="C1892" s="167">
        <v>200.73</v>
      </c>
      <c r="D1892" t="s">
        <v>671</v>
      </c>
      <c r="E1892" t="s">
        <v>1699</v>
      </c>
      <c r="F1892" t="s">
        <v>7341</v>
      </c>
      <c r="G1892" t="s">
        <v>7354</v>
      </c>
      <c r="I1892" t="s">
        <v>2809</v>
      </c>
    </row>
    <row r="1893" spans="1:9" x14ac:dyDescent="0.25">
      <c r="A1893" t="s">
        <v>2468</v>
      </c>
      <c r="B1893" t="s">
        <v>4329</v>
      </c>
      <c r="C1893" s="167">
        <v>200.73</v>
      </c>
      <c r="D1893" t="s">
        <v>21</v>
      </c>
      <c r="E1893" t="s">
        <v>1703</v>
      </c>
      <c r="F1893" t="s">
        <v>7341</v>
      </c>
      <c r="G1893" t="s">
        <v>7354</v>
      </c>
      <c r="I1893" t="s">
        <v>2809</v>
      </c>
    </row>
    <row r="1894" spans="1:9" x14ac:dyDescent="0.25">
      <c r="A1894" t="s">
        <v>2471</v>
      </c>
      <c r="B1894" t="s">
        <v>4332</v>
      </c>
      <c r="C1894" s="167">
        <v>200.73</v>
      </c>
      <c r="D1894" t="s">
        <v>563</v>
      </c>
      <c r="E1894" t="s">
        <v>1703</v>
      </c>
      <c r="F1894" t="s">
        <v>7341</v>
      </c>
      <c r="G1894" t="s">
        <v>7354</v>
      </c>
      <c r="I1894" t="s">
        <v>2809</v>
      </c>
    </row>
    <row r="1895" spans="1:9" x14ac:dyDescent="0.25">
      <c r="A1895" t="s">
        <v>2474</v>
      </c>
      <c r="B1895" t="s">
        <v>4335</v>
      </c>
      <c r="C1895" s="167">
        <v>200.73</v>
      </c>
      <c r="D1895" t="s">
        <v>671</v>
      </c>
      <c r="E1895" t="s">
        <v>1703</v>
      </c>
      <c r="F1895" t="s">
        <v>7341</v>
      </c>
      <c r="G1895" t="s">
        <v>7354</v>
      </c>
      <c r="I1895" t="s">
        <v>2809</v>
      </c>
    </row>
    <row r="1896" spans="1:9" x14ac:dyDescent="0.25">
      <c r="A1896" t="s">
        <v>2475</v>
      </c>
      <c r="B1896" t="s">
        <v>4336</v>
      </c>
      <c r="C1896" s="167">
        <v>220.55</v>
      </c>
      <c r="D1896" t="s">
        <v>21</v>
      </c>
      <c r="E1896" t="s">
        <v>1701</v>
      </c>
      <c r="F1896" t="s">
        <v>7344</v>
      </c>
      <c r="G1896" t="s">
        <v>7354</v>
      </c>
      <c r="I1896" t="s">
        <v>2809</v>
      </c>
    </row>
    <row r="1897" spans="1:9" x14ac:dyDescent="0.25">
      <c r="A1897" t="s">
        <v>2478</v>
      </c>
      <c r="B1897" t="s">
        <v>4339</v>
      </c>
      <c r="C1897" s="167">
        <v>220.55</v>
      </c>
      <c r="D1897" t="s">
        <v>563</v>
      </c>
      <c r="E1897" t="s">
        <v>1701</v>
      </c>
      <c r="F1897" t="s">
        <v>7344</v>
      </c>
      <c r="G1897" t="s">
        <v>7354</v>
      </c>
      <c r="I1897" t="s">
        <v>2809</v>
      </c>
    </row>
    <row r="1898" spans="1:9" x14ac:dyDescent="0.25">
      <c r="A1898" t="s">
        <v>2481</v>
      </c>
      <c r="B1898" t="s">
        <v>4342</v>
      </c>
      <c r="C1898" s="167">
        <v>220.55</v>
      </c>
      <c r="D1898" t="s">
        <v>671</v>
      </c>
      <c r="E1898" t="s">
        <v>1701</v>
      </c>
      <c r="F1898" t="s">
        <v>7344</v>
      </c>
      <c r="G1898" t="s">
        <v>7354</v>
      </c>
      <c r="I1898" t="s">
        <v>2809</v>
      </c>
    </row>
    <row r="1899" spans="1:9" x14ac:dyDescent="0.25">
      <c r="A1899" t="s">
        <v>2476</v>
      </c>
      <c r="B1899" t="s">
        <v>4337</v>
      </c>
      <c r="C1899" s="167">
        <v>220.55</v>
      </c>
      <c r="D1899" t="s">
        <v>21</v>
      </c>
      <c r="E1899" t="s">
        <v>1699</v>
      </c>
      <c r="F1899" t="s">
        <v>7344</v>
      </c>
      <c r="G1899" t="s">
        <v>7354</v>
      </c>
      <c r="I1899" t="s">
        <v>2809</v>
      </c>
    </row>
    <row r="1900" spans="1:9" x14ac:dyDescent="0.25">
      <c r="A1900" t="s">
        <v>2479</v>
      </c>
      <c r="B1900" t="s">
        <v>4340</v>
      </c>
      <c r="C1900" s="167">
        <v>220.55</v>
      </c>
      <c r="D1900" t="s">
        <v>563</v>
      </c>
      <c r="E1900" t="s">
        <v>1699</v>
      </c>
      <c r="F1900" t="s">
        <v>7344</v>
      </c>
      <c r="G1900" t="s">
        <v>7354</v>
      </c>
      <c r="I1900" t="s">
        <v>2809</v>
      </c>
    </row>
    <row r="1901" spans="1:9" x14ac:dyDescent="0.25">
      <c r="A1901" t="s">
        <v>2482</v>
      </c>
      <c r="B1901" t="s">
        <v>4343</v>
      </c>
      <c r="C1901" s="167">
        <v>220.55</v>
      </c>
      <c r="D1901" t="s">
        <v>671</v>
      </c>
      <c r="E1901" t="s">
        <v>1699</v>
      </c>
      <c r="F1901" t="s">
        <v>7344</v>
      </c>
      <c r="G1901" t="s">
        <v>7354</v>
      </c>
      <c r="I1901" t="s">
        <v>2809</v>
      </c>
    </row>
    <row r="1902" spans="1:9" x14ac:dyDescent="0.25">
      <c r="A1902" t="s">
        <v>2477</v>
      </c>
      <c r="B1902" t="s">
        <v>4338</v>
      </c>
      <c r="C1902" s="167">
        <v>220.55</v>
      </c>
      <c r="D1902" t="s">
        <v>21</v>
      </c>
      <c r="E1902" t="s">
        <v>1703</v>
      </c>
      <c r="F1902" t="s">
        <v>7344</v>
      </c>
      <c r="G1902" t="s">
        <v>7354</v>
      </c>
      <c r="I1902" t="s">
        <v>2809</v>
      </c>
    </row>
    <row r="1903" spans="1:9" x14ac:dyDescent="0.25">
      <c r="A1903" t="s">
        <v>2480</v>
      </c>
      <c r="B1903" t="s">
        <v>4341</v>
      </c>
      <c r="C1903" s="167">
        <v>220.55</v>
      </c>
      <c r="D1903" t="s">
        <v>563</v>
      </c>
      <c r="E1903" t="s">
        <v>1703</v>
      </c>
      <c r="F1903" t="s">
        <v>7344</v>
      </c>
      <c r="G1903" t="s">
        <v>7354</v>
      </c>
      <c r="I1903" t="s">
        <v>2809</v>
      </c>
    </row>
    <row r="1904" spans="1:9" x14ac:dyDescent="0.25">
      <c r="A1904" t="s">
        <v>2483</v>
      </c>
      <c r="B1904" t="s">
        <v>4344</v>
      </c>
      <c r="C1904" s="167">
        <v>220.55</v>
      </c>
      <c r="D1904" t="s">
        <v>671</v>
      </c>
      <c r="E1904" t="s">
        <v>1703</v>
      </c>
      <c r="F1904" t="s">
        <v>7344</v>
      </c>
      <c r="G1904" t="s">
        <v>7354</v>
      </c>
      <c r="I1904" t="s">
        <v>2809</v>
      </c>
    </row>
    <row r="1905" spans="1:9" x14ac:dyDescent="0.25">
      <c r="A1905" t="s">
        <v>2484</v>
      </c>
      <c r="B1905" t="s">
        <v>4345</v>
      </c>
      <c r="C1905" s="167">
        <v>247</v>
      </c>
      <c r="D1905" t="s">
        <v>21</v>
      </c>
      <c r="E1905" t="s">
        <v>1701</v>
      </c>
      <c r="F1905" t="s">
        <v>7343</v>
      </c>
      <c r="G1905" t="s">
        <v>7354</v>
      </c>
      <c r="I1905" t="s">
        <v>2809</v>
      </c>
    </row>
    <row r="1906" spans="1:9" x14ac:dyDescent="0.25">
      <c r="A1906" t="s">
        <v>2487</v>
      </c>
      <c r="B1906" t="s">
        <v>4348</v>
      </c>
      <c r="C1906" s="167">
        <v>247</v>
      </c>
      <c r="D1906" t="s">
        <v>563</v>
      </c>
      <c r="E1906" t="s">
        <v>1701</v>
      </c>
      <c r="F1906" t="s">
        <v>7343</v>
      </c>
      <c r="G1906" t="s">
        <v>7354</v>
      </c>
      <c r="I1906" t="s">
        <v>2809</v>
      </c>
    </row>
    <row r="1907" spans="1:9" x14ac:dyDescent="0.25">
      <c r="A1907" t="s">
        <v>2490</v>
      </c>
      <c r="B1907" t="s">
        <v>4351</v>
      </c>
      <c r="C1907" s="167">
        <v>247</v>
      </c>
      <c r="D1907" t="s">
        <v>671</v>
      </c>
      <c r="E1907" t="s">
        <v>1701</v>
      </c>
      <c r="F1907" t="s">
        <v>7343</v>
      </c>
      <c r="G1907" t="s">
        <v>7354</v>
      </c>
      <c r="I1907" t="s">
        <v>2809</v>
      </c>
    </row>
    <row r="1908" spans="1:9" x14ac:dyDescent="0.25">
      <c r="A1908" t="s">
        <v>2485</v>
      </c>
      <c r="B1908" t="s">
        <v>4346</v>
      </c>
      <c r="C1908" s="167">
        <v>247</v>
      </c>
      <c r="D1908" t="s">
        <v>21</v>
      </c>
      <c r="E1908" t="s">
        <v>1699</v>
      </c>
      <c r="F1908" t="s">
        <v>7343</v>
      </c>
      <c r="G1908" t="s">
        <v>7354</v>
      </c>
      <c r="I1908" t="s">
        <v>2809</v>
      </c>
    </row>
    <row r="1909" spans="1:9" x14ac:dyDescent="0.25">
      <c r="A1909" t="s">
        <v>2488</v>
      </c>
      <c r="B1909" t="s">
        <v>4349</v>
      </c>
      <c r="C1909" s="167">
        <v>247</v>
      </c>
      <c r="D1909" t="s">
        <v>563</v>
      </c>
      <c r="E1909" t="s">
        <v>1699</v>
      </c>
      <c r="F1909" t="s">
        <v>7343</v>
      </c>
      <c r="G1909" t="s">
        <v>7354</v>
      </c>
      <c r="I1909" t="s">
        <v>2809</v>
      </c>
    </row>
    <row r="1910" spans="1:9" x14ac:dyDescent="0.25">
      <c r="A1910" t="s">
        <v>2491</v>
      </c>
      <c r="B1910" t="s">
        <v>4352</v>
      </c>
      <c r="C1910" s="167">
        <v>247</v>
      </c>
      <c r="D1910" t="s">
        <v>671</v>
      </c>
      <c r="E1910" t="s">
        <v>1699</v>
      </c>
      <c r="F1910" t="s">
        <v>7343</v>
      </c>
      <c r="G1910" t="s">
        <v>7354</v>
      </c>
      <c r="I1910" t="s">
        <v>2809</v>
      </c>
    </row>
    <row r="1911" spans="1:9" x14ac:dyDescent="0.25">
      <c r="A1911" t="s">
        <v>2486</v>
      </c>
      <c r="B1911" t="s">
        <v>4347</v>
      </c>
      <c r="C1911" s="167">
        <v>247</v>
      </c>
      <c r="D1911" t="s">
        <v>21</v>
      </c>
      <c r="E1911" t="s">
        <v>1703</v>
      </c>
      <c r="F1911" t="s">
        <v>7343</v>
      </c>
      <c r="G1911" t="s">
        <v>7354</v>
      </c>
      <c r="I1911" t="s">
        <v>2809</v>
      </c>
    </row>
    <row r="1912" spans="1:9" x14ac:dyDescent="0.25">
      <c r="A1912" t="s">
        <v>2489</v>
      </c>
      <c r="B1912" t="s">
        <v>4350</v>
      </c>
      <c r="C1912" s="167">
        <v>247</v>
      </c>
      <c r="D1912" t="s">
        <v>563</v>
      </c>
      <c r="E1912" t="s">
        <v>1703</v>
      </c>
      <c r="F1912" t="s">
        <v>7343</v>
      </c>
      <c r="G1912" t="s">
        <v>7354</v>
      </c>
      <c r="I1912" t="s">
        <v>2809</v>
      </c>
    </row>
    <row r="1913" spans="1:9" x14ac:dyDescent="0.25">
      <c r="A1913" t="s">
        <v>2492</v>
      </c>
      <c r="B1913" t="s">
        <v>4353</v>
      </c>
      <c r="C1913" s="167">
        <v>247</v>
      </c>
      <c r="D1913" t="s">
        <v>671</v>
      </c>
      <c r="E1913" t="s">
        <v>1703</v>
      </c>
      <c r="F1913" t="s">
        <v>7343</v>
      </c>
      <c r="G1913" t="s">
        <v>7354</v>
      </c>
      <c r="I1913" t="s">
        <v>2809</v>
      </c>
    </row>
    <row r="1914" spans="1:9" x14ac:dyDescent="0.25">
      <c r="A1914" t="s">
        <v>1395</v>
      </c>
      <c r="B1914" t="s">
        <v>3508</v>
      </c>
      <c r="C1914" s="167">
        <v>178.49</v>
      </c>
      <c r="D1914" t="s">
        <v>21</v>
      </c>
      <c r="E1914" t="s">
        <v>1701</v>
      </c>
      <c r="F1914" t="s">
        <v>7339</v>
      </c>
      <c r="G1914" t="s">
        <v>7354</v>
      </c>
      <c r="I1914" t="s">
        <v>2809</v>
      </c>
    </row>
    <row r="1915" spans="1:9" x14ac:dyDescent="0.25">
      <c r="A1915" t="s">
        <v>1398</v>
      </c>
      <c r="B1915" t="s">
        <v>3511</v>
      </c>
      <c r="C1915" s="167">
        <v>178.49</v>
      </c>
      <c r="D1915" t="s">
        <v>563</v>
      </c>
      <c r="E1915" t="s">
        <v>1701</v>
      </c>
      <c r="F1915" t="s">
        <v>7339</v>
      </c>
      <c r="G1915" t="s">
        <v>7354</v>
      </c>
      <c r="I1915" t="s">
        <v>2809</v>
      </c>
    </row>
    <row r="1916" spans="1:9" x14ac:dyDescent="0.25">
      <c r="A1916" t="s">
        <v>1401</v>
      </c>
      <c r="B1916" t="s">
        <v>3514</v>
      </c>
      <c r="C1916" s="167">
        <v>178.49</v>
      </c>
      <c r="D1916" t="s">
        <v>671</v>
      </c>
      <c r="E1916" t="s">
        <v>1701</v>
      </c>
      <c r="F1916" t="s">
        <v>7339</v>
      </c>
      <c r="G1916" t="s">
        <v>7354</v>
      </c>
      <c r="I1916" t="s">
        <v>2809</v>
      </c>
    </row>
    <row r="1917" spans="1:9" x14ac:dyDescent="0.25">
      <c r="A1917" t="s">
        <v>1396</v>
      </c>
      <c r="B1917" t="s">
        <v>3509</v>
      </c>
      <c r="C1917" s="167">
        <v>178.49</v>
      </c>
      <c r="D1917" t="s">
        <v>21</v>
      </c>
      <c r="E1917" t="s">
        <v>1699</v>
      </c>
      <c r="F1917" t="s">
        <v>7339</v>
      </c>
      <c r="G1917" t="s">
        <v>7354</v>
      </c>
      <c r="I1917" t="s">
        <v>2809</v>
      </c>
    </row>
    <row r="1918" spans="1:9" x14ac:dyDescent="0.25">
      <c r="A1918" t="s">
        <v>1399</v>
      </c>
      <c r="B1918" t="s">
        <v>3512</v>
      </c>
      <c r="C1918" s="167">
        <v>178.49</v>
      </c>
      <c r="D1918" t="s">
        <v>563</v>
      </c>
      <c r="E1918" t="s">
        <v>1699</v>
      </c>
      <c r="F1918" t="s">
        <v>7339</v>
      </c>
      <c r="G1918" t="s">
        <v>7354</v>
      </c>
      <c r="I1918" t="s">
        <v>2809</v>
      </c>
    </row>
    <row r="1919" spans="1:9" x14ac:dyDescent="0.25">
      <c r="A1919" t="s">
        <v>1402</v>
      </c>
      <c r="B1919" t="s">
        <v>3515</v>
      </c>
      <c r="C1919" s="167">
        <v>178.49</v>
      </c>
      <c r="D1919" t="s">
        <v>671</v>
      </c>
      <c r="E1919" t="s">
        <v>1699</v>
      </c>
      <c r="F1919" t="s">
        <v>7339</v>
      </c>
      <c r="G1919" t="s">
        <v>7354</v>
      </c>
      <c r="I1919" t="s">
        <v>2809</v>
      </c>
    </row>
    <row r="1920" spans="1:9" x14ac:dyDescent="0.25">
      <c r="A1920" t="s">
        <v>1397</v>
      </c>
      <c r="B1920" t="s">
        <v>3510</v>
      </c>
      <c r="C1920" s="167">
        <v>178.49</v>
      </c>
      <c r="D1920" t="s">
        <v>21</v>
      </c>
      <c r="E1920" t="s">
        <v>1703</v>
      </c>
      <c r="F1920" t="s">
        <v>7339</v>
      </c>
      <c r="G1920" t="s">
        <v>7354</v>
      </c>
      <c r="I1920" t="s">
        <v>2809</v>
      </c>
    </row>
    <row r="1921" spans="1:9" x14ac:dyDescent="0.25">
      <c r="A1921" t="s">
        <v>1400</v>
      </c>
      <c r="B1921" t="s">
        <v>3513</v>
      </c>
      <c r="C1921" s="167">
        <v>178.49</v>
      </c>
      <c r="D1921" t="s">
        <v>563</v>
      </c>
      <c r="E1921" t="s">
        <v>1703</v>
      </c>
      <c r="F1921" t="s">
        <v>7339</v>
      </c>
      <c r="G1921" t="s">
        <v>7354</v>
      </c>
      <c r="I1921" t="s">
        <v>2809</v>
      </c>
    </row>
    <row r="1922" spans="1:9" x14ac:dyDescent="0.25">
      <c r="A1922" t="s">
        <v>1403</v>
      </c>
      <c r="B1922" t="s">
        <v>3516</v>
      </c>
      <c r="C1922" s="167">
        <v>178.49</v>
      </c>
      <c r="D1922" t="s">
        <v>671</v>
      </c>
      <c r="E1922" t="s">
        <v>1703</v>
      </c>
      <c r="F1922" t="s">
        <v>7339</v>
      </c>
      <c r="G1922" t="s">
        <v>7354</v>
      </c>
      <c r="I1922" t="s">
        <v>2809</v>
      </c>
    </row>
    <row r="1923" spans="1:9" x14ac:dyDescent="0.25">
      <c r="A1923" t="s">
        <v>1404</v>
      </c>
      <c r="B1923" t="s">
        <v>3517</v>
      </c>
      <c r="C1923" s="167">
        <v>231.38</v>
      </c>
      <c r="D1923" t="s">
        <v>21</v>
      </c>
      <c r="E1923" t="s">
        <v>1701</v>
      </c>
      <c r="F1923" t="s">
        <v>7341</v>
      </c>
      <c r="G1923" t="s">
        <v>7354</v>
      </c>
      <c r="I1923" t="s">
        <v>2809</v>
      </c>
    </row>
    <row r="1924" spans="1:9" x14ac:dyDescent="0.25">
      <c r="A1924" t="s">
        <v>1407</v>
      </c>
      <c r="B1924" t="s">
        <v>3520</v>
      </c>
      <c r="C1924" s="167">
        <v>231.38</v>
      </c>
      <c r="D1924" t="s">
        <v>563</v>
      </c>
      <c r="E1924" t="s">
        <v>1701</v>
      </c>
      <c r="F1924" t="s">
        <v>7341</v>
      </c>
      <c r="G1924" t="s">
        <v>7354</v>
      </c>
      <c r="I1924" t="s">
        <v>2809</v>
      </c>
    </row>
    <row r="1925" spans="1:9" x14ac:dyDescent="0.25">
      <c r="A1925" t="s">
        <v>1410</v>
      </c>
      <c r="B1925" t="s">
        <v>3523</v>
      </c>
      <c r="C1925" s="167">
        <v>231.38</v>
      </c>
      <c r="D1925" t="s">
        <v>671</v>
      </c>
      <c r="E1925" t="s">
        <v>1701</v>
      </c>
      <c r="F1925" t="s">
        <v>7341</v>
      </c>
      <c r="G1925" t="s">
        <v>7354</v>
      </c>
      <c r="I1925" t="s">
        <v>2809</v>
      </c>
    </row>
    <row r="1926" spans="1:9" x14ac:dyDescent="0.25">
      <c r="A1926" t="s">
        <v>1405</v>
      </c>
      <c r="B1926" t="s">
        <v>3518</v>
      </c>
      <c r="C1926" s="167">
        <v>231.38</v>
      </c>
      <c r="D1926" t="s">
        <v>21</v>
      </c>
      <c r="E1926" t="s">
        <v>1699</v>
      </c>
      <c r="F1926" t="s">
        <v>7341</v>
      </c>
      <c r="G1926" t="s">
        <v>7354</v>
      </c>
      <c r="I1926" t="s">
        <v>2809</v>
      </c>
    </row>
    <row r="1927" spans="1:9" x14ac:dyDescent="0.25">
      <c r="A1927" t="s">
        <v>1408</v>
      </c>
      <c r="B1927" t="s">
        <v>3521</v>
      </c>
      <c r="C1927" s="167">
        <v>231.38</v>
      </c>
      <c r="D1927" t="s">
        <v>563</v>
      </c>
      <c r="E1927" t="s">
        <v>1699</v>
      </c>
      <c r="F1927" t="s">
        <v>7341</v>
      </c>
      <c r="G1927" t="s">
        <v>7354</v>
      </c>
      <c r="I1927" t="s">
        <v>2809</v>
      </c>
    </row>
    <row r="1928" spans="1:9" x14ac:dyDescent="0.25">
      <c r="A1928" t="s">
        <v>1411</v>
      </c>
      <c r="B1928" t="s">
        <v>3524</v>
      </c>
      <c r="C1928" s="167">
        <v>231.38</v>
      </c>
      <c r="D1928" t="s">
        <v>671</v>
      </c>
      <c r="E1928" t="s">
        <v>1699</v>
      </c>
      <c r="F1928" t="s">
        <v>7341</v>
      </c>
      <c r="G1928" t="s">
        <v>7354</v>
      </c>
      <c r="I1928" t="s">
        <v>2809</v>
      </c>
    </row>
    <row r="1929" spans="1:9" x14ac:dyDescent="0.25">
      <c r="A1929" t="s">
        <v>1406</v>
      </c>
      <c r="B1929" t="s">
        <v>3519</v>
      </c>
      <c r="C1929" s="167">
        <v>231.38</v>
      </c>
      <c r="D1929" t="s">
        <v>21</v>
      </c>
      <c r="E1929" t="s">
        <v>1703</v>
      </c>
      <c r="F1929" t="s">
        <v>7341</v>
      </c>
      <c r="G1929" t="s">
        <v>7354</v>
      </c>
      <c r="I1929" t="s">
        <v>2809</v>
      </c>
    </row>
    <row r="1930" spans="1:9" x14ac:dyDescent="0.25">
      <c r="A1930" t="s">
        <v>1409</v>
      </c>
      <c r="B1930" t="s">
        <v>3522</v>
      </c>
      <c r="C1930" s="167">
        <v>231.38</v>
      </c>
      <c r="D1930" t="s">
        <v>563</v>
      </c>
      <c r="E1930" t="s">
        <v>1703</v>
      </c>
      <c r="F1930" t="s">
        <v>7341</v>
      </c>
      <c r="G1930" t="s">
        <v>7354</v>
      </c>
      <c r="I1930" t="s">
        <v>2809</v>
      </c>
    </row>
    <row r="1931" spans="1:9" x14ac:dyDescent="0.25">
      <c r="A1931" t="s">
        <v>1412</v>
      </c>
      <c r="B1931" t="s">
        <v>3525</v>
      </c>
      <c r="C1931" s="167">
        <v>231.38</v>
      </c>
      <c r="D1931" t="s">
        <v>671</v>
      </c>
      <c r="E1931" t="s">
        <v>1703</v>
      </c>
      <c r="F1931" t="s">
        <v>7341</v>
      </c>
      <c r="G1931" t="s">
        <v>7354</v>
      </c>
      <c r="I1931" t="s">
        <v>2809</v>
      </c>
    </row>
    <row r="1932" spans="1:9" x14ac:dyDescent="0.25">
      <c r="A1932" t="s">
        <v>1413</v>
      </c>
      <c r="B1932" t="s">
        <v>3526</v>
      </c>
      <c r="C1932" s="167">
        <v>284.26</v>
      </c>
      <c r="D1932" t="s">
        <v>21</v>
      </c>
      <c r="E1932" t="s">
        <v>1701</v>
      </c>
      <c r="F1932" t="s">
        <v>7344</v>
      </c>
      <c r="G1932" t="s">
        <v>7354</v>
      </c>
      <c r="I1932" t="s">
        <v>2809</v>
      </c>
    </row>
    <row r="1933" spans="1:9" x14ac:dyDescent="0.25">
      <c r="A1933" t="s">
        <v>1416</v>
      </c>
      <c r="B1933" t="s">
        <v>3529</v>
      </c>
      <c r="C1933" s="167">
        <v>284.26</v>
      </c>
      <c r="D1933" t="s">
        <v>563</v>
      </c>
      <c r="E1933" t="s">
        <v>1701</v>
      </c>
      <c r="F1933" t="s">
        <v>7344</v>
      </c>
      <c r="G1933" t="s">
        <v>7354</v>
      </c>
      <c r="I1933" t="s">
        <v>2809</v>
      </c>
    </row>
    <row r="1934" spans="1:9" x14ac:dyDescent="0.25">
      <c r="A1934" t="s">
        <v>1419</v>
      </c>
      <c r="B1934" t="s">
        <v>3532</v>
      </c>
      <c r="C1934" s="167">
        <v>284.26</v>
      </c>
      <c r="D1934" t="s">
        <v>671</v>
      </c>
      <c r="E1934" t="s">
        <v>1701</v>
      </c>
      <c r="F1934" t="s">
        <v>7344</v>
      </c>
      <c r="G1934" t="s">
        <v>7354</v>
      </c>
      <c r="I1934" t="s">
        <v>2809</v>
      </c>
    </row>
    <row r="1935" spans="1:9" x14ac:dyDescent="0.25">
      <c r="A1935" t="s">
        <v>1414</v>
      </c>
      <c r="B1935" t="s">
        <v>3527</v>
      </c>
      <c r="C1935" s="167">
        <v>284.26</v>
      </c>
      <c r="D1935" t="s">
        <v>21</v>
      </c>
      <c r="E1935" t="s">
        <v>1699</v>
      </c>
      <c r="F1935" t="s">
        <v>7344</v>
      </c>
      <c r="G1935" t="s">
        <v>7354</v>
      </c>
      <c r="I1935" t="s">
        <v>2809</v>
      </c>
    </row>
    <row r="1936" spans="1:9" x14ac:dyDescent="0.25">
      <c r="A1936" t="s">
        <v>1417</v>
      </c>
      <c r="B1936" t="s">
        <v>3530</v>
      </c>
      <c r="C1936" s="167">
        <v>284.26</v>
      </c>
      <c r="D1936" t="s">
        <v>563</v>
      </c>
      <c r="E1936" t="s">
        <v>1699</v>
      </c>
      <c r="F1936" t="s">
        <v>7344</v>
      </c>
      <c r="G1936" t="s">
        <v>7354</v>
      </c>
      <c r="I1936" t="s">
        <v>2809</v>
      </c>
    </row>
    <row r="1937" spans="1:9" x14ac:dyDescent="0.25">
      <c r="A1937" t="s">
        <v>1420</v>
      </c>
      <c r="B1937" t="s">
        <v>3533</v>
      </c>
      <c r="C1937" s="167">
        <v>284.26</v>
      </c>
      <c r="D1937" t="s">
        <v>671</v>
      </c>
      <c r="E1937" t="s">
        <v>1699</v>
      </c>
      <c r="F1937" t="s">
        <v>7344</v>
      </c>
      <c r="G1937" t="s">
        <v>7354</v>
      </c>
      <c r="I1937" t="s">
        <v>2809</v>
      </c>
    </row>
    <row r="1938" spans="1:9" x14ac:dyDescent="0.25">
      <c r="A1938" t="s">
        <v>1415</v>
      </c>
      <c r="B1938" t="s">
        <v>3528</v>
      </c>
      <c r="C1938" s="167">
        <v>284.26</v>
      </c>
      <c r="D1938" t="s">
        <v>21</v>
      </c>
      <c r="E1938" t="s">
        <v>1703</v>
      </c>
      <c r="F1938" t="s">
        <v>7344</v>
      </c>
      <c r="G1938" t="s">
        <v>7354</v>
      </c>
      <c r="I1938" t="s">
        <v>2809</v>
      </c>
    </row>
    <row r="1939" spans="1:9" x14ac:dyDescent="0.25">
      <c r="A1939" t="s">
        <v>1418</v>
      </c>
      <c r="B1939" t="s">
        <v>3531</v>
      </c>
      <c r="C1939" s="167">
        <v>284.26</v>
      </c>
      <c r="D1939" t="s">
        <v>563</v>
      </c>
      <c r="E1939" t="s">
        <v>1703</v>
      </c>
      <c r="F1939" t="s">
        <v>7344</v>
      </c>
      <c r="G1939" t="s">
        <v>7354</v>
      </c>
      <c r="I1939" t="s">
        <v>2809</v>
      </c>
    </row>
    <row r="1940" spans="1:9" x14ac:dyDescent="0.25">
      <c r="A1940" t="s">
        <v>1421</v>
      </c>
      <c r="B1940" t="s">
        <v>3534</v>
      </c>
      <c r="C1940" s="167">
        <v>284.26</v>
      </c>
      <c r="D1940" t="s">
        <v>671</v>
      </c>
      <c r="E1940" t="s">
        <v>1703</v>
      </c>
      <c r="F1940" t="s">
        <v>7344</v>
      </c>
      <c r="G1940" t="s">
        <v>7354</v>
      </c>
      <c r="I1940" t="s">
        <v>2809</v>
      </c>
    </row>
    <row r="1941" spans="1:9" x14ac:dyDescent="0.25">
      <c r="A1941" t="s">
        <v>1422</v>
      </c>
      <c r="B1941" t="s">
        <v>3535</v>
      </c>
      <c r="C1941" s="167">
        <v>330.53</v>
      </c>
      <c r="D1941" t="s">
        <v>21</v>
      </c>
      <c r="E1941" t="s">
        <v>1701</v>
      </c>
      <c r="F1941" t="s">
        <v>7343</v>
      </c>
      <c r="G1941" t="s">
        <v>7354</v>
      </c>
      <c r="I1941" t="s">
        <v>2809</v>
      </c>
    </row>
    <row r="1942" spans="1:9" x14ac:dyDescent="0.25">
      <c r="A1942" t="s">
        <v>1425</v>
      </c>
      <c r="B1942" t="s">
        <v>3538</v>
      </c>
      <c r="C1942" s="167">
        <v>330.53</v>
      </c>
      <c r="D1942" t="s">
        <v>563</v>
      </c>
      <c r="E1942" t="s">
        <v>1701</v>
      </c>
      <c r="F1942" t="s">
        <v>7343</v>
      </c>
      <c r="G1942" t="s">
        <v>7354</v>
      </c>
      <c r="I1942" t="s">
        <v>2809</v>
      </c>
    </row>
    <row r="1943" spans="1:9" x14ac:dyDescent="0.25">
      <c r="A1943" t="s">
        <v>1428</v>
      </c>
      <c r="B1943" t="s">
        <v>3541</v>
      </c>
      <c r="C1943" s="167">
        <v>330.53</v>
      </c>
      <c r="D1943" t="s">
        <v>671</v>
      </c>
      <c r="E1943" t="s">
        <v>1701</v>
      </c>
      <c r="F1943" t="s">
        <v>7343</v>
      </c>
      <c r="G1943" t="s">
        <v>7354</v>
      </c>
      <c r="I1943" t="s">
        <v>2809</v>
      </c>
    </row>
    <row r="1944" spans="1:9" x14ac:dyDescent="0.25">
      <c r="A1944" t="s">
        <v>1423</v>
      </c>
      <c r="B1944" t="s">
        <v>3536</v>
      </c>
      <c r="C1944" s="167">
        <v>330.53</v>
      </c>
      <c r="D1944" t="s">
        <v>21</v>
      </c>
      <c r="E1944" t="s">
        <v>1699</v>
      </c>
      <c r="F1944" t="s">
        <v>7343</v>
      </c>
      <c r="G1944" t="s">
        <v>7354</v>
      </c>
      <c r="I1944" t="s">
        <v>2809</v>
      </c>
    </row>
    <row r="1945" spans="1:9" x14ac:dyDescent="0.25">
      <c r="A1945" t="s">
        <v>1426</v>
      </c>
      <c r="B1945" t="s">
        <v>3539</v>
      </c>
      <c r="C1945" s="167">
        <v>330.53</v>
      </c>
      <c r="D1945" t="s">
        <v>563</v>
      </c>
      <c r="E1945" t="s">
        <v>1699</v>
      </c>
      <c r="F1945" t="s">
        <v>7343</v>
      </c>
      <c r="G1945" t="s">
        <v>7354</v>
      </c>
      <c r="I1945" t="s">
        <v>2809</v>
      </c>
    </row>
    <row r="1946" spans="1:9" x14ac:dyDescent="0.25">
      <c r="A1946" t="s">
        <v>1429</v>
      </c>
      <c r="B1946" t="s">
        <v>3542</v>
      </c>
      <c r="C1946" s="167">
        <v>330.53</v>
      </c>
      <c r="D1946" t="s">
        <v>671</v>
      </c>
      <c r="E1946" t="s">
        <v>1699</v>
      </c>
      <c r="F1946" t="s">
        <v>7343</v>
      </c>
      <c r="G1946" t="s">
        <v>7354</v>
      </c>
      <c r="I1946" t="s">
        <v>2809</v>
      </c>
    </row>
    <row r="1947" spans="1:9" x14ac:dyDescent="0.25">
      <c r="A1947" t="s">
        <v>1424</v>
      </c>
      <c r="B1947" t="s">
        <v>3537</v>
      </c>
      <c r="C1947" s="167">
        <v>330.53</v>
      </c>
      <c r="D1947" t="s">
        <v>21</v>
      </c>
      <c r="E1947" t="s">
        <v>1703</v>
      </c>
      <c r="F1947" t="s">
        <v>7343</v>
      </c>
      <c r="G1947" t="s">
        <v>7354</v>
      </c>
      <c r="I1947" t="s">
        <v>2809</v>
      </c>
    </row>
    <row r="1948" spans="1:9" x14ac:dyDescent="0.25">
      <c r="A1948" t="s">
        <v>1427</v>
      </c>
      <c r="B1948" t="s">
        <v>3540</v>
      </c>
      <c r="C1948" s="167">
        <v>330.53</v>
      </c>
      <c r="D1948" t="s">
        <v>563</v>
      </c>
      <c r="E1948" t="s">
        <v>1703</v>
      </c>
      <c r="F1948" t="s">
        <v>7343</v>
      </c>
      <c r="G1948" t="s">
        <v>7354</v>
      </c>
      <c r="I1948" t="s">
        <v>2809</v>
      </c>
    </row>
    <row r="1949" spans="1:9" x14ac:dyDescent="0.25">
      <c r="A1949" t="s">
        <v>1430</v>
      </c>
      <c r="B1949" t="s">
        <v>3543</v>
      </c>
      <c r="C1949" s="167">
        <v>330.53</v>
      </c>
      <c r="D1949" t="s">
        <v>671</v>
      </c>
      <c r="E1949" t="s">
        <v>1703</v>
      </c>
      <c r="F1949" t="s">
        <v>7343</v>
      </c>
      <c r="G1949" t="s">
        <v>7354</v>
      </c>
      <c r="I1949" t="s">
        <v>2809</v>
      </c>
    </row>
    <row r="1950" spans="1:9" x14ac:dyDescent="0.25">
      <c r="A1950" t="s">
        <v>1431</v>
      </c>
      <c r="B1950" t="s">
        <v>3544</v>
      </c>
      <c r="C1950" s="167">
        <v>211.55</v>
      </c>
      <c r="D1950" t="s">
        <v>21</v>
      </c>
      <c r="E1950" t="s">
        <v>1701</v>
      </c>
      <c r="F1950" t="s">
        <v>7339</v>
      </c>
      <c r="G1950" t="s">
        <v>7354</v>
      </c>
      <c r="I1950" t="s">
        <v>2809</v>
      </c>
    </row>
    <row r="1951" spans="1:9" x14ac:dyDescent="0.25">
      <c r="A1951" t="s">
        <v>1434</v>
      </c>
      <c r="B1951" t="s">
        <v>3547</v>
      </c>
      <c r="C1951" s="167">
        <v>211.55</v>
      </c>
      <c r="D1951" t="s">
        <v>563</v>
      </c>
      <c r="E1951" t="s">
        <v>1701</v>
      </c>
      <c r="F1951" t="s">
        <v>7339</v>
      </c>
      <c r="G1951" t="s">
        <v>7354</v>
      </c>
      <c r="I1951" t="s">
        <v>2809</v>
      </c>
    </row>
    <row r="1952" spans="1:9" x14ac:dyDescent="0.25">
      <c r="A1952" t="s">
        <v>1437</v>
      </c>
      <c r="B1952" t="s">
        <v>3550</v>
      </c>
      <c r="C1952" s="167">
        <v>211.55</v>
      </c>
      <c r="D1952" t="s">
        <v>671</v>
      </c>
      <c r="E1952" t="s">
        <v>1701</v>
      </c>
      <c r="F1952" t="s">
        <v>7339</v>
      </c>
      <c r="G1952" t="s">
        <v>7354</v>
      </c>
      <c r="I1952" t="s">
        <v>2809</v>
      </c>
    </row>
    <row r="1953" spans="1:9" x14ac:dyDescent="0.25">
      <c r="A1953" t="s">
        <v>1432</v>
      </c>
      <c r="B1953" t="s">
        <v>3545</v>
      </c>
      <c r="C1953" s="167">
        <v>211.55</v>
      </c>
      <c r="D1953" t="s">
        <v>21</v>
      </c>
      <c r="E1953" t="s">
        <v>1699</v>
      </c>
      <c r="F1953" t="s">
        <v>7339</v>
      </c>
      <c r="G1953" t="s">
        <v>7354</v>
      </c>
      <c r="I1953" t="s">
        <v>2809</v>
      </c>
    </row>
    <row r="1954" spans="1:9" x14ac:dyDescent="0.25">
      <c r="A1954" t="s">
        <v>1435</v>
      </c>
      <c r="B1954" t="s">
        <v>3548</v>
      </c>
      <c r="C1954" s="167">
        <v>211.55</v>
      </c>
      <c r="D1954" t="s">
        <v>563</v>
      </c>
      <c r="E1954" t="s">
        <v>1699</v>
      </c>
      <c r="F1954" t="s">
        <v>7339</v>
      </c>
      <c r="G1954" t="s">
        <v>7354</v>
      </c>
      <c r="I1954" t="s">
        <v>2809</v>
      </c>
    </row>
    <row r="1955" spans="1:9" x14ac:dyDescent="0.25">
      <c r="A1955" t="s">
        <v>1438</v>
      </c>
      <c r="B1955" t="s">
        <v>3551</v>
      </c>
      <c r="C1955" s="167">
        <v>211.55</v>
      </c>
      <c r="D1955" t="s">
        <v>671</v>
      </c>
      <c r="E1955" t="s">
        <v>1699</v>
      </c>
      <c r="F1955" t="s">
        <v>7339</v>
      </c>
      <c r="G1955" t="s">
        <v>7354</v>
      </c>
      <c r="I1955" t="s">
        <v>2809</v>
      </c>
    </row>
    <row r="1956" spans="1:9" x14ac:dyDescent="0.25">
      <c r="A1956" t="s">
        <v>1433</v>
      </c>
      <c r="B1956" t="s">
        <v>3546</v>
      </c>
      <c r="C1956" s="167">
        <v>211.55</v>
      </c>
      <c r="D1956" t="s">
        <v>21</v>
      </c>
      <c r="E1956" t="s">
        <v>1703</v>
      </c>
      <c r="F1956" t="s">
        <v>7339</v>
      </c>
      <c r="G1956" t="s">
        <v>7354</v>
      </c>
      <c r="I1956" t="s">
        <v>2809</v>
      </c>
    </row>
    <row r="1957" spans="1:9" x14ac:dyDescent="0.25">
      <c r="A1957" t="s">
        <v>1436</v>
      </c>
      <c r="B1957" t="s">
        <v>3549</v>
      </c>
      <c r="C1957" s="167">
        <v>211.55</v>
      </c>
      <c r="D1957" t="s">
        <v>563</v>
      </c>
      <c r="E1957" t="s">
        <v>1703</v>
      </c>
      <c r="F1957" t="s">
        <v>7339</v>
      </c>
      <c r="G1957" t="s">
        <v>7354</v>
      </c>
      <c r="I1957" t="s">
        <v>2809</v>
      </c>
    </row>
    <row r="1958" spans="1:9" x14ac:dyDescent="0.25">
      <c r="A1958" t="s">
        <v>1439</v>
      </c>
      <c r="B1958" t="s">
        <v>3552</v>
      </c>
      <c r="C1958" s="167">
        <v>211.55</v>
      </c>
      <c r="D1958" t="s">
        <v>671</v>
      </c>
      <c r="E1958" t="s">
        <v>1703</v>
      </c>
      <c r="F1958" t="s">
        <v>7339</v>
      </c>
      <c r="G1958" t="s">
        <v>7354</v>
      </c>
      <c r="I1958" t="s">
        <v>2809</v>
      </c>
    </row>
    <row r="1959" spans="1:9" x14ac:dyDescent="0.25">
      <c r="A1959" t="s">
        <v>1440</v>
      </c>
      <c r="B1959" t="s">
        <v>3553</v>
      </c>
      <c r="C1959" s="167">
        <v>257.83</v>
      </c>
      <c r="D1959" t="s">
        <v>21</v>
      </c>
      <c r="E1959" t="s">
        <v>1701</v>
      </c>
      <c r="F1959" t="s">
        <v>7341</v>
      </c>
      <c r="G1959" t="s">
        <v>7354</v>
      </c>
      <c r="I1959" t="s">
        <v>2809</v>
      </c>
    </row>
    <row r="1960" spans="1:9" x14ac:dyDescent="0.25">
      <c r="A1960" t="s">
        <v>1443</v>
      </c>
      <c r="B1960" t="s">
        <v>3556</v>
      </c>
      <c r="C1960" s="167">
        <v>257.83</v>
      </c>
      <c r="D1960" t="s">
        <v>563</v>
      </c>
      <c r="E1960" t="s">
        <v>1701</v>
      </c>
      <c r="F1960" t="s">
        <v>7341</v>
      </c>
      <c r="G1960" t="s">
        <v>7354</v>
      </c>
      <c r="I1960" t="s">
        <v>2809</v>
      </c>
    </row>
    <row r="1961" spans="1:9" x14ac:dyDescent="0.25">
      <c r="A1961" t="s">
        <v>1446</v>
      </c>
      <c r="B1961" t="s">
        <v>3559</v>
      </c>
      <c r="C1961" s="167">
        <v>257.83</v>
      </c>
      <c r="D1961" t="s">
        <v>671</v>
      </c>
      <c r="E1961" t="s">
        <v>1701</v>
      </c>
      <c r="F1961" t="s">
        <v>7341</v>
      </c>
      <c r="G1961" t="s">
        <v>7354</v>
      </c>
      <c r="I1961" t="s">
        <v>2809</v>
      </c>
    </row>
    <row r="1962" spans="1:9" x14ac:dyDescent="0.25">
      <c r="A1962" t="s">
        <v>1441</v>
      </c>
      <c r="B1962" t="s">
        <v>3554</v>
      </c>
      <c r="C1962" s="167">
        <v>257.83</v>
      </c>
      <c r="D1962" t="s">
        <v>21</v>
      </c>
      <c r="E1962" t="s">
        <v>1699</v>
      </c>
      <c r="F1962" t="s">
        <v>7341</v>
      </c>
      <c r="G1962" t="s">
        <v>7354</v>
      </c>
      <c r="I1962" t="s">
        <v>2809</v>
      </c>
    </row>
    <row r="1963" spans="1:9" x14ac:dyDescent="0.25">
      <c r="A1963" t="s">
        <v>1444</v>
      </c>
      <c r="B1963" t="s">
        <v>3557</v>
      </c>
      <c r="C1963" s="167">
        <v>257.83</v>
      </c>
      <c r="D1963" t="s">
        <v>563</v>
      </c>
      <c r="E1963" t="s">
        <v>1699</v>
      </c>
      <c r="F1963" t="s">
        <v>7341</v>
      </c>
      <c r="G1963" t="s">
        <v>7354</v>
      </c>
      <c r="I1963" t="s">
        <v>2809</v>
      </c>
    </row>
    <row r="1964" spans="1:9" x14ac:dyDescent="0.25">
      <c r="A1964" t="s">
        <v>1447</v>
      </c>
      <c r="B1964" t="s">
        <v>3560</v>
      </c>
      <c r="C1964" s="167">
        <v>257.83</v>
      </c>
      <c r="D1964" t="s">
        <v>671</v>
      </c>
      <c r="E1964" t="s">
        <v>1699</v>
      </c>
      <c r="F1964" t="s">
        <v>7341</v>
      </c>
      <c r="G1964" t="s">
        <v>7354</v>
      </c>
      <c r="I1964" t="s">
        <v>2809</v>
      </c>
    </row>
    <row r="1965" spans="1:9" x14ac:dyDescent="0.25">
      <c r="A1965" t="s">
        <v>1442</v>
      </c>
      <c r="B1965" t="s">
        <v>3555</v>
      </c>
      <c r="C1965" s="167">
        <v>257.83</v>
      </c>
      <c r="D1965" t="s">
        <v>21</v>
      </c>
      <c r="E1965" t="s">
        <v>1703</v>
      </c>
      <c r="F1965" t="s">
        <v>7341</v>
      </c>
      <c r="G1965" t="s">
        <v>7354</v>
      </c>
      <c r="I1965" t="s">
        <v>2809</v>
      </c>
    </row>
    <row r="1966" spans="1:9" x14ac:dyDescent="0.25">
      <c r="A1966" t="s">
        <v>1445</v>
      </c>
      <c r="B1966" t="s">
        <v>3558</v>
      </c>
      <c r="C1966" s="167">
        <v>257.83</v>
      </c>
      <c r="D1966" t="s">
        <v>563</v>
      </c>
      <c r="E1966" t="s">
        <v>1703</v>
      </c>
      <c r="F1966" t="s">
        <v>7341</v>
      </c>
      <c r="G1966" t="s">
        <v>7354</v>
      </c>
      <c r="I1966" t="s">
        <v>2809</v>
      </c>
    </row>
    <row r="1967" spans="1:9" x14ac:dyDescent="0.25">
      <c r="A1967" t="s">
        <v>1448</v>
      </c>
      <c r="B1967" t="s">
        <v>3561</v>
      </c>
      <c r="C1967" s="167">
        <v>257.83</v>
      </c>
      <c r="D1967" t="s">
        <v>671</v>
      </c>
      <c r="E1967" t="s">
        <v>1703</v>
      </c>
      <c r="F1967" t="s">
        <v>7341</v>
      </c>
      <c r="G1967" t="s">
        <v>7354</v>
      </c>
      <c r="I1967" t="s">
        <v>2809</v>
      </c>
    </row>
    <row r="1968" spans="1:9" x14ac:dyDescent="0.25">
      <c r="A1968" t="s">
        <v>1449</v>
      </c>
      <c r="B1968" t="s">
        <v>3562</v>
      </c>
      <c r="C1968" s="167">
        <v>290.89</v>
      </c>
      <c r="D1968" t="s">
        <v>21</v>
      </c>
      <c r="E1968" t="s">
        <v>1701</v>
      </c>
      <c r="F1968" t="s">
        <v>7344</v>
      </c>
      <c r="G1968" t="s">
        <v>7354</v>
      </c>
      <c r="I1968" t="s">
        <v>2809</v>
      </c>
    </row>
    <row r="1969" spans="1:9" x14ac:dyDescent="0.25">
      <c r="A1969" t="s">
        <v>1452</v>
      </c>
      <c r="B1969" t="s">
        <v>3565</v>
      </c>
      <c r="C1969" s="167">
        <v>290.89</v>
      </c>
      <c r="D1969" t="s">
        <v>563</v>
      </c>
      <c r="E1969" t="s">
        <v>1701</v>
      </c>
      <c r="F1969" t="s">
        <v>7344</v>
      </c>
      <c r="G1969" t="s">
        <v>7354</v>
      </c>
      <c r="I1969" t="s">
        <v>2809</v>
      </c>
    </row>
    <row r="1970" spans="1:9" x14ac:dyDescent="0.25">
      <c r="A1970" t="s">
        <v>1455</v>
      </c>
      <c r="B1970" t="s">
        <v>3568</v>
      </c>
      <c r="C1970" s="167">
        <v>290.89</v>
      </c>
      <c r="D1970" t="s">
        <v>671</v>
      </c>
      <c r="E1970" t="s">
        <v>1701</v>
      </c>
      <c r="F1970" t="s">
        <v>7344</v>
      </c>
      <c r="G1970" t="s">
        <v>7354</v>
      </c>
      <c r="I1970" t="s">
        <v>2809</v>
      </c>
    </row>
    <row r="1971" spans="1:9" x14ac:dyDescent="0.25">
      <c r="A1971" t="s">
        <v>1450</v>
      </c>
      <c r="B1971" t="s">
        <v>3563</v>
      </c>
      <c r="C1971" s="167">
        <v>290.89</v>
      </c>
      <c r="D1971" t="s">
        <v>21</v>
      </c>
      <c r="E1971" t="s">
        <v>1699</v>
      </c>
      <c r="F1971" t="s">
        <v>7344</v>
      </c>
      <c r="G1971" t="s">
        <v>7354</v>
      </c>
      <c r="I1971" t="s">
        <v>2809</v>
      </c>
    </row>
    <row r="1972" spans="1:9" x14ac:dyDescent="0.25">
      <c r="A1972" t="s">
        <v>1453</v>
      </c>
      <c r="B1972" t="s">
        <v>3566</v>
      </c>
      <c r="C1972" s="167">
        <v>290.89</v>
      </c>
      <c r="D1972" t="s">
        <v>563</v>
      </c>
      <c r="E1972" t="s">
        <v>1699</v>
      </c>
      <c r="F1972" t="s">
        <v>7344</v>
      </c>
      <c r="G1972" t="s">
        <v>7354</v>
      </c>
      <c r="I1972" t="s">
        <v>2809</v>
      </c>
    </row>
    <row r="1973" spans="1:9" x14ac:dyDescent="0.25">
      <c r="A1973" t="s">
        <v>1456</v>
      </c>
      <c r="B1973" t="s">
        <v>3569</v>
      </c>
      <c r="C1973" s="167">
        <v>290.89</v>
      </c>
      <c r="D1973" t="s">
        <v>671</v>
      </c>
      <c r="E1973" t="s">
        <v>1699</v>
      </c>
      <c r="F1973" t="s">
        <v>7344</v>
      </c>
      <c r="G1973" t="s">
        <v>7354</v>
      </c>
      <c r="I1973" t="s">
        <v>2809</v>
      </c>
    </row>
    <row r="1974" spans="1:9" x14ac:dyDescent="0.25">
      <c r="A1974" t="s">
        <v>1451</v>
      </c>
      <c r="B1974" t="s">
        <v>3564</v>
      </c>
      <c r="C1974" s="167">
        <v>290.89</v>
      </c>
      <c r="D1974" t="s">
        <v>21</v>
      </c>
      <c r="E1974" t="s">
        <v>1703</v>
      </c>
      <c r="F1974" t="s">
        <v>7344</v>
      </c>
      <c r="G1974" t="s">
        <v>7354</v>
      </c>
      <c r="I1974" t="s">
        <v>2809</v>
      </c>
    </row>
    <row r="1975" spans="1:9" x14ac:dyDescent="0.25">
      <c r="A1975" t="s">
        <v>1454</v>
      </c>
      <c r="B1975" t="s">
        <v>3567</v>
      </c>
      <c r="C1975" s="167">
        <v>290.89</v>
      </c>
      <c r="D1975" t="s">
        <v>563</v>
      </c>
      <c r="E1975" t="s">
        <v>1703</v>
      </c>
      <c r="F1975" t="s">
        <v>7344</v>
      </c>
      <c r="G1975" t="s">
        <v>7354</v>
      </c>
      <c r="I1975" t="s">
        <v>2809</v>
      </c>
    </row>
    <row r="1976" spans="1:9" x14ac:dyDescent="0.25">
      <c r="A1976" t="s">
        <v>1457</v>
      </c>
      <c r="B1976" t="s">
        <v>3570</v>
      </c>
      <c r="C1976" s="167">
        <v>290.89</v>
      </c>
      <c r="D1976" t="s">
        <v>671</v>
      </c>
      <c r="E1976" t="s">
        <v>1703</v>
      </c>
      <c r="F1976" t="s">
        <v>7344</v>
      </c>
      <c r="G1976" t="s">
        <v>7354</v>
      </c>
      <c r="I1976" t="s">
        <v>2809</v>
      </c>
    </row>
    <row r="1977" spans="1:9" x14ac:dyDescent="0.25">
      <c r="A1977" t="s">
        <v>1458</v>
      </c>
      <c r="B1977" t="s">
        <v>3571</v>
      </c>
      <c r="C1977" s="167">
        <v>337.15</v>
      </c>
      <c r="D1977" t="s">
        <v>21</v>
      </c>
      <c r="E1977" t="s">
        <v>1701</v>
      </c>
      <c r="F1977" t="s">
        <v>7343</v>
      </c>
      <c r="G1977" t="s">
        <v>7354</v>
      </c>
      <c r="I1977" t="s">
        <v>2809</v>
      </c>
    </row>
    <row r="1978" spans="1:9" x14ac:dyDescent="0.25">
      <c r="A1978" t="s">
        <v>1461</v>
      </c>
      <c r="B1978" t="s">
        <v>3574</v>
      </c>
      <c r="C1978" s="167">
        <v>337.15</v>
      </c>
      <c r="D1978" t="s">
        <v>563</v>
      </c>
      <c r="E1978" t="s">
        <v>1701</v>
      </c>
      <c r="F1978" t="s">
        <v>7343</v>
      </c>
      <c r="G1978" t="s">
        <v>7354</v>
      </c>
      <c r="I1978" t="s">
        <v>2809</v>
      </c>
    </row>
    <row r="1979" spans="1:9" x14ac:dyDescent="0.25">
      <c r="A1979" t="s">
        <v>1464</v>
      </c>
      <c r="B1979" t="s">
        <v>3577</v>
      </c>
      <c r="C1979" s="167">
        <v>337.15</v>
      </c>
      <c r="D1979" t="s">
        <v>671</v>
      </c>
      <c r="E1979" t="s">
        <v>1701</v>
      </c>
      <c r="F1979" t="s">
        <v>7343</v>
      </c>
      <c r="G1979" t="s">
        <v>7354</v>
      </c>
      <c r="I1979" t="s">
        <v>2809</v>
      </c>
    </row>
    <row r="1980" spans="1:9" x14ac:dyDescent="0.25">
      <c r="A1980" t="s">
        <v>1459</v>
      </c>
      <c r="B1980" t="s">
        <v>3572</v>
      </c>
      <c r="C1980" s="167">
        <v>337.15</v>
      </c>
      <c r="D1980" t="s">
        <v>21</v>
      </c>
      <c r="E1980" t="s">
        <v>1699</v>
      </c>
      <c r="F1980" t="s">
        <v>7343</v>
      </c>
      <c r="G1980" t="s">
        <v>7354</v>
      </c>
      <c r="I1980" t="s">
        <v>2809</v>
      </c>
    </row>
    <row r="1981" spans="1:9" x14ac:dyDescent="0.25">
      <c r="A1981" t="s">
        <v>1462</v>
      </c>
      <c r="B1981" t="s">
        <v>3575</v>
      </c>
      <c r="C1981" s="167">
        <v>337.15</v>
      </c>
      <c r="D1981" t="s">
        <v>563</v>
      </c>
      <c r="E1981" t="s">
        <v>1699</v>
      </c>
      <c r="F1981" t="s">
        <v>7343</v>
      </c>
      <c r="G1981" t="s">
        <v>7354</v>
      </c>
      <c r="I1981" t="s">
        <v>2809</v>
      </c>
    </row>
    <row r="1982" spans="1:9" x14ac:dyDescent="0.25">
      <c r="A1982" t="s">
        <v>1465</v>
      </c>
      <c r="B1982" t="s">
        <v>3578</v>
      </c>
      <c r="C1982" s="167">
        <v>337.15</v>
      </c>
      <c r="D1982" t="s">
        <v>671</v>
      </c>
      <c r="E1982" t="s">
        <v>1699</v>
      </c>
      <c r="F1982" t="s">
        <v>7343</v>
      </c>
      <c r="G1982" t="s">
        <v>7354</v>
      </c>
      <c r="I1982" t="s">
        <v>2809</v>
      </c>
    </row>
    <row r="1983" spans="1:9" x14ac:dyDescent="0.25">
      <c r="A1983" t="s">
        <v>1460</v>
      </c>
      <c r="B1983" t="s">
        <v>3573</v>
      </c>
      <c r="C1983" s="167">
        <v>337.15</v>
      </c>
      <c r="D1983" t="s">
        <v>21</v>
      </c>
      <c r="E1983" t="s">
        <v>1703</v>
      </c>
      <c r="F1983" t="s">
        <v>7343</v>
      </c>
      <c r="G1983" t="s">
        <v>7354</v>
      </c>
      <c r="I1983" t="s">
        <v>2809</v>
      </c>
    </row>
    <row r="1984" spans="1:9" x14ac:dyDescent="0.25">
      <c r="A1984" t="s">
        <v>1463</v>
      </c>
      <c r="B1984" t="s">
        <v>3576</v>
      </c>
      <c r="C1984" s="167">
        <v>337.15</v>
      </c>
      <c r="D1984" t="s">
        <v>563</v>
      </c>
      <c r="E1984" t="s">
        <v>1703</v>
      </c>
      <c r="F1984" t="s">
        <v>7343</v>
      </c>
      <c r="G1984" t="s">
        <v>7354</v>
      </c>
      <c r="I1984" t="s">
        <v>2809</v>
      </c>
    </row>
    <row r="1985" spans="1:9" x14ac:dyDescent="0.25">
      <c r="A1985" t="s">
        <v>1466</v>
      </c>
      <c r="B1985" t="s">
        <v>3579</v>
      </c>
      <c r="C1985" s="167">
        <v>337.15</v>
      </c>
      <c r="D1985" t="s">
        <v>671</v>
      </c>
      <c r="E1985" t="s">
        <v>1703</v>
      </c>
      <c r="F1985" t="s">
        <v>7343</v>
      </c>
      <c r="G1985" t="s">
        <v>7354</v>
      </c>
      <c r="I1985" t="s">
        <v>2809</v>
      </c>
    </row>
    <row r="1986" spans="1:9" x14ac:dyDescent="0.25">
      <c r="A1986" t="s">
        <v>1467</v>
      </c>
      <c r="B1986" t="s">
        <v>3580</v>
      </c>
      <c r="C1986" s="167">
        <v>198.33</v>
      </c>
      <c r="D1986" t="s">
        <v>21</v>
      </c>
      <c r="E1986" t="s">
        <v>1701</v>
      </c>
      <c r="F1986" t="s">
        <v>7339</v>
      </c>
      <c r="G1986" t="s">
        <v>7354</v>
      </c>
      <c r="I1986" t="s">
        <v>2809</v>
      </c>
    </row>
    <row r="1987" spans="1:9" x14ac:dyDescent="0.25">
      <c r="A1987" t="s">
        <v>1470</v>
      </c>
      <c r="B1987" t="s">
        <v>3583</v>
      </c>
      <c r="C1987" s="167">
        <v>198.33</v>
      </c>
      <c r="D1987" t="s">
        <v>563</v>
      </c>
      <c r="E1987" t="s">
        <v>1701</v>
      </c>
      <c r="F1987" t="s">
        <v>7339</v>
      </c>
      <c r="G1987" t="s">
        <v>7354</v>
      </c>
      <c r="I1987" t="s">
        <v>2809</v>
      </c>
    </row>
    <row r="1988" spans="1:9" x14ac:dyDescent="0.25">
      <c r="A1988" t="s">
        <v>1473</v>
      </c>
      <c r="B1988" t="s">
        <v>3586</v>
      </c>
      <c r="C1988" s="167">
        <v>198.33</v>
      </c>
      <c r="D1988" t="s">
        <v>671</v>
      </c>
      <c r="E1988" t="s">
        <v>1701</v>
      </c>
      <c r="F1988" t="s">
        <v>7339</v>
      </c>
      <c r="G1988" t="s">
        <v>7354</v>
      </c>
      <c r="I1988" t="s">
        <v>2809</v>
      </c>
    </row>
    <row r="1989" spans="1:9" x14ac:dyDescent="0.25">
      <c r="A1989" t="s">
        <v>1468</v>
      </c>
      <c r="B1989" t="s">
        <v>3581</v>
      </c>
      <c r="C1989" s="167">
        <v>198.33</v>
      </c>
      <c r="D1989" t="s">
        <v>21</v>
      </c>
      <c r="E1989" t="s">
        <v>1699</v>
      </c>
      <c r="F1989" t="s">
        <v>7339</v>
      </c>
      <c r="G1989" t="s">
        <v>7354</v>
      </c>
      <c r="I1989" t="s">
        <v>2809</v>
      </c>
    </row>
    <row r="1990" spans="1:9" x14ac:dyDescent="0.25">
      <c r="A1990" t="s">
        <v>1471</v>
      </c>
      <c r="B1990" t="s">
        <v>3584</v>
      </c>
      <c r="C1990" s="167">
        <v>198.33</v>
      </c>
      <c r="D1990" t="s">
        <v>563</v>
      </c>
      <c r="E1990" t="s">
        <v>1699</v>
      </c>
      <c r="F1990" t="s">
        <v>7339</v>
      </c>
      <c r="G1990" t="s">
        <v>7354</v>
      </c>
      <c r="I1990" t="s">
        <v>2809</v>
      </c>
    </row>
    <row r="1991" spans="1:9" x14ac:dyDescent="0.25">
      <c r="A1991" t="s">
        <v>1474</v>
      </c>
      <c r="B1991" t="s">
        <v>3587</v>
      </c>
      <c r="C1991" s="167">
        <v>198.33</v>
      </c>
      <c r="D1991" t="s">
        <v>671</v>
      </c>
      <c r="E1991" t="s">
        <v>1699</v>
      </c>
      <c r="F1991" t="s">
        <v>7339</v>
      </c>
      <c r="G1991" t="s">
        <v>7354</v>
      </c>
      <c r="I1991" t="s">
        <v>2809</v>
      </c>
    </row>
    <row r="1992" spans="1:9" x14ac:dyDescent="0.25">
      <c r="A1992" t="s">
        <v>1469</v>
      </c>
      <c r="B1992" t="s">
        <v>3582</v>
      </c>
      <c r="C1992" s="167">
        <v>198.33</v>
      </c>
      <c r="D1992" t="s">
        <v>21</v>
      </c>
      <c r="E1992" t="s">
        <v>1703</v>
      </c>
      <c r="F1992" t="s">
        <v>7339</v>
      </c>
      <c r="G1992" t="s">
        <v>7354</v>
      </c>
      <c r="I1992" t="s">
        <v>2809</v>
      </c>
    </row>
    <row r="1993" spans="1:9" x14ac:dyDescent="0.25">
      <c r="A1993" t="s">
        <v>1472</v>
      </c>
      <c r="B1993" t="s">
        <v>3585</v>
      </c>
      <c r="C1993" s="167">
        <v>198.33</v>
      </c>
      <c r="D1993" t="s">
        <v>563</v>
      </c>
      <c r="E1993" t="s">
        <v>1703</v>
      </c>
      <c r="F1993" t="s">
        <v>7339</v>
      </c>
      <c r="G1993" t="s">
        <v>7354</v>
      </c>
      <c r="I1993" t="s">
        <v>2809</v>
      </c>
    </row>
    <row r="1994" spans="1:9" x14ac:dyDescent="0.25">
      <c r="A1994" t="s">
        <v>1475</v>
      </c>
      <c r="B1994" t="s">
        <v>3588</v>
      </c>
      <c r="C1994" s="167">
        <v>198.33</v>
      </c>
      <c r="D1994" t="s">
        <v>671</v>
      </c>
      <c r="E1994" t="s">
        <v>1703</v>
      </c>
      <c r="F1994" t="s">
        <v>7339</v>
      </c>
      <c r="G1994" t="s">
        <v>7354</v>
      </c>
      <c r="I1994" t="s">
        <v>2809</v>
      </c>
    </row>
    <row r="1995" spans="1:9" x14ac:dyDescent="0.25">
      <c r="A1995" t="s">
        <v>1476</v>
      </c>
      <c r="B1995" t="s">
        <v>3589</v>
      </c>
      <c r="C1995" s="167">
        <v>231.38</v>
      </c>
      <c r="D1995" t="s">
        <v>21</v>
      </c>
      <c r="E1995" t="s">
        <v>1701</v>
      </c>
      <c r="F1995" t="s">
        <v>7341</v>
      </c>
      <c r="G1995" t="s">
        <v>7354</v>
      </c>
      <c r="I1995" t="s">
        <v>2809</v>
      </c>
    </row>
    <row r="1996" spans="1:9" x14ac:dyDescent="0.25">
      <c r="A1996" t="s">
        <v>1479</v>
      </c>
      <c r="B1996" t="s">
        <v>3592</v>
      </c>
      <c r="C1996" s="167">
        <v>231.38</v>
      </c>
      <c r="D1996" t="s">
        <v>563</v>
      </c>
      <c r="E1996" t="s">
        <v>1701</v>
      </c>
      <c r="F1996" t="s">
        <v>7341</v>
      </c>
      <c r="G1996" t="s">
        <v>7354</v>
      </c>
      <c r="I1996" t="s">
        <v>2809</v>
      </c>
    </row>
    <row r="1997" spans="1:9" x14ac:dyDescent="0.25">
      <c r="A1997" t="s">
        <v>1482</v>
      </c>
      <c r="B1997" t="s">
        <v>3595</v>
      </c>
      <c r="C1997" s="167">
        <v>231.38</v>
      </c>
      <c r="D1997" t="s">
        <v>671</v>
      </c>
      <c r="E1997" t="s">
        <v>1701</v>
      </c>
      <c r="F1997" t="s">
        <v>7341</v>
      </c>
      <c r="G1997" t="s">
        <v>7354</v>
      </c>
      <c r="I1997" t="s">
        <v>2809</v>
      </c>
    </row>
    <row r="1998" spans="1:9" x14ac:dyDescent="0.25">
      <c r="A1998" t="s">
        <v>1477</v>
      </c>
      <c r="B1998" t="s">
        <v>3590</v>
      </c>
      <c r="C1998" s="167">
        <v>231.38</v>
      </c>
      <c r="D1998" t="s">
        <v>21</v>
      </c>
      <c r="E1998" t="s">
        <v>1699</v>
      </c>
      <c r="F1998" t="s">
        <v>7341</v>
      </c>
      <c r="G1998" t="s">
        <v>7354</v>
      </c>
      <c r="I1998" t="s">
        <v>2809</v>
      </c>
    </row>
    <row r="1999" spans="1:9" x14ac:dyDescent="0.25">
      <c r="A1999" t="s">
        <v>1480</v>
      </c>
      <c r="B1999" t="s">
        <v>3593</v>
      </c>
      <c r="C1999" s="167">
        <v>231.38</v>
      </c>
      <c r="D1999" t="s">
        <v>563</v>
      </c>
      <c r="E1999" t="s">
        <v>1699</v>
      </c>
      <c r="F1999" t="s">
        <v>7341</v>
      </c>
      <c r="G1999" t="s">
        <v>7354</v>
      </c>
      <c r="I1999" t="s">
        <v>2809</v>
      </c>
    </row>
    <row r="2000" spans="1:9" x14ac:dyDescent="0.25">
      <c r="A2000" t="s">
        <v>1483</v>
      </c>
      <c r="B2000" t="s">
        <v>3596</v>
      </c>
      <c r="C2000" s="167">
        <v>231.38</v>
      </c>
      <c r="D2000" t="s">
        <v>671</v>
      </c>
      <c r="E2000" t="s">
        <v>1699</v>
      </c>
      <c r="F2000" t="s">
        <v>7341</v>
      </c>
      <c r="G2000" t="s">
        <v>7354</v>
      </c>
      <c r="I2000" t="s">
        <v>2809</v>
      </c>
    </row>
    <row r="2001" spans="1:9" x14ac:dyDescent="0.25">
      <c r="A2001" t="s">
        <v>1478</v>
      </c>
      <c r="B2001" t="s">
        <v>3591</v>
      </c>
      <c r="C2001" s="167">
        <v>231.38</v>
      </c>
      <c r="D2001" t="s">
        <v>21</v>
      </c>
      <c r="E2001" t="s">
        <v>1703</v>
      </c>
      <c r="F2001" t="s">
        <v>7341</v>
      </c>
      <c r="G2001" t="s">
        <v>7354</v>
      </c>
      <c r="I2001" t="s">
        <v>2809</v>
      </c>
    </row>
    <row r="2002" spans="1:9" x14ac:dyDescent="0.25">
      <c r="A2002" t="s">
        <v>1481</v>
      </c>
      <c r="B2002" t="s">
        <v>3594</v>
      </c>
      <c r="C2002" s="167">
        <v>231.38</v>
      </c>
      <c r="D2002" t="s">
        <v>563</v>
      </c>
      <c r="E2002" t="s">
        <v>1703</v>
      </c>
      <c r="F2002" t="s">
        <v>7341</v>
      </c>
      <c r="G2002" t="s">
        <v>7354</v>
      </c>
      <c r="I2002" t="s">
        <v>2809</v>
      </c>
    </row>
    <row r="2003" spans="1:9" x14ac:dyDescent="0.25">
      <c r="A2003" t="s">
        <v>1484</v>
      </c>
      <c r="B2003" t="s">
        <v>3597</v>
      </c>
      <c r="C2003" s="167">
        <v>231.38</v>
      </c>
      <c r="D2003" t="s">
        <v>671</v>
      </c>
      <c r="E2003" t="s">
        <v>1703</v>
      </c>
      <c r="F2003" t="s">
        <v>7341</v>
      </c>
      <c r="G2003" t="s">
        <v>7354</v>
      </c>
      <c r="I2003" t="s">
        <v>2809</v>
      </c>
    </row>
    <row r="2004" spans="1:9" x14ac:dyDescent="0.25">
      <c r="A2004" t="s">
        <v>1485</v>
      </c>
      <c r="B2004" t="s">
        <v>3598</v>
      </c>
      <c r="C2004" s="167">
        <v>264.44</v>
      </c>
      <c r="D2004" t="s">
        <v>21</v>
      </c>
      <c r="E2004" t="s">
        <v>1701</v>
      </c>
      <c r="F2004" t="s">
        <v>7344</v>
      </c>
      <c r="G2004" t="s">
        <v>7354</v>
      </c>
      <c r="I2004" t="s">
        <v>2809</v>
      </c>
    </row>
    <row r="2005" spans="1:9" x14ac:dyDescent="0.25">
      <c r="A2005" t="s">
        <v>1488</v>
      </c>
      <c r="B2005" t="s">
        <v>3601</v>
      </c>
      <c r="C2005" s="167">
        <v>264.44</v>
      </c>
      <c r="D2005" t="s">
        <v>563</v>
      </c>
      <c r="E2005" t="s">
        <v>1701</v>
      </c>
      <c r="F2005" t="s">
        <v>7344</v>
      </c>
      <c r="G2005" t="s">
        <v>7354</v>
      </c>
      <c r="I2005" t="s">
        <v>2809</v>
      </c>
    </row>
    <row r="2006" spans="1:9" x14ac:dyDescent="0.25">
      <c r="A2006" t="s">
        <v>1491</v>
      </c>
      <c r="B2006" t="s">
        <v>3604</v>
      </c>
      <c r="C2006" s="167">
        <v>264.44</v>
      </c>
      <c r="D2006" t="s">
        <v>671</v>
      </c>
      <c r="E2006" t="s">
        <v>1701</v>
      </c>
      <c r="F2006" t="s">
        <v>7344</v>
      </c>
      <c r="G2006" t="s">
        <v>7354</v>
      </c>
      <c r="I2006" t="s">
        <v>2809</v>
      </c>
    </row>
    <row r="2007" spans="1:9" x14ac:dyDescent="0.25">
      <c r="A2007" t="s">
        <v>1486</v>
      </c>
      <c r="B2007" t="s">
        <v>3599</v>
      </c>
      <c r="C2007" s="167">
        <v>264.44</v>
      </c>
      <c r="D2007" t="s">
        <v>21</v>
      </c>
      <c r="E2007" t="s">
        <v>1699</v>
      </c>
      <c r="F2007" t="s">
        <v>7344</v>
      </c>
      <c r="G2007" t="s">
        <v>7354</v>
      </c>
      <c r="I2007" t="s">
        <v>2809</v>
      </c>
    </row>
    <row r="2008" spans="1:9" x14ac:dyDescent="0.25">
      <c r="A2008" t="s">
        <v>1489</v>
      </c>
      <c r="B2008" t="s">
        <v>3602</v>
      </c>
      <c r="C2008" s="167">
        <v>264.44</v>
      </c>
      <c r="D2008" t="s">
        <v>563</v>
      </c>
      <c r="E2008" t="s">
        <v>1699</v>
      </c>
      <c r="F2008" t="s">
        <v>7344</v>
      </c>
      <c r="G2008" t="s">
        <v>7354</v>
      </c>
      <c r="I2008" t="s">
        <v>2809</v>
      </c>
    </row>
    <row r="2009" spans="1:9" x14ac:dyDescent="0.25">
      <c r="A2009" t="s">
        <v>1492</v>
      </c>
      <c r="B2009" t="s">
        <v>3605</v>
      </c>
      <c r="C2009" s="167">
        <v>264.44</v>
      </c>
      <c r="D2009" t="s">
        <v>671</v>
      </c>
      <c r="E2009" t="s">
        <v>1699</v>
      </c>
      <c r="F2009" t="s">
        <v>7344</v>
      </c>
      <c r="G2009" t="s">
        <v>7354</v>
      </c>
      <c r="I2009" t="s">
        <v>2809</v>
      </c>
    </row>
    <row r="2010" spans="1:9" x14ac:dyDescent="0.25">
      <c r="A2010" t="s">
        <v>1487</v>
      </c>
      <c r="B2010" t="s">
        <v>3600</v>
      </c>
      <c r="C2010" s="167">
        <v>264.44</v>
      </c>
      <c r="D2010" t="s">
        <v>21</v>
      </c>
      <c r="E2010" t="s">
        <v>1703</v>
      </c>
      <c r="F2010" t="s">
        <v>7344</v>
      </c>
      <c r="G2010" t="s">
        <v>7354</v>
      </c>
      <c r="I2010" t="s">
        <v>2809</v>
      </c>
    </row>
    <row r="2011" spans="1:9" x14ac:dyDescent="0.25">
      <c r="A2011" t="s">
        <v>1490</v>
      </c>
      <c r="B2011" t="s">
        <v>3603</v>
      </c>
      <c r="C2011" s="167">
        <v>264.44</v>
      </c>
      <c r="D2011" t="s">
        <v>563</v>
      </c>
      <c r="E2011" t="s">
        <v>1703</v>
      </c>
      <c r="F2011" t="s">
        <v>7344</v>
      </c>
      <c r="G2011" t="s">
        <v>7354</v>
      </c>
      <c r="I2011" t="s">
        <v>2809</v>
      </c>
    </row>
    <row r="2012" spans="1:9" x14ac:dyDescent="0.25">
      <c r="A2012" t="s">
        <v>1493</v>
      </c>
      <c r="B2012" t="s">
        <v>3606</v>
      </c>
      <c r="C2012" s="167">
        <v>264.44</v>
      </c>
      <c r="D2012" t="s">
        <v>671</v>
      </c>
      <c r="E2012" t="s">
        <v>1703</v>
      </c>
      <c r="F2012" t="s">
        <v>7344</v>
      </c>
      <c r="G2012" t="s">
        <v>7354</v>
      </c>
      <c r="I2012" t="s">
        <v>2809</v>
      </c>
    </row>
    <row r="2013" spans="1:9" x14ac:dyDescent="0.25">
      <c r="A2013" t="s">
        <v>1494</v>
      </c>
      <c r="B2013" t="s">
        <v>3607</v>
      </c>
      <c r="C2013" s="167">
        <v>297.49</v>
      </c>
      <c r="D2013" t="s">
        <v>21</v>
      </c>
      <c r="E2013" t="s">
        <v>1701</v>
      </c>
      <c r="F2013" t="s">
        <v>7343</v>
      </c>
      <c r="G2013" t="s">
        <v>7354</v>
      </c>
      <c r="I2013" t="s">
        <v>2809</v>
      </c>
    </row>
    <row r="2014" spans="1:9" x14ac:dyDescent="0.25">
      <c r="A2014" t="s">
        <v>1497</v>
      </c>
      <c r="B2014" t="s">
        <v>3610</v>
      </c>
      <c r="C2014" s="167">
        <v>297.49</v>
      </c>
      <c r="D2014" t="s">
        <v>563</v>
      </c>
      <c r="E2014" t="s">
        <v>1701</v>
      </c>
      <c r="F2014" t="s">
        <v>7343</v>
      </c>
      <c r="G2014" t="s">
        <v>7354</v>
      </c>
      <c r="I2014" t="s">
        <v>2809</v>
      </c>
    </row>
    <row r="2015" spans="1:9" x14ac:dyDescent="0.25">
      <c r="A2015" t="s">
        <v>1500</v>
      </c>
      <c r="B2015" t="s">
        <v>3613</v>
      </c>
      <c r="C2015" s="167">
        <v>297.49</v>
      </c>
      <c r="D2015" t="s">
        <v>671</v>
      </c>
      <c r="E2015" t="s">
        <v>1701</v>
      </c>
      <c r="F2015" t="s">
        <v>7343</v>
      </c>
      <c r="G2015" t="s">
        <v>7354</v>
      </c>
      <c r="I2015" t="s">
        <v>2809</v>
      </c>
    </row>
    <row r="2016" spans="1:9" x14ac:dyDescent="0.25">
      <c r="A2016" t="s">
        <v>1495</v>
      </c>
      <c r="B2016" t="s">
        <v>3608</v>
      </c>
      <c r="C2016" s="167">
        <v>297.49</v>
      </c>
      <c r="D2016" t="s">
        <v>21</v>
      </c>
      <c r="E2016" t="s">
        <v>1699</v>
      </c>
      <c r="F2016" t="s">
        <v>7343</v>
      </c>
      <c r="G2016" t="s">
        <v>7354</v>
      </c>
      <c r="I2016" t="s">
        <v>2809</v>
      </c>
    </row>
    <row r="2017" spans="1:9" x14ac:dyDescent="0.25">
      <c r="A2017" t="s">
        <v>1498</v>
      </c>
      <c r="B2017" t="s">
        <v>3611</v>
      </c>
      <c r="C2017" s="167">
        <v>297.49</v>
      </c>
      <c r="D2017" t="s">
        <v>563</v>
      </c>
      <c r="E2017" t="s">
        <v>1699</v>
      </c>
      <c r="F2017" t="s">
        <v>7343</v>
      </c>
      <c r="G2017" t="s">
        <v>7354</v>
      </c>
      <c r="I2017" t="s">
        <v>2809</v>
      </c>
    </row>
    <row r="2018" spans="1:9" x14ac:dyDescent="0.25">
      <c r="A2018" t="s">
        <v>1501</v>
      </c>
      <c r="B2018" t="s">
        <v>3614</v>
      </c>
      <c r="C2018" s="167">
        <v>297.49</v>
      </c>
      <c r="D2018" t="s">
        <v>671</v>
      </c>
      <c r="E2018" t="s">
        <v>1699</v>
      </c>
      <c r="F2018" t="s">
        <v>7343</v>
      </c>
      <c r="G2018" t="s">
        <v>7354</v>
      </c>
      <c r="I2018" t="s">
        <v>2809</v>
      </c>
    </row>
    <row r="2019" spans="1:9" x14ac:dyDescent="0.25">
      <c r="A2019" t="s">
        <v>1496</v>
      </c>
      <c r="B2019" t="s">
        <v>3609</v>
      </c>
      <c r="C2019" s="167">
        <v>297.49</v>
      </c>
      <c r="D2019" t="s">
        <v>21</v>
      </c>
      <c r="E2019" t="s">
        <v>1703</v>
      </c>
      <c r="F2019" t="s">
        <v>7343</v>
      </c>
      <c r="G2019" t="s">
        <v>7354</v>
      </c>
      <c r="I2019" t="s">
        <v>2809</v>
      </c>
    </row>
    <row r="2020" spans="1:9" x14ac:dyDescent="0.25">
      <c r="A2020" t="s">
        <v>1499</v>
      </c>
      <c r="B2020" t="s">
        <v>3612</v>
      </c>
      <c r="C2020" s="167">
        <v>297.49</v>
      </c>
      <c r="D2020" t="s">
        <v>563</v>
      </c>
      <c r="E2020" t="s">
        <v>1703</v>
      </c>
      <c r="F2020" t="s">
        <v>7343</v>
      </c>
      <c r="G2020" t="s">
        <v>7354</v>
      </c>
      <c r="I2020" t="s">
        <v>2809</v>
      </c>
    </row>
    <row r="2021" spans="1:9" x14ac:dyDescent="0.25">
      <c r="A2021" t="s">
        <v>1502</v>
      </c>
      <c r="B2021" t="s">
        <v>3615</v>
      </c>
      <c r="C2021" s="167">
        <v>297.49</v>
      </c>
      <c r="D2021" t="s">
        <v>671</v>
      </c>
      <c r="E2021" t="s">
        <v>1703</v>
      </c>
      <c r="F2021" t="s">
        <v>7343</v>
      </c>
      <c r="G2021" t="s">
        <v>7354</v>
      </c>
      <c r="I2021" t="s">
        <v>2809</v>
      </c>
    </row>
    <row r="2022" spans="1:9" x14ac:dyDescent="0.25">
      <c r="A2022" t="s">
        <v>1671</v>
      </c>
      <c r="B2022" t="s">
        <v>7506</v>
      </c>
      <c r="C2022" s="167">
        <v>44.94</v>
      </c>
      <c r="D2022" t="s">
        <v>308</v>
      </c>
      <c r="E2022" t="s">
        <v>2853</v>
      </c>
      <c r="F2022" t="s">
        <v>7339</v>
      </c>
      <c r="G2022" t="s">
        <v>7338</v>
      </c>
      <c r="H2022">
        <v>3.375</v>
      </c>
      <c r="I2022" t="s">
        <v>2809</v>
      </c>
    </row>
    <row r="2023" spans="1:9" x14ac:dyDescent="0.25">
      <c r="A2023" t="s">
        <v>1672</v>
      </c>
      <c r="B2023" t="s">
        <v>7507</v>
      </c>
      <c r="C2023" s="167">
        <v>47.59</v>
      </c>
      <c r="D2023" t="s">
        <v>308</v>
      </c>
      <c r="E2023" t="s">
        <v>2853</v>
      </c>
      <c r="F2023" t="s">
        <v>7341</v>
      </c>
      <c r="G2023" t="s">
        <v>7338</v>
      </c>
      <c r="H2023">
        <v>3.375</v>
      </c>
      <c r="I2023" t="s">
        <v>2809</v>
      </c>
    </row>
    <row r="2024" spans="1:9" x14ac:dyDescent="0.25">
      <c r="A2024" t="s">
        <v>1673</v>
      </c>
      <c r="B2024" t="s">
        <v>7508</v>
      </c>
      <c r="C2024" s="167">
        <v>50.24</v>
      </c>
      <c r="D2024" t="s">
        <v>308</v>
      </c>
      <c r="E2024" t="s">
        <v>2853</v>
      </c>
      <c r="F2024" t="s">
        <v>7344</v>
      </c>
      <c r="G2024" t="s">
        <v>7338</v>
      </c>
      <c r="H2024">
        <v>3.375</v>
      </c>
      <c r="I2024" t="s">
        <v>2809</v>
      </c>
    </row>
    <row r="2025" spans="1:9" x14ac:dyDescent="0.25">
      <c r="A2025" t="s">
        <v>1674</v>
      </c>
      <c r="B2025" t="s">
        <v>7509</v>
      </c>
      <c r="C2025" s="167">
        <v>52.88</v>
      </c>
      <c r="D2025" t="s">
        <v>308</v>
      </c>
      <c r="E2025" t="s">
        <v>2853</v>
      </c>
      <c r="F2025" t="s">
        <v>7343</v>
      </c>
      <c r="G2025" t="s">
        <v>7338</v>
      </c>
      <c r="H2025">
        <v>3.375</v>
      </c>
      <c r="I2025" t="s">
        <v>2809</v>
      </c>
    </row>
    <row r="2026" spans="1:9" x14ac:dyDescent="0.25">
      <c r="A2026" t="s">
        <v>1675</v>
      </c>
      <c r="B2026" t="s">
        <v>7510</v>
      </c>
      <c r="C2026" s="167">
        <v>50.24</v>
      </c>
      <c r="D2026" t="s">
        <v>308</v>
      </c>
      <c r="E2026" t="s">
        <v>2853</v>
      </c>
      <c r="F2026" t="s">
        <v>7339</v>
      </c>
      <c r="G2026" t="s">
        <v>7338</v>
      </c>
      <c r="H2026">
        <v>7.25</v>
      </c>
      <c r="I2026" t="s">
        <v>2809</v>
      </c>
    </row>
    <row r="2027" spans="1:9" x14ac:dyDescent="0.25">
      <c r="A2027" t="s">
        <v>1676</v>
      </c>
      <c r="B2027" t="s">
        <v>7511</v>
      </c>
      <c r="C2027" s="167">
        <v>52.88</v>
      </c>
      <c r="D2027" t="s">
        <v>308</v>
      </c>
      <c r="E2027" t="s">
        <v>2853</v>
      </c>
      <c r="F2027" t="s">
        <v>7341</v>
      </c>
      <c r="G2027" t="s">
        <v>7338</v>
      </c>
      <c r="H2027">
        <v>7.25</v>
      </c>
      <c r="I2027" t="s">
        <v>2809</v>
      </c>
    </row>
    <row r="2028" spans="1:9" x14ac:dyDescent="0.25">
      <c r="A2028" t="s">
        <v>1677</v>
      </c>
      <c r="B2028" t="s">
        <v>7512</v>
      </c>
      <c r="C2028" s="167">
        <v>55.53</v>
      </c>
      <c r="D2028" t="s">
        <v>308</v>
      </c>
      <c r="E2028" t="s">
        <v>2853</v>
      </c>
      <c r="F2028" t="s">
        <v>7344</v>
      </c>
      <c r="G2028" t="s">
        <v>7338</v>
      </c>
      <c r="H2028">
        <v>7.25</v>
      </c>
      <c r="I2028" t="s">
        <v>2809</v>
      </c>
    </row>
    <row r="2029" spans="1:9" x14ac:dyDescent="0.25">
      <c r="A2029" t="s">
        <v>1678</v>
      </c>
      <c r="B2029" t="s">
        <v>7513</v>
      </c>
      <c r="C2029" s="167">
        <v>58.17</v>
      </c>
      <c r="D2029" t="s">
        <v>308</v>
      </c>
      <c r="E2029" t="s">
        <v>2853</v>
      </c>
      <c r="F2029" t="s">
        <v>7343</v>
      </c>
      <c r="G2029" t="s">
        <v>7338</v>
      </c>
      <c r="H2029">
        <v>7.25</v>
      </c>
      <c r="I2029" t="s">
        <v>2809</v>
      </c>
    </row>
    <row r="2030" spans="1:9" x14ac:dyDescent="0.25">
      <c r="A2030" t="s">
        <v>2493</v>
      </c>
      <c r="B2030" t="s">
        <v>4354</v>
      </c>
      <c r="C2030" s="167">
        <v>180.89</v>
      </c>
      <c r="D2030" t="s">
        <v>21</v>
      </c>
      <c r="E2030" t="s">
        <v>1701</v>
      </c>
      <c r="F2030" t="s">
        <v>7339</v>
      </c>
      <c r="G2030" t="s">
        <v>7354</v>
      </c>
      <c r="I2030" t="s">
        <v>2809</v>
      </c>
    </row>
    <row r="2031" spans="1:9" x14ac:dyDescent="0.25">
      <c r="A2031" t="s">
        <v>2496</v>
      </c>
      <c r="B2031" t="s">
        <v>4357</v>
      </c>
      <c r="C2031" s="167">
        <v>180.89</v>
      </c>
      <c r="D2031" t="s">
        <v>563</v>
      </c>
      <c r="E2031" t="s">
        <v>1701</v>
      </c>
      <c r="F2031" t="s">
        <v>7339</v>
      </c>
      <c r="G2031" t="s">
        <v>7354</v>
      </c>
      <c r="I2031" t="s">
        <v>2809</v>
      </c>
    </row>
    <row r="2032" spans="1:9" x14ac:dyDescent="0.25">
      <c r="A2032" t="s">
        <v>2499</v>
      </c>
      <c r="B2032" t="s">
        <v>4360</v>
      </c>
      <c r="C2032" s="167">
        <v>180.89</v>
      </c>
      <c r="D2032" t="s">
        <v>671</v>
      </c>
      <c r="E2032" t="s">
        <v>1701</v>
      </c>
      <c r="F2032" t="s">
        <v>7339</v>
      </c>
      <c r="G2032" t="s">
        <v>7354</v>
      </c>
      <c r="I2032" t="s">
        <v>2809</v>
      </c>
    </row>
    <row r="2033" spans="1:9" x14ac:dyDescent="0.25">
      <c r="A2033" t="s">
        <v>2494</v>
      </c>
      <c r="B2033" t="s">
        <v>4355</v>
      </c>
      <c r="C2033" s="167">
        <v>180.89</v>
      </c>
      <c r="D2033" t="s">
        <v>21</v>
      </c>
      <c r="E2033" t="s">
        <v>1699</v>
      </c>
      <c r="F2033" t="s">
        <v>7339</v>
      </c>
      <c r="G2033" t="s">
        <v>7354</v>
      </c>
      <c r="I2033" t="s">
        <v>2809</v>
      </c>
    </row>
    <row r="2034" spans="1:9" x14ac:dyDescent="0.25">
      <c r="A2034" t="s">
        <v>2497</v>
      </c>
      <c r="B2034" t="s">
        <v>4358</v>
      </c>
      <c r="C2034" s="167">
        <v>180.89</v>
      </c>
      <c r="D2034" t="s">
        <v>563</v>
      </c>
      <c r="E2034" t="s">
        <v>1699</v>
      </c>
      <c r="F2034" t="s">
        <v>7339</v>
      </c>
      <c r="G2034" t="s">
        <v>7354</v>
      </c>
      <c r="I2034" t="s">
        <v>2809</v>
      </c>
    </row>
    <row r="2035" spans="1:9" x14ac:dyDescent="0.25">
      <c r="A2035" t="s">
        <v>2500</v>
      </c>
      <c r="B2035" t="s">
        <v>4361</v>
      </c>
      <c r="C2035" s="167">
        <v>180.89</v>
      </c>
      <c r="D2035" t="s">
        <v>671</v>
      </c>
      <c r="E2035" t="s">
        <v>1699</v>
      </c>
      <c r="F2035" t="s">
        <v>7339</v>
      </c>
      <c r="G2035" t="s">
        <v>7354</v>
      </c>
      <c r="I2035" t="s">
        <v>2809</v>
      </c>
    </row>
    <row r="2036" spans="1:9" x14ac:dyDescent="0.25">
      <c r="A2036" t="s">
        <v>2495</v>
      </c>
      <c r="B2036" t="s">
        <v>4356</v>
      </c>
      <c r="C2036" s="167">
        <v>180.89</v>
      </c>
      <c r="D2036" t="s">
        <v>21</v>
      </c>
      <c r="E2036" t="s">
        <v>1703</v>
      </c>
      <c r="F2036" t="s">
        <v>7339</v>
      </c>
      <c r="G2036" t="s">
        <v>7354</v>
      </c>
      <c r="I2036" t="s">
        <v>2809</v>
      </c>
    </row>
    <row r="2037" spans="1:9" x14ac:dyDescent="0.25">
      <c r="A2037" t="s">
        <v>2498</v>
      </c>
      <c r="B2037" t="s">
        <v>4359</v>
      </c>
      <c r="C2037" s="167">
        <v>180.89</v>
      </c>
      <c r="D2037" t="s">
        <v>563</v>
      </c>
      <c r="E2037" t="s">
        <v>1703</v>
      </c>
      <c r="F2037" t="s">
        <v>7339</v>
      </c>
      <c r="G2037" t="s">
        <v>7354</v>
      </c>
      <c r="I2037" t="s">
        <v>2809</v>
      </c>
    </row>
    <row r="2038" spans="1:9" x14ac:dyDescent="0.25">
      <c r="A2038" t="s">
        <v>2501</v>
      </c>
      <c r="B2038" t="s">
        <v>4362</v>
      </c>
      <c r="C2038" s="167">
        <v>180.89</v>
      </c>
      <c r="D2038" t="s">
        <v>671</v>
      </c>
      <c r="E2038" t="s">
        <v>1703</v>
      </c>
      <c r="F2038" t="s">
        <v>7339</v>
      </c>
      <c r="G2038" t="s">
        <v>7354</v>
      </c>
      <c r="I2038" t="s">
        <v>2809</v>
      </c>
    </row>
    <row r="2039" spans="1:9" x14ac:dyDescent="0.25">
      <c r="A2039" t="s">
        <v>2502</v>
      </c>
      <c r="B2039" t="s">
        <v>4363</v>
      </c>
      <c r="C2039" s="167">
        <v>233.78</v>
      </c>
      <c r="D2039" t="s">
        <v>21</v>
      </c>
      <c r="E2039" t="s">
        <v>1701</v>
      </c>
      <c r="F2039" t="s">
        <v>7341</v>
      </c>
      <c r="G2039" t="s">
        <v>7354</v>
      </c>
      <c r="I2039" t="s">
        <v>2809</v>
      </c>
    </row>
    <row r="2040" spans="1:9" x14ac:dyDescent="0.25">
      <c r="A2040" t="s">
        <v>2505</v>
      </c>
      <c r="B2040" t="s">
        <v>4366</v>
      </c>
      <c r="C2040" s="167">
        <v>233.78</v>
      </c>
      <c r="D2040" t="s">
        <v>563</v>
      </c>
      <c r="E2040" t="s">
        <v>1701</v>
      </c>
      <c r="F2040" t="s">
        <v>7341</v>
      </c>
      <c r="G2040" t="s">
        <v>7354</v>
      </c>
      <c r="I2040" t="s">
        <v>2809</v>
      </c>
    </row>
    <row r="2041" spans="1:9" x14ac:dyDescent="0.25">
      <c r="A2041" t="s">
        <v>2508</v>
      </c>
      <c r="B2041" t="s">
        <v>4369</v>
      </c>
      <c r="C2041" s="167">
        <v>233.78</v>
      </c>
      <c r="D2041" t="s">
        <v>671</v>
      </c>
      <c r="E2041" t="s">
        <v>1701</v>
      </c>
      <c r="F2041" t="s">
        <v>7341</v>
      </c>
      <c r="G2041" t="s">
        <v>7354</v>
      </c>
      <c r="I2041" t="s">
        <v>2809</v>
      </c>
    </row>
    <row r="2042" spans="1:9" x14ac:dyDescent="0.25">
      <c r="A2042" t="s">
        <v>2503</v>
      </c>
      <c r="B2042" t="s">
        <v>4364</v>
      </c>
      <c r="C2042" s="167">
        <v>233.78</v>
      </c>
      <c r="D2042" t="s">
        <v>21</v>
      </c>
      <c r="E2042" t="s">
        <v>1699</v>
      </c>
      <c r="F2042" t="s">
        <v>7341</v>
      </c>
      <c r="G2042" t="s">
        <v>7354</v>
      </c>
      <c r="I2042" t="s">
        <v>2809</v>
      </c>
    </row>
    <row r="2043" spans="1:9" x14ac:dyDescent="0.25">
      <c r="A2043" t="s">
        <v>2506</v>
      </c>
      <c r="B2043" t="s">
        <v>4367</v>
      </c>
      <c r="C2043" s="167">
        <v>233.78</v>
      </c>
      <c r="D2043" t="s">
        <v>563</v>
      </c>
      <c r="E2043" t="s">
        <v>1699</v>
      </c>
      <c r="F2043" t="s">
        <v>7341</v>
      </c>
      <c r="G2043" t="s">
        <v>7354</v>
      </c>
      <c r="I2043" t="s">
        <v>2809</v>
      </c>
    </row>
    <row r="2044" spans="1:9" x14ac:dyDescent="0.25">
      <c r="A2044" t="s">
        <v>2509</v>
      </c>
      <c r="B2044" t="s">
        <v>4370</v>
      </c>
      <c r="C2044" s="167">
        <v>233.78</v>
      </c>
      <c r="D2044" t="s">
        <v>671</v>
      </c>
      <c r="E2044" t="s">
        <v>1699</v>
      </c>
      <c r="F2044" t="s">
        <v>7341</v>
      </c>
      <c r="G2044" t="s">
        <v>7354</v>
      </c>
      <c r="I2044" t="s">
        <v>2809</v>
      </c>
    </row>
    <row r="2045" spans="1:9" x14ac:dyDescent="0.25">
      <c r="A2045" t="s">
        <v>2504</v>
      </c>
      <c r="B2045" t="s">
        <v>4365</v>
      </c>
      <c r="C2045" s="167">
        <v>233.78</v>
      </c>
      <c r="D2045" t="s">
        <v>21</v>
      </c>
      <c r="E2045" t="s">
        <v>1703</v>
      </c>
      <c r="F2045" t="s">
        <v>7341</v>
      </c>
      <c r="G2045" t="s">
        <v>7354</v>
      </c>
      <c r="I2045" t="s">
        <v>2809</v>
      </c>
    </row>
    <row r="2046" spans="1:9" x14ac:dyDescent="0.25">
      <c r="A2046" t="s">
        <v>2507</v>
      </c>
      <c r="B2046" t="s">
        <v>4368</v>
      </c>
      <c r="C2046" s="167">
        <v>233.78</v>
      </c>
      <c r="D2046" t="s">
        <v>563</v>
      </c>
      <c r="E2046" t="s">
        <v>1703</v>
      </c>
      <c r="F2046" t="s">
        <v>7341</v>
      </c>
      <c r="G2046" t="s">
        <v>7354</v>
      </c>
      <c r="I2046" t="s">
        <v>2809</v>
      </c>
    </row>
    <row r="2047" spans="1:9" x14ac:dyDescent="0.25">
      <c r="A2047" t="s">
        <v>2510</v>
      </c>
      <c r="B2047" t="s">
        <v>4371</v>
      </c>
      <c r="C2047" s="167">
        <v>233.78</v>
      </c>
      <c r="D2047" t="s">
        <v>671</v>
      </c>
      <c r="E2047" t="s">
        <v>1703</v>
      </c>
      <c r="F2047" t="s">
        <v>7341</v>
      </c>
      <c r="G2047" t="s">
        <v>7354</v>
      </c>
      <c r="I2047" t="s">
        <v>2809</v>
      </c>
    </row>
    <row r="2048" spans="1:9" x14ac:dyDescent="0.25">
      <c r="A2048" t="s">
        <v>2511</v>
      </c>
      <c r="B2048" t="s">
        <v>4372</v>
      </c>
      <c r="C2048" s="167">
        <v>286.66000000000003</v>
      </c>
      <c r="D2048" t="s">
        <v>21</v>
      </c>
      <c r="E2048" t="s">
        <v>1701</v>
      </c>
      <c r="F2048" t="s">
        <v>7344</v>
      </c>
      <c r="G2048" t="s">
        <v>7354</v>
      </c>
      <c r="I2048" t="s">
        <v>2809</v>
      </c>
    </row>
    <row r="2049" spans="1:9" x14ac:dyDescent="0.25">
      <c r="A2049" t="s">
        <v>2514</v>
      </c>
      <c r="B2049" t="s">
        <v>4375</v>
      </c>
      <c r="C2049" s="167">
        <v>286.66000000000003</v>
      </c>
      <c r="D2049" t="s">
        <v>563</v>
      </c>
      <c r="E2049" t="s">
        <v>1701</v>
      </c>
      <c r="F2049" t="s">
        <v>7344</v>
      </c>
      <c r="G2049" t="s">
        <v>7354</v>
      </c>
      <c r="I2049" t="s">
        <v>2809</v>
      </c>
    </row>
    <row r="2050" spans="1:9" x14ac:dyDescent="0.25">
      <c r="A2050" t="s">
        <v>2517</v>
      </c>
      <c r="B2050" t="s">
        <v>4378</v>
      </c>
      <c r="C2050" s="167">
        <v>286.66000000000003</v>
      </c>
      <c r="D2050" t="s">
        <v>671</v>
      </c>
      <c r="E2050" t="s">
        <v>1701</v>
      </c>
      <c r="F2050" t="s">
        <v>7344</v>
      </c>
      <c r="G2050" t="s">
        <v>7354</v>
      </c>
      <c r="I2050" t="s">
        <v>2809</v>
      </c>
    </row>
    <row r="2051" spans="1:9" x14ac:dyDescent="0.25">
      <c r="A2051" t="s">
        <v>2512</v>
      </c>
      <c r="B2051" t="s">
        <v>4373</v>
      </c>
      <c r="C2051" s="167">
        <v>286.66000000000003</v>
      </c>
      <c r="D2051" t="s">
        <v>21</v>
      </c>
      <c r="E2051" t="s">
        <v>1699</v>
      </c>
      <c r="F2051" t="s">
        <v>7344</v>
      </c>
      <c r="G2051" t="s">
        <v>7354</v>
      </c>
      <c r="I2051" t="s">
        <v>2809</v>
      </c>
    </row>
    <row r="2052" spans="1:9" x14ac:dyDescent="0.25">
      <c r="A2052" t="s">
        <v>2515</v>
      </c>
      <c r="B2052" t="s">
        <v>4376</v>
      </c>
      <c r="C2052" s="167">
        <v>286.66000000000003</v>
      </c>
      <c r="D2052" t="s">
        <v>563</v>
      </c>
      <c r="E2052" t="s">
        <v>1699</v>
      </c>
      <c r="F2052" t="s">
        <v>7344</v>
      </c>
      <c r="G2052" t="s">
        <v>7354</v>
      </c>
      <c r="I2052" t="s">
        <v>2809</v>
      </c>
    </row>
    <row r="2053" spans="1:9" x14ac:dyDescent="0.25">
      <c r="A2053" t="s">
        <v>2518</v>
      </c>
      <c r="B2053" t="s">
        <v>4379</v>
      </c>
      <c r="C2053" s="167">
        <v>286.66000000000003</v>
      </c>
      <c r="D2053" t="s">
        <v>671</v>
      </c>
      <c r="E2053" t="s">
        <v>1699</v>
      </c>
      <c r="F2053" t="s">
        <v>7344</v>
      </c>
      <c r="G2053" t="s">
        <v>7354</v>
      </c>
      <c r="I2053" t="s">
        <v>2809</v>
      </c>
    </row>
    <row r="2054" spans="1:9" x14ac:dyDescent="0.25">
      <c r="A2054" t="s">
        <v>2513</v>
      </c>
      <c r="B2054" t="s">
        <v>4374</v>
      </c>
      <c r="C2054" s="167">
        <v>286.66000000000003</v>
      </c>
      <c r="D2054" t="s">
        <v>21</v>
      </c>
      <c r="E2054" t="s">
        <v>1703</v>
      </c>
      <c r="F2054" t="s">
        <v>7344</v>
      </c>
      <c r="G2054" t="s">
        <v>7354</v>
      </c>
      <c r="I2054" t="s">
        <v>2809</v>
      </c>
    </row>
    <row r="2055" spans="1:9" x14ac:dyDescent="0.25">
      <c r="A2055" t="s">
        <v>2516</v>
      </c>
      <c r="B2055" t="s">
        <v>4377</v>
      </c>
      <c r="C2055" s="167">
        <v>286.66000000000003</v>
      </c>
      <c r="D2055" t="s">
        <v>563</v>
      </c>
      <c r="E2055" t="s">
        <v>1703</v>
      </c>
      <c r="F2055" t="s">
        <v>7344</v>
      </c>
      <c r="G2055" t="s">
        <v>7354</v>
      </c>
      <c r="I2055" t="s">
        <v>2809</v>
      </c>
    </row>
    <row r="2056" spans="1:9" x14ac:dyDescent="0.25">
      <c r="A2056" t="s">
        <v>2519</v>
      </c>
      <c r="B2056" t="s">
        <v>4380</v>
      </c>
      <c r="C2056" s="167">
        <v>286.66000000000003</v>
      </c>
      <c r="D2056" t="s">
        <v>671</v>
      </c>
      <c r="E2056" t="s">
        <v>1703</v>
      </c>
      <c r="F2056" t="s">
        <v>7344</v>
      </c>
      <c r="G2056" t="s">
        <v>7354</v>
      </c>
      <c r="I2056" t="s">
        <v>2809</v>
      </c>
    </row>
    <row r="2057" spans="1:9" x14ac:dyDescent="0.25">
      <c r="A2057" t="s">
        <v>2520</v>
      </c>
      <c r="B2057" t="s">
        <v>4381</v>
      </c>
      <c r="C2057" s="167">
        <v>332.93</v>
      </c>
      <c r="D2057" t="s">
        <v>21</v>
      </c>
      <c r="E2057" t="s">
        <v>1701</v>
      </c>
      <c r="F2057" t="s">
        <v>7343</v>
      </c>
      <c r="G2057" t="s">
        <v>7354</v>
      </c>
      <c r="I2057" t="s">
        <v>2809</v>
      </c>
    </row>
    <row r="2058" spans="1:9" x14ac:dyDescent="0.25">
      <c r="A2058" t="s">
        <v>2523</v>
      </c>
      <c r="B2058" t="s">
        <v>4384</v>
      </c>
      <c r="C2058" s="167">
        <v>332.93</v>
      </c>
      <c r="D2058" t="s">
        <v>563</v>
      </c>
      <c r="E2058" t="s">
        <v>1701</v>
      </c>
      <c r="F2058" t="s">
        <v>7343</v>
      </c>
      <c r="G2058" t="s">
        <v>7354</v>
      </c>
      <c r="I2058" t="s">
        <v>2809</v>
      </c>
    </row>
    <row r="2059" spans="1:9" x14ac:dyDescent="0.25">
      <c r="A2059" t="s">
        <v>2526</v>
      </c>
      <c r="B2059" t="s">
        <v>4387</v>
      </c>
      <c r="C2059" s="167">
        <v>332.93</v>
      </c>
      <c r="D2059" t="s">
        <v>671</v>
      </c>
      <c r="E2059" t="s">
        <v>1701</v>
      </c>
      <c r="F2059" t="s">
        <v>7343</v>
      </c>
      <c r="G2059" t="s">
        <v>7354</v>
      </c>
      <c r="I2059" t="s">
        <v>2809</v>
      </c>
    </row>
    <row r="2060" spans="1:9" x14ac:dyDescent="0.25">
      <c r="A2060" t="s">
        <v>2521</v>
      </c>
      <c r="B2060" t="s">
        <v>4382</v>
      </c>
      <c r="C2060" s="167">
        <v>332.93</v>
      </c>
      <c r="D2060" t="s">
        <v>21</v>
      </c>
      <c r="E2060" t="s">
        <v>1699</v>
      </c>
      <c r="F2060" t="s">
        <v>7343</v>
      </c>
      <c r="G2060" t="s">
        <v>7354</v>
      </c>
      <c r="I2060" t="s">
        <v>2809</v>
      </c>
    </row>
    <row r="2061" spans="1:9" x14ac:dyDescent="0.25">
      <c r="A2061" t="s">
        <v>2524</v>
      </c>
      <c r="B2061" t="s">
        <v>4385</v>
      </c>
      <c r="C2061" s="167">
        <v>332.93</v>
      </c>
      <c r="D2061" t="s">
        <v>563</v>
      </c>
      <c r="E2061" t="s">
        <v>1699</v>
      </c>
      <c r="F2061" t="s">
        <v>7343</v>
      </c>
      <c r="G2061" t="s">
        <v>7354</v>
      </c>
      <c r="I2061" t="s">
        <v>2809</v>
      </c>
    </row>
    <row r="2062" spans="1:9" x14ac:dyDescent="0.25">
      <c r="A2062" t="s">
        <v>2527</v>
      </c>
      <c r="B2062" t="s">
        <v>4388</v>
      </c>
      <c r="C2062" s="167">
        <v>332.93</v>
      </c>
      <c r="D2062" t="s">
        <v>671</v>
      </c>
      <c r="E2062" t="s">
        <v>1699</v>
      </c>
      <c r="F2062" t="s">
        <v>7343</v>
      </c>
      <c r="G2062" t="s">
        <v>7354</v>
      </c>
      <c r="I2062" t="s">
        <v>2809</v>
      </c>
    </row>
    <row r="2063" spans="1:9" x14ac:dyDescent="0.25">
      <c r="A2063" t="s">
        <v>2522</v>
      </c>
      <c r="B2063" t="s">
        <v>4383</v>
      </c>
      <c r="C2063" s="167">
        <v>332.93</v>
      </c>
      <c r="D2063" t="s">
        <v>21</v>
      </c>
      <c r="E2063" t="s">
        <v>1703</v>
      </c>
      <c r="F2063" t="s">
        <v>7343</v>
      </c>
      <c r="G2063" t="s">
        <v>7354</v>
      </c>
      <c r="I2063" t="s">
        <v>2809</v>
      </c>
    </row>
    <row r="2064" spans="1:9" x14ac:dyDescent="0.25">
      <c r="A2064" t="s">
        <v>2525</v>
      </c>
      <c r="B2064" t="s">
        <v>4386</v>
      </c>
      <c r="C2064" s="167">
        <v>332.93</v>
      </c>
      <c r="D2064" t="s">
        <v>563</v>
      </c>
      <c r="E2064" t="s">
        <v>1703</v>
      </c>
      <c r="F2064" t="s">
        <v>7343</v>
      </c>
      <c r="G2064" t="s">
        <v>7354</v>
      </c>
      <c r="I2064" t="s">
        <v>2809</v>
      </c>
    </row>
    <row r="2065" spans="1:9" x14ac:dyDescent="0.25">
      <c r="A2065" t="s">
        <v>2528</v>
      </c>
      <c r="B2065" t="s">
        <v>4389</v>
      </c>
      <c r="C2065" s="167">
        <v>332.93</v>
      </c>
      <c r="D2065" t="s">
        <v>671</v>
      </c>
      <c r="E2065" t="s">
        <v>1703</v>
      </c>
      <c r="F2065" t="s">
        <v>7343</v>
      </c>
      <c r="G2065" t="s">
        <v>7354</v>
      </c>
      <c r="I2065" t="s">
        <v>2809</v>
      </c>
    </row>
    <row r="2066" spans="1:9" x14ac:dyDescent="0.25">
      <c r="A2066" t="s">
        <v>2529</v>
      </c>
      <c r="B2066" t="s">
        <v>4390</v>
      </c>
      <c r="C2066" s="167">
        <v>213.95</v>
      </c>
      <c r="D2066" t="s">
        <v>21</v>
      </c>
      <c r="E2066" t="s">
        <v>1701</v>
      </c>
      <c r="F2066" t="s">
        <v>7339</v>
      </c>
      <c r="G2066" t="s">
        <v>7354</v>
      </c>
      <c r="I2066" t="s">
        <v>2809</v>
      </c>
    </row>
    <row r="2067" spans="1:9" x14ac:dyDescent="0.25">
      <c r="A2067" t="s">
        <v>2532</v>
      </c>
      <c r="B2067" t="s">
        <v>4393</v>
      </c>
      <c r="C2067" s="167">
        <v>213.95</v>
      </c>
      <c r="D2067" t="s">
        <v>563</v>
      </c>
      <c r="E2067" t="s">
        <v>1701</v>
      </c>
      <c r="F2067" t="s">
        <v>7339</v>
      </c>
      <c r="G2067" t="s">
        <v>7354</v>
      </c>
      <c r="I2067" t="s">
        <v>2809</v>
      </c>
    </row>
    <row r="2068" spans="1:9" x14ac:dyDescent="0.25">
      <c r="A2068" t="s">
        <v>2535</v>
      </c>
      <c r="B2068" t="s">
        <v>4396</v>
      </c>
      <c r="C2068" s="167">
        <v>213.95</v>
      </c>
      <c r="D2068" t="s">
        <v>671</v>
      </c>
      <c r="E2068" t="s">
        <v>1701</v>
      </c>
      <c r="F2068" t="s">
        <v>7339</v>
      </c>
      <c r="G2068" t="s">
        <v>7354</v>
      </c>
      <c r="I2068" t="s">
        <v>2809</v>
      </c>
    </row>
    <row r="2069" spans="1:9" x14ac:dyDescent="0.25">
      <c r="A2069" t="s">
        <v>2530</v>
      </c>
      <c r="B2069" t="s">
        <v>4391</v>
      </c>
      <c r="C2069" s="167">
        <v>213.95</v>
      </c>
      <c r="D2069" t="s">
        <v>21</v>
      </c>
      <c r="E2069" t="s">
        <v>1699</v>
      </c>
      <c r="F2069" t="s">
        <v>7339</v>
      </c>
      <c r="G2069" t="s">
        <v>7354</v>
      </c>
      <c r="I2069" t="s">
        <v>2809</v>
      </c>
    </row>
    <row r="2070" spans="1:9" x14ac:dyDescent="0.25">
      <c r="A2070" t="s">
        <v>2533</v>
      </c>
      <c r="B2070" t="s">
        <v>4394</v>
      </c>
      <c r="C2070" s="167">
        <v>213.95</v>
      </c>
      <c r="D2070" t="s">
        <v>563</v>
      </c>
      <c r="E2070" t="s">
        <v>1699</v>
      </c>
      <c r="F2070" t="s">
        <v>7339</v>
      </c>
      <c r="G2070" t="s">
        <v>7354</v>
      </c>
      <c r="I2070" t="s">
        <v>2809</v>
      </c>
    </row>
    <row r="2071" spans="1:9" x14ac:dyDescent="0.25">
      <c r="A2071" t="s">
        <v>2536</v>
      </c>
      <c r="B2071" t="s">
        <v>4397</v>
      </c>
      <c r="C2071" s="167">
        <v>213.95</v>
      </c>
      <c r="D2071" t="s">
        <v>671</v>
      </c>
      <c r="E2071" t="s">
        <v>1699</v>
      </c>
      <c r="F2071" t="s">
        <v>7339</v>
      </c>
      <c r="G2071" t="s">
        <v>7354</v>
      </c>
      <c r="I2071" t="s">
        <v>2809</v>
      </c>
    </row>
    <row r="2072" spans="1:9" x14ac:dyDescent="0.25">
      <c r="A2072" t="s">
        <v>2531</v>
      </c>
      <c r="B2072" t="s">
        <v>4392</v>
      </c>
      <c r="C2072" s="167">
        <v>213.95</v>
      </c>
      <c r="D2072" t="s">
        <v>21</v>
      </c>
      <c r="E2072" t="s">
        <v>1703</v>
      </c>
      <c r="F2072" t="s">
        <v>7339</v>
      </c>
      <c r="G2072" t="s">
        <v>7354</v>
      </c>
      <c r="I2072" t="s">
        <v>2809</v>
      </c>
    </row>
    <row r="2073" spans="1:9" x14ac:dyDescent="0.25">
      <c r="A2073" t="s">
        <v>2534</v>
      </c>
      <c r="B2073" t="s">
        <v>4395</v>
      </c>
      <c r="C2073" s="167">
        <v>213.95</v>
      </c>
      <c r="D2073" t="s">
        <v>563</v>
      </c>
      <c r="E2073" t="s">
        <v>1703</v>
      </c>
      <c r="F2073" t="s">
        <v>7339</v>
      </c>
      <c r="G2073" t="s">
        <v>7354</v>
      </c>
      <c r="I2073" t="s">
        <v>2809</v>
      </c>
    </row>
    <row r="2074" spans="1:9" x14ac:dyDescent="0.25">
      <c r="A2074" t="s">
        <v>2537</v>
      </c>
      <c r="B2074" t="s">
        <v>4398</v>
      </c>
      <c r="C2074" s="167">
        <v>213.95</v>
      </c>
      <c r="D2074" t="s">
        <v>671</v>
      </c>
      <c r="E2074" t="s">
        <v>1703</v>
      </c>
      <c r="F2074" t="s">
        <v>7339</v>
      </c>
      <c r="G2074" t="s">
        <v>7354</v>
      </c>
      <c r="I2074" t="s">
        <v>2809</v>
      </c>
    </row>
    <row r="2075" spans="1:9" x14ac:dyDescent="0.25">
      <c r="A2075" t="s">
        <v>2538</v>
      </c>
      <c r="B2075" t="s">
        <v>4399</v>
      </c>
      <c r="C2075" s="167">
        <v>260.23</v>
      </c>
      <c r="D2075" t="s">
        <v>21</v>
      </c>
      <c r="E2075" t="s">
        <v>1701</v>
      </c>
      <c r="F2075" t="s">
        <v>7341</v>
      </c>
      <c r="G2075" t="s">
        <v>7354</v>
      </c>
      <c r="I2075" t="s">
        <v>2809</v>
      </c>
    </row>
    <row r="2076" spans="1:9" x14ac:dyDescent="0.25">
      <c r="A2076" t="s">
        <v>2541</v>
      </c>
      <c r="B2076" t="s">
        <v>4402</v>
      </c>
      <c r="C2076" s="167">
        <v>260.23</v>
      </c>
      <c r="D2076" t="s">
        <v>563</v>
      </c>
      <c r="E2076" t="s">
        <v>1701</v>
      </c>
      <c r="F2076" t="s">
        <v>7341</v>
      </c>
      <c r="G2076" t="s">
        <v>7354</v>
      </c>
      <c r="I2076" t="s">
        <v>2809</v>
      </c>
    </row>
    <row r="2077" spans="1:9" x14ac:dyDescent="0.25">
      <c r="A2077" t="s">
        <v>2544</v>
      </c>
      <c r="B2077" t="s">
        <v>4405</v>
      </c>
      <c r="C2077" s="167">
        <v>260.23</v>
      </c>
      <c r="D2077" t="s">
        <v>671</v>
      </c>
      <c r="E2077" t="s">
        <v>1701</v>
      </c>
      <c r="F2077" t="s">
        <v>7341</v>
      </c>
      <c r="G2077" t="s">
        <v>7354</v>
      </c>
      <c r="I2077" t="s">
        <v>2809</v>
      </c>
    </row>
    <row r="2078" spans="1:9" x14ac:dyDescent="0.25">
      <c r="A2078" t="s">
        <v>2539</v>
      </c>
      <c r="B2078" t="s">
        <v>4400</v>
      </c>
      <c r="C2078" s="167">
        <v>260.23</v>
      </c>
      <c r="D2078" t="s">
        <v>21</v>
      </c>
      <c r="E2078" t="s">
        <v>1699</v>
      </c>
      <c r="F2078" t="s">
        <v>7341</v>
      </c>
      <c r="G2078" t="s">
        <v>7354</v>
      </c>
      <c r="I2078" t="s">
        <v>2809</v>
      </c>
    </row>
    <row r="2079" spans="1:9" x14ac:dyDescent="0.25">
      <c r="A2079" t="s">
        <v>2542</v>
      </c>
      <c r="B2079" t="s">
        <v>4403</v>
      </c>
      <c r="C2079" s="167">
        <v>260.23</v>
      </c>
      <c r="D2079" t="s">
        <v>563</v>
      </c>
      <c r="E2079" t="s">
        <v>1699</v>
      </c>
      <c r="F2079" t="s">
        <v>7341</v>
      </c>
      <c r="G2079" t="s">
        <v>7354</v>
      </c>
      <c r="I2079" t="s">
        <v>2809</v>
      </c>
    </row>
    <row r="2080" spans="1:9" x14ac:dyDescent="0.25">
      <c r="A2080" t="s">
        <v>2545</v>
      </c>
      <c r="B2080" t="s">
        <v>4406</v>
      </c>
      <c r="C2080" s="167">
        <v>260.23</v>
      </c>
      <c r="D2080" t="s">
        <v>671</v>
      </c>
      <c r="E2080" t="s">
        <v>1699</v>
      </c>
      <c r="F2080" t="s">
        <v>7341</v>
      </c>
      <c r="G2080" t="s">
        <v>7354</v>
      </c>
      <c r="I2080" t="s">
        <v>2809</v>
      </c>
    </row>
    <row r="2081" spans="1:9" x14ac:dyDescent="0.25">
      <c r="A2081" t="s">
        <v>2540</v>
      </c>
      <c r="B2081" t="s">
        <v>4401</v>
      </c>
      <c r="C2081" s="167">
        <v>260.23</v>
      </c>
      <c r="D2081" t="s">
        <v>21</v>
      </c>
      <c r="E2081" t="s">
        <v>1703</v>
      </c>
      <c r="F2081" t="s">
        <v>7341</v>
      </c>
      <c r="G2081" t="s">
        <v>7354</v>
      </c>
      <c r="I2081" t="s">
        <v>2809</v>
      </c>
    </row>
    <row r="2082" spans="1:9" x14ac:dyDescent="0.25">
      <c r="A2082" t="s">
        <v>2543</v>
      </c>
      <c r="B2082" t="s">
        <v>4404</v>
      </c>
      <c r="C2082" s="167">
        <v>260.23</v>
      </c>
      <c r="D2082" t="s">
        <v>563</v>
      </c>
      <c r="E2082" t="s">
        <v>1703</v>
      </c>
      <c r="F2082" t="s">
        <v>7341</v>
      </c>
      <c r="G2082" t="s">
        <v>7354</v>
      </c>
      <c r="I2082" t="s">
        <v>2809</v>
      </c>
    </row>
    <row r="2083" spans="1:9" x14ac:dyDescent="0.25">
      <c r="A2083" t="s">
        <v>2546</v>
      </c>
      <c r="B2083" t="s">
        <v>4407</v>
      </c>
      <c r="C2083" s="167">
        <v>260.23</v>
      </c>
      <c r="D2083" t="s">
        <v>671</v>
      </c>
      <c r="E2083" t="s">
        <v>1703</v>
      </c>
      <c r="F2083" t="s">
        <v>7341</v>
      </c>
      <c r="G2083" t="s">
        <v>7354</v>
      </c>
      <c r="I2083" t="s">
        <v>2809</v>
      </c>
    </row>
    <row r="2084" spans="1:9" x14ac:dyDescent="0.25">
      <c r="A2084" t="s">
        <v>2547</v>
      </c>
      <c r="B2084" t="s">
        <v>4408</v>
      </c>
      <c r="C2084" s="167">
        <v>293.29000000000002</v>
      </c>
      <c r="D2084" t="s">
        <v>21</v>
      </c>
      <c r="E2084" t="s">
        <v>1701</v>
      </c>
      <c r="F2084" t="s">
        <v>7344</v>
      </c>
      <c r="G2084" t="s">
        <v>7354</v>
      </c>
      <c r="I2084" t="s">
        <v>2809</v>
      </c>
    </row>
    <row r="2085" spans="1:9" x14ac:dyDescent="0.25">
      <c r="A2085" t="s">
        <v>2550</v>
      </c>
      <c r="B2085" t="s">
        <v>4411</v>
      </c>
      <c r="C2085" s="167">
        <v>293.29000000000002</v>
      </c>
      <c r="D2085" t="s">
        <v>563</v>
      </c>
      <c r="E2085" t="s">
        <v>1701</v>
      </c>
      <c r="F2085" t="s">
        <v>7344</v>
      </c>
      <c r="G2085" t="s">
        <v>7354</v>
      </c>
      <c r="I2085" t="s">
        <v>2809</v>
      </c>
    </row>
    <row r="2086" spans="1:9" x14ac:dyDescent="0.25">
      <c r="A2086" t="s">
        <v>2553</v>
      </c>
      <c r="B2086" t="s">
        <v>4414</v>
      </c>
      <c r="C2086" s="167">
        <v>293.29000000000002</v>
      </c>
      <c r="D2086" t="s">
        <v>671</v>
      </c>
      <c r="E2086" t="s">
        <v>1701</v>
      </c>
      <c r="F2086" t="s">
        <v>7344</v>
      </c>
      <c r="G2086" t="s">
        <v>7354</v>
      </c>
      <c r="I2086" t="s">
        <v>2809</v>
      </c>
    </row>
    <row r="2087" spans="1:9" x14ac:dyDescent="0.25">
      <c r="A2087" t="s">
        <v>2548</v>
      </c>
      <c r="B2087" t="s">
        <v>4409</v>
      </c>
      <c r="C2087" s="167">
        <v>293.29000000000002</v>
      </c>
      <c r="D2087" t="s">
        <v>21</v>
      </c>
      <c r="E2087" t="s">
        <v>1699</v>
      </c>
      <c r="F2087" t="s">
        <v>7344</v>
      </c>
      <c r="G2087" t="s">
        <v>7354</v>
      </c>
      <c r="I2087" t="s">
        <v>2809</v>
      </c>
    </row>
    <row r="2088" spans="1:9" x14ac:dyDescent="0.25">
      <c r="A2088" t="s">
        <v>2551</v>
      </c>
      <c r="B2088" t="s">
        <v>4412</v>
      </c>
      <c r="C2088" s="167">
        <v>293.29000000000002</v>
      </c>
      <c r="D2088" t="s">
        <v>563</v>
      </c>
      <c r="E2088" t="s">
        <v>1699</v>
      </c>
      <c r="F2088" t="s">
        <v>7344</v>
      </c>
      <c r="G2088" t="s">
        <v>7354</v>
      </c>
      <c r="I2088" t="s">
        <v>2809</v>
      </c>
    </row>
    <row r="2089" spans="1:9" x14ac:dyDescent="0.25">
      <c r="A2089" t="s">
        <v>2554</v>
      </c>
      <c r="B2089" t="s">
        <v>4415</v>
      </c>
      <c r="C2089" s="167">
        <v>293.29000000000002</v>
      </c>
      <c r="D2089" t="s">
        <v>671</v>
      </c>
      <c r="E2089" t="s">
        <v>1699</v>
      </c>
      <c r="F2089" t="s">
        <v>7344</v>
      </c>
      <c r="G2089" t="s">
        <v>7354</v>
      </c>
      <c r="I2089" t="s">
        <v>2809</v>
      </c>
    </row>
    <row r="2090" spans="1:9" x14ac:dyDescent="0.25">
      <c r="A2090" t="s">
        <v>2549</v>
      </c>
      <c r="B2090" t="s">
        <v>4410</v>
      </c>
      <c r="C2090" s="167">
        <v>293.29000000000002</v>
      </c>
      <c r="D2090" t="s">
        <v>21</v>
      </c>
      <c r="E2090" t="s">
        <v>1703</v>
      </c>
      <c r="F2090" t="s">
        <v>7344</v>
      </c>
      <c r="G2090" t="s">
        <v>7354</v>
      </c>
      <c r="I2090" t="s">
        <v>2809</v>
      </c>
    </row>
    <row r="2091" spans="1:9" x14ac:dyDescent="0.25">
      <c r="A2091" t="s">
        <v>2552</v>
      </c>
      <c r="B2091" t="s">
        <v>4413</v>
      </c>
      <c r="C2091" s="167">
        <v>293.29000000000002</v>
      </c>
      <c r="D2091" t="s">
        <v>563</v>
      </c>
      <c r="E2091" t="s">
        <v>1703</v>
      </c>
      <c r="F2091" t="s">
        <v>7344</v>
      </c>
      <c r="G2091" t="s">
        <v>7354</v>
      </c>
      <c r="I2091" t="s">
        <v>2809</v>
      </c>
    </row>
    <row r="2092" spans="1:9" x14ac:dyDescent="0.25">
      <c r="A2092" t="s">
        <v>2555</v>
      </c>
      <c r="B2092" t="s">
        <v>4416</v>
      </c>
      <c r="C2092" s="167">
        <v>293.29000000000002</v>
      </c>
      <c r="D2092" t="s">
        <v>671</v>
      </c>
      <c r="E2092" t="s">
        <v>1703</v>
      </c>
      <c r="F2092" t="s">
        <v>7344</v>
      </c>
      <c r="G2092" t="s">
        <v>7354</v>
      </c>
      <c r="I2092" t="s">
        <v>2809</v>
      </c>
    </row>
    <row r="2093" spans="1:9" x14ac:dyDescent="0.25">
      <c r="A2093" t="s">
        <v>2556</v>
      </c>
      <c r="B2093" t="s">
        <v>4417</v>
      </c>
      <c r="C2093" s="167">
        <v>339.55</v>
      </c>
      <c r="D2093" t="s">
        <v>21</v>
      </c>
      <c r="E2093" t="s">
        <v>1701</v>
      </c>
      <c r="F2093" t="s">
        <v>7343</v>
      </c>
      <c r="G2093" t="s">
        <v>7354</v>
      </c>
      <c r="I2093" t="s">
        <v>2809</v>
      </c>
    </row>
    <row r="2094" spans="1:9" x14ac:dyDescent="0.25">
      <c r="A2094" t="s">
        <v>2559</v>
      </c>
      <c r="B2094" t="s">
        <v>4420</v>
      </c>
      <c r="C2094" s="167">
        <v>339.55</v>
      </c>
      <c r="D2094" t="s">
        <v>563</v>
      </c>
      <c r="E2094" t="s">
        <v>1701</v>
      </c>
      <c r="F2094" t="s">
        <v>7343</v>
      </c>
      <c r="G2094" t="s">
        <v>7354</v>
      </c>
      <c r="I2094" t="s">
        <v>2809</v>
      </c>
    </row>
    <row r="2095" spans="1:9" x14ac:dyDescent="0.25">
      <c r="A2095" t="s">
        <v>2562</v>
      </c>
      <c r="B2095" t="s">
        <v>4423</v>
      </c>
      <c r="C2095" s="167">
        <v>339.55</v>
      </c>
      <c r="D2095" t="s">
        <v>671</v>
      </c>
      <c r="E2095" t="s">
        <v>1701</v>
      </c>
      <c r="F2095" t="s">
        <v>7343</v>
      </c>
      <c r="G2095" t="s">
        <v>7354</v>
      </c>
      <c r="I2095" t="s">
        <v>2809</v>
      </c>
    </row>
    <row r="2096" spans="1:9" x14ac:dyDescent="0.25">
      <c r="A2096" t="s">
        <v>2557</v>
      </c>
      <c r="B2096" t="s">
        <v>4418</v>
      </c>
      <c r="C2096" s="167">
        <v>339.55</v>
      </c>
      <c r="D2096" t="s">
        <v>21</v>
      </c>
      <c r="E2096" t="s">
        <v>1699</v>
      </c>
      <c r="F2096" t="s">
        <v>7343</v>
      </c>
      <c r="G2096" t="s">
        <v>7354</v>
      </c>
      <c r="I2096" t="s">
        <v>2809</v>
      </c>
    </row>
    <row r="2097" spans="1:9" x14ac:dyDescent="0.25">
      <c r="A2097" t="s">
        <v>2560</v>
      </c>
      <c r="B2097" t="s">
        <v>4421</v>
      </c>
      <c r="C2097" s="167">
        <v>339.55</v>
      </c>
      <c r="D2097" t="s">
        <v>563</v>
      </c>
      <c r="E2097" t="s">
        <v>1699</v>
      </c>
      <c r="F2097" t="s">
        <v>7343</v>
      </c>
      <c r="G2097" t="s">
        <v>7354</v>
      </c>
      <c r="I2097" t="s">
        <v>2809</v>
      </c>
    </row>
    <row r="2098" spans="1:9" x14ac:dyDescent="0.25">
      <c r="A2098" t="s">
        <v>2563</v>
      </c>
      <c r="B2098" t="s">
        <v>4424</v>
      </c>
      <c r="C2098" s="167">
        <v>339.55</v>
      </c>
      <c r="D2098" t="s">
        <v>671</v>
      </c>
      <c r="E2098" t="s">
        <v>1699</v>
      </c>
      <c r="F2098" t="s">
        <v>7343</v>
      </c>
      <c r="G2098" t="s">
        <v>7354</v>
      </c>
      <c r="I2098" t="s">
        <v>2809</v>
      </c>
    </row>
    <row r="2099" spans="1:9" x14ac:dyDescent="0.25">
      <c r="A2099" t="s">
        <v>2558</v>
      </c>
      <c r="B2099" t="s">
        <v>4419</v>
      </c>
      <c r="C2099" s="167">
        <v>339.55</v>
      </c>
      <c r="D2099" t="s">
        <v>21</v>
      </c>
      <c r="E2099" t="s">
        <v>1703</v>
      </c>
      <c r="F2099" t="s">
        <v>7343</v>
      </c>
      <c r="G2099" t="s">
        <v>7354</v>
      </c>
      <c r="I2099" t="s">
        <v>2809</v>
      </c>
    </row>
    <row r="2100" spans="1:9" x14ac:dyDescent="0.25">
      <c r="A2100" t="s">
        <v>2561</v>
      </c>
      <c r="B2100" t="s">
        <v>4422</v>
      </c>
      <c r="C2100" s="167">
        <v>339.55</v>
      </c>
      <c r="D2100" t="s">
        <v>563</v>
      </c>
      <c r="E2100" t="s">
        <v>1703</v>
      </c>
      <c r="F2100" t="s">
        <v>7343</v>
      </c>
      <c r="G2100" t="s">
        <v>7354</v>
      </c>
      <c r="I2100" t="s">
        <v>2809</v>
      </c>
    </row>
    <row r="2101" spans="1:9" x14ac:dyDescent="0.25">
      <c r="A2101" t="s">
        <v>2564</v>
      </c>
      <c r="B2101" t="s">
        <v>4425</v>
      </c>
      <c r="C2101" s="167">
        <v>339.55</v>
      </c>
      <c r="D2101" t="s">
        <v>671</v>
      </c>
      <c r="E2101" t="s">
        <v>1703</v>
      </c>
      <c r="F2101" t="s">
        <v>7343</v>
      </c>
      <c r="G2101" t="s">
        <v>7354</v>
      </c>
      <c r="I2101" t="s">
        <v>2809</v>
      </c>
    </row>
    <row r="2102" spans="1:9" x14ac:dyDescent="0.25">
      <c r="A2102" t="s">
        <v>2565</v>
      </c>
      <c r="B2102" t="s">
        <v>4426</v>
      </c>
      <c r="C2102" s="167">
        <v>200.73</v>
      </c>
      <c r="D2102" t="s">
        <v>21</v>
      </c>
      <c r="E2102" t="s">
        <v>1701</v>
      </c>
      <c r="F2102" t="s">
        <v>7339</v>
      </c>
      <c r="G2102" t="s">
        <v>7354</v>
      </c>
      <c r="I2102" t="s">
        <v>2809</v>
      </c>
    </row>
    <row r="2103" spans="1:9" x14ac:dyDescent="0.25">
      <c r="A2103" t="s">
        <v>2568</v>
      </c>
      <c r="B2103" t="s">
        <v>4429</v>
      </c>
      <c r="C2103" s="167">
        <v>200.73</v>
      </c>
      <c r="D2103" t="s">
        <v>563</v>
      </c>
      <c r="E2103" t="s">
        <v>1701</v>
      </c>
      <c r="F2103" t="s">
        <v>7339</v>
      </c>
      <c r="G2103" t="s">
        <v>7354</v>
      </c>
      <c r="I2103" t="s">
        <v>2809</v>
      </c>
    </row>
    <row r="2104" spans="1:9" x14ac:dyDescent="0.25">
      <c r="A2104" t="s">
        <v>2571</v>
      </c>
      <c r="B2104" t="s">
        <v>4432</v>
      </c>
      <c r="C2104" s="167">
        <v>200.73</v>
      </c>
      <c r="D2104" t="s">
        <v>671</v>
      </c>
      <c r="E2104" t="s">
        <v>1701</v>
      </c>
      <c r="F2104" t="s">
        <v>7339</v>
      </c>
      <c r="G2104" t="s">
        <v>7354</v>
      </c>
      <c r="I2104" t="s">
        <v>2809</v>
      </c>
    </row>
    <row r="2105" spans="1:9" x14ac:dyDescent="0.25">
      <c r="A2105" t="s">
        <v>2566</v>
      </c>
      <c r="B2105" t="s">
        <v>4427</v>
      </c>
      <c r="C2105" s="167">
        <v>200.73</v>
      </c>
      <c r="D2105" t="s">
        <v>21</v>
      </c>
      <c r="E2105" t="s">
        <v>1699</v>
      </c>
      <c r="F2105" t="s">
        <v>7339</v>
      </c>
      <c r="G2105" t="s">
        <v>7354</v>
      </c>
      <c r="I2105" t="s">
        <v>2809</v>
      </c>
    </row>
    <row r="2106" spans="1:9" x14ac:dyDescent="0.25">
      <c r="A2106" t="s">
        <v>2569</v>
      </c>
      <c r="B2106" t="s">
        <v>4430</v>
      </c>
      <c r="C2106" s="167">
        <v>200.73</v>
      </c>
      <c r="D2106" t="s">
        <v>563</v>
      </c>
      <c r="E2106" t="s">
        <v>1699</v>
      </c>
      <c r="F2106" t="s">
        <v>7339</v>
      </c>
      <c r="G2106" t="s">
        <v>7354</v>
      </c>
      <c r="I2106" t="s">
        <v>2809</v>
      </c>
    </row>
    <row r="2107" spans="1:9" x14ac:dyDescent="0.25">
      <c r="A2107" t="s">
        <v>2572</v>
      </c>
      <c r="B2107" t="s">
        <v>4433</v>
      </c>
      <c r="C2107" s="167">
        <v>200.73</v>
      </c>
      <c r="D2107" t="s">
        <v>671</v>
      </c>
      <c r="E2107" t="s">
        <v>1699</v>
      </c>
      <c r="F2107" t="s">
        <v>7339</v>
      </c>
      <c r="G2107" t="s">
        <v>7354</v>
      </c>
      <c r="I2107" t="s">
        <v>2809</v>
      </c>
    </row>
    <row r="2108" spans="1:9" x14ac:dyDescent="0.25">
      <c r="A2108" t="s">
        <v>2567</v>
      </c>
      <c r="B2108" t="s">
        <v>4428</v>
      </c>
      <c r="C2108" s="167">
        <v>200.73</v>
      </c>
      <c r="D2108" t="s">
        <v>21</v>
      </c>
      <c r="E2108" t="s">
        <v>1703</v>
      </c>
      <c r="F2108" t="s">
        <v>7339</v>
      </c>
      <c r="G2108" t="s">
        <v>7354</v>
      </c>
      <c r="I2108" t="s">
        <v>2809</v>
      </c>
    </row>
    <row r="2109" spans="1:9" x14ac:dyDescent="0.25">
      <c r="A2109" t="s">
        <v>2570</v>
      </c>
      <c r="B2109" t="s">
        <v>4431</v>
      </c>
      <c r="C2109" s="167">
        <v>200.73</v>
      </c>
      <c r="D2109" t="s">
        <v>563</v>
      </c>
      <c r="E2109" t="s">
        <v>1703</v>
      </c>
      <c r="F2109" t="s">
        <v>7339</v>
      </c>
      <c r="G2109" t="s">
        <v>7354</v>
      </c>
      <c r="I2109" t="s">
        <v>2809</v>
      </c>
    </row>
    <row r="2110" spans="1:9" x14ac:dyDescent="0.25">
      <c r="A2110" t="s">
        <v>2573</v>
      </c>
      <c r="B2110" t="s">
        <v>4434</v>
      </c>
      <c r="C2110" s="167">
        <v>200.73</v>
      </c>
      <c r="D2110" t="s">
        <v>671</v>
      </c>
      <c r="E2110" t="s">
        <v>1703</v>
      </c>
      <c r="F2110" t="s">
        <v>7339</v>
      </c>
      <c r="G2110" t="s">
        <v>7354</v>
      </c>
      <c r="I2110" t="s">
        <v>2809</v>
      </c>
    </row>
    <row r="2111" spans="1:9" x14ac:dyDescent="0.25">
      <c r="A2111" t="s">
        <v>2574</v>
      </c>
      <c r="B2111" t="s">
        <v>4435</v>
      </c>
      <c r="C2111" s="167">
        <v>233.78</v>
      </c>
      <c r="D2111" t="s">
        <v>21</v>
      </c>
      <c r="E2111" t="s">
        <v>1701</v>
      </c>
      <c r="F2111" t="s">
        <v>7341</v>
      </c>
      <c r="G2111" t="s">
        <v>7354</v>
      </c>
      <c r="I2111" t="s">
        <v>2809</v>
      </c>
    </row>
    <row r="2112" spans="1:9" x14ac:dyDescent="0.25">
      <c r="A2112" t="s">
        <v>2577</v>
      </c>
      <c r="B2112" t="s">
        <v>4438</v>
      </c>
      <c r="C2112" s="167">
        <v>233.78</v>
      </c>
      <c r="D2112" t="s">
        <v>563</v>
      </c>
      <c r="E2112" t="s">
        <v>1701</v>
      </c>
      <c r="F2112" t="s">
        <v>7341</v>
      </c>
      <c r="G2112" t="s">
        <v>7354</v>
      </c>
      <c r="I2112" t="s">
        <v>2809</v>
      </c>
    </row>
    <row r="2113" spans="1:9" x14ac:dyDescent="0.25">
      <c r="A2113" t="s">
        <v>2580</v>
      </c>
      <c r="B2113" t="s">
        <v>4441</v>
      </c>
      <c r="C2113" s="167">
        <v>233.78</v>
      </c>
      <c r="D2113" t="s">
        <v>671</v>
      </c>
      <c r="E2113" t="s">
        <v>1701</v>
      </c>
      <c r="F2113" t="s">
        <v>7341</v>
      </c>
      <c r="G2113" t="s">
        <v>7354</v>
      </c>
      <c r="I2113" t="s">
        <v>2809</v>
      </c>
    </row>
    <row r="2114" spans="1:9" x14ac:dyDescent="0.25">
      <c r="A2114" t="s">
        <v>2575</v>
      </c>
      <c r="B2114" t="s">
        <v>4436</v>
      </c>
      <c r="C2114" s="167">
        <v>233.78</v>
      </c>
      <c r="D2114" t="s">
        <v>21</v>
      </c>
      <c r="E2114" t="s">
        <v>1699</v>
      </c>
      <c r="F2114" t="s">
        <v>7341</v>
      </c>
      <c r="G2114" t="s">
        <v>7354</v>
      </c>
      <c r="I2114" t="s">
        <v>2809</v>
      </c>
    </row>
    <row r="2115" spans="1:9" x14ac:dyDescent="0.25">
      <c r="A2115" t="s">
        <v>2578</v>
      </c>
      <c r="B2115" t="s">
        <v>4439</v>
      </c>
      <c r="C2115" s="167">
        <v>233.78</v>
      </c>
      <c r="D2115" t="s">
        <v>563</v>
      </c>
      <c r="E2115" t="s">
        <v>1699</v>
      </c>
      <c r="F2115" t="s">
        <v>7341</v>
      </c>
      <c r="G2115" t="s">
        <v>7354</v>
      </c>
      <c r="I2115" t="s">
        <v>2809</v>
      </c>
    </row>
    <row r="2116" spans="1:9" x14ac:dyDescent="0.25">
      <c r="A2116" t="s">
        <v>2581</v>
      </c>
      <c r="B2116" t="s">
        <v>4442</v>
      </c>
      <c r="C2116" s="167">
        <v>233.78</v>
      </c>
      <c r="D2116" t="s">
        <v>671</v>
      </c>
      <c r="E2116" t="s">
        <v>1699</v>
      </c>
      <c r="F2116" t="s">
        <v>7341</v>
      </c>
      <c r="G2116" t="s">
        <v>7354</v>
      </c>
      <c r="I2116" t="s">
        <v>2809</v>
      </c>
    </row>
    <row r="2117" spans="1:9" x14ac:dyDescent="0.25">
      <c r="A2117" t="s">
        <v>2576</v>
      </c>
      <c r="B2117" t="s">
        <v>4437</v>
      </c>
      <c r="C2117" s="167">
        <v>233.78</v>
      </c>
      <c r="D2117" t="s">
        <v>21</v>
      </c>
      <c r="E2117" t="s">
        <v>1703</v>
      </c>
      <c r="F2117" t="s">
        <v>7341</v>
      </c>
      <c r="G2117" t="s">
        <v>7354</v>
      </c>
      <c r="I2117" t="s">
        <v>2809</v>
      </c>
    </row>
    <row r="2118" spans="1:9" x14ac:dyDescent="0.25">
      <c r="A2118" t="s">
        <v>2579</v>
      </c>
      <c r="B2118" t="s">
        <v>4440</v>
      </c>
      <c r="C2118" s="167">
        <v>233.78</v>
      </c>
      <c r="D2118" t="s">
        <v>563</v>
      </c>
      <c r="E2118" t="s">
        <v>1703</v>
      </c>
      <c r="F2118" t="s">
        <v>7341</v>
      </c>
      <c r="G2118" t="s">
        <v>7354</v>
      </c>
      <c r="I2118" t="s">
        <v>2809</v>
      </c>
    </row>
    <row r="2119" spans="1:9" x14ac:dyDescent="0.25">
      <c r="A2119" t="s">
        <v>2582</v>
      </c>
      <c r="B2119" t="s">
        <v>4443</v>
      </c>
      <c r="C2119" s="167">
        <v>233.78</v>
      </c>
      <c r="D2119" t="s">
        <v>671</v>
      </c>
      <c r="E2119" t="s">
        <v>1703</v>
      </c>
      <c r="F2119" t="s">
        <v>7341</v>
      </c>
      <c r="G2119" t="s">
        <v>7354</v>
      </c>
      <c r="I2119" t="s">
        <v>2809</v>
      </c>
    </row>
    <row r="2120" spans="1:9" x14ac:dyDescent="0.25">
      <c r="A2120" t="s">
        <v>2583</v>
      </c>
      <c r="B2120" t="s">
        <v>4444</v>
      </c>
      <c r="C2120" s="167">
        <v>266.83999999999997</v>
      </c>
      <c r="D2120" t="s">
        <v>21</v>
      </c>
      <c r="E2120" t="s">
        <v>1701</v>
      </c>
      <c r="F2120" t="s">
        <v>7344</v>
      </c>
      <c r="G2120" t="s">
        <v>7354</v>
      </c>
      <c r="I2120" t="s">
        <v>2809</v>
      </c>
    </row>
    <row r="2121" spans="1:9" x14ac:dyDescent="0.25">
      <c r="A2121" t="s">
        <v>2586</v>
      </c>
      <c r="B2121" t="s">
        <v>4447</v>
      </c>
      <c r="C2121" s="167">
        <v>266.83999999999997</v>
      </c>
      <c r="D2121" t="s">
        <v>563</v>
      </c>
      <c r="E2121" t="s">
        <v>1701</v>
      </c>
      <c r="F2121" t="s">
        <v>7344</v>
      </c>
      <c r="G2121" t="s">
        <v>7354</v>
      </c>
      <c r="I2121" t="s">
        <v>2809</v>
      </c>
    </row>
    <row r="2122" spans="1:9" x14ac:dyDescent="0.25">
      <c r="A2122" t="s">
        <v>2589</v>
      </c>
      <c r="B2122" t="s">
        <v>4450</v>
      </c>
      <c r="C2122" s="167">
        <v>266.83999999999997</v>
      </c>
      <c r="D2122" t="s">
        <v>671</v>
      </c>
      <c r="E2122" t="s">
        <v>1701</v>
      </c>
      <c r="F2122" t="s">
        <v>7344</v>
      </c>
      <c r="G2122" t="s">
        <v>7354</v>
      </c>
      <c r="I2122" t="s">
        <v>2809</v>
      </c>
    </row>
    <row r="2123" spans="1:9" x14ac:dyDescent="0.25">
      <c r="A2123" t="s">
        <v>2584</v>
      </c>
      <c r="B2123" t="s">
        <v>4445</v>
      </c>
      <c r="C2123" s="167">
        <v>266.83999999999997</v>
      </c>
      <c r="D2123" t="s">
        <v>21</v>
      </c>
      <c r="E2123" t="s">
        <v>1699</v>
      </c>
      <c r="F2123" t="s">
        <v>7344</v>
      </c>
      <c r="G2123" t="s">
        <v>7354</v>
      </c>
      <c r="I2123" t="s">
        <v>2809</v>
      </c>
    </row>
    <row r="2124" spans="1:9" x14ac:dyDescent="0.25">
      <c r="A2124" t="s">
        <v>2587</v>
      </c>
      <c r="B2124" t="s">
        <v>4448</v>
      </c>
      <c r="C2124" s="167">
        <v>266.83999999999997</v>
      </c>
      <c r="D2124" t="s">
        <v>563</v>
      </c>
      <c r="E2124" t="s">
        <v>1699</v>
      </c>
      <c r="F2124" t="s">
        <v>7344</v>
      </c>
      <c r="G2124" t="s">
        <v>7354</v>
      </c>
      <c r="I2124" t="s">
        <v>2809</v>
      </c>
    </row>
    <row r="2125" spans="1:9" x14ac:dyDescent="0.25">
      <c r="A2125" t="s">
        <v>2590</v>
      </c>
      <c r="B2125" t="s">
        <v>4451</v>
      </c>
      <c r="C2125" s="167">
        <v>266.83999999999997</v>
      </c>
      <c r="D2125" t="s">
        <v>671</v>
      </c>
      <c r="E2125" t="s">
        <v>1699</v>
      </c>
      <c r="F2125" t="s">
        <v>7344</v>
      </c>
      <c r="G2125" t="s">
        <v>7354</v>
      </c>
      <c r="I2125" t="s">
        <v>2809</v>
      </c>
    </row>
    <row r="2126" spans="1:9" x14ac:dyDescent="0.25">
      <c r="A2126" t="s">
        <v>2585</v>
      </c>
      <c r="B2126" t="s">
        <v>4446</v>
      </c>
      <c r="C2126" s="167">
        <v>266.83999999999997</v>
      </c>
      <c r="D2126" t="s">
        <v>21</v>
      </c>
      <c r="E2126" t="s">
        <v>1703</v>
      </c>
      <c r="F2126" t="s">
        <v>7344</v>
      </c>
      <c r="G2126" t="s">
        <v>7354</v>
      </c>
      <c r="I2126" t="s">
        <v>2809</v>
      </c>
    </row>
    <row r="2127" spans="1:9" x14ac:dyDescent="0.25">
      <c r="A2127" t="s">
        <v>2588</v>
      </c>
      <c r="B2127" t="s">
        <v>4449</v>
      </c>
      <c r="C2127" s="167">
        <v>266.83999999999997</v>
      </c>
      <c r="D2127" t="s">
        <v>563</v>
      </c>
      <c r="E2127" t="s">
        <v>1703</v>
      </c>
      <c r="F2127" t="s">
        <v>7344</v>
      </c>
      <c r="G2127" t="s">
        <v>7354</v>
      </c>
      <c r="I2127" t="s">
        <v>2809</v>
      </c>
    </row>
    <row r="2128" spans="1:9" x14ac:dyDescent="0.25">
      <c r="A2128" t="s">
        <v>2591</v>
      </c>
      <c r="B2128" t="s">
        <v>4452</v>
      </c>
      <c r="C2128" s="167">
        <v>266.83999999999997</v>
      </c>
      <c r="D2128" t="s">
        <v>671</v>
      </c>
      <c r="E2128" t="s">
        <v>1703</v>
      </c>
      <c r="F2128" t="s">
        <v>7344</v>
      </c>
      <c r="G2128" t="s">
        <v>7354</v>
      </c>
      <c r="I2128" t="s">
        <v>2809</v>
      </c>
    </row>
    <row r="2129" spans="1:9" x14ac:dyDescent="0.25">
      <c r="A2129" t="s">
        <v>2592</v>
      </c>
      <c r="B2129" t="s">
        <v>4453</v>
      </c>
      <c r="C2129" s="167">
        <v>299.89</v>
      </c>
      <c r="D2129" t="s">
        <v>21</v>
      </c>
      <c r="E2129" t="s">
        <v>1701</v>
      </c>
      <c r="F2129" t="s">
        <v>7343</v>
      </c>
      <c r="G2129" t="s">
        <v>7354</v>
      </c>
      <c r="I2129" t="s">
        <v>2809</v>
      </c>
    </row>
    <row r="2130" spans="1:9" x14ac:dyDescent="0.25">
      <c r="A2130" t="s">
        <v>2595</v>
      </c>
      <c r="B2130" t="s">
        <v>4456</v>
      </c>
      <c r="C2130" s="167">
        <v>299.89</v>
      </c>
      <c r="D2130" t="s">
        <v>563</v>
      </c>
      <c r="E2130" t="s">
        <v>1701</v>
      </c>
      <c r="F2130" t="s">
        <v>7343</v>
      </c>
      <c r="G2130" t="s">
        <v>7354</v>
      </c>
      <c r="I2130" t="s">
        <v>2809</v>
      </c>
    </row>
    <row r="2131" spans="1:9" x14ac:dyDescent="0.25">
      <c r="A2131" t="s">
        <v>2598</v>
      </c>
      <c r="B2131" t="s">
        <v>4459</v>
      </c>
      <c r="C2131" s="167">
        <v>299.89</v>
      </c>
      <c r="D2131" t="s">
        <v>671</v>
      </c>
      <c r="E2131" t="s">
        <v>1701</v>
      </c>
      <c r="F2131" t="s">
        <v>7343</v>
      </c>
      <c r="G2131" t="s">
        <v>7354</v>
      </c>
      <c r="I2131" t="s">
        <v>2809</v>
      </c>
    </row>
    <row r="2132" spans="1:9" x14ac:dyDescent="0.25">
      <c r="A2132" t="s">
        <v>2593</v>
      </c>
      <c r="B2132" t="s">
        <v>4454</v>
      </c>
      <c r="C2132" s="167">
        <v>299.89</v>
      </c>
      <c r="D2132" t="s">
        <v>21</v>
      </c>
      <c r="E2132" t="s">
        <v>1699</v>
      </c>
      <c r="F2132" t="s">
        <v>7343</v>
      </c>
      <c r="G2132" t="s">
        <v>7354</v>
      </c>
      <c r="I2132" t="s">
        <v>2809</v>
      </c>
    </row>
    <row r="2133" spans="1:9" x14ac:dyDescent="0.25">
      <c r="A2133" t="s">
        <v>2596</v>
      </c>
      <c r="B2133" t="s">
        <v>4457</v>
      </c>
      <c r="C2133" s="167">
        <v>299.89</v>
      </c>
      <c r="D2133" t="s">
        <v>563</v>
      </c>
      <c r="E2133" t="s">
        <v>1699</v>
      </c>
      <c r="F2133" t="s">
        <v>7343</v>
      </c>
      <c r="G2133" t="s">
        <v>7354</v>
      </c>
      <c r="I2133" t="s">
        <v>2809</v>
      </c>
    </row>
    <row r="2134" spans="1:9" x14ac:dyDescent="0.25">
      <c r="A2134" t="s">
        <v>2599</v>
      </c>
      <c r="B2134" t="s">
        <v>4460</v>
      </c>
      <c r="C2134" s="167">
        <v>299.89</v>
      </c>
      <c r="D2134" t="s">
        <v>671</v>
      </c>
      <c r="E2134" t="s">
        <v>1699</v>
      </c>
      <c r="F2134" t="s">
        <v>7343</v>
      </c>
      <c r="G2134" t="s">
        <v>7354</v>
      </c>
      <c r="I2134" t="s">
        <v>2809</v>
      </c>
    </row>
    <row r="2135" spans="1:9" x14ac:dyDescent="0.25">
      <c r="A2135" t="s">
        <v>2594</v>
      </c>
      <c r="B2135" t="s">
        <v>4455</v>
      </c>
      <c r="C2135" s="167">
        <v>299.89</v>
      </c>
      <c r="D2135" t="s">
        <v>21</v>
      </c>
      <c r="E2135" t="s">
        <v>1703</v>
      </c>
      <c r="F2135" t="s">
        <v>7343</v>
      </c>
      <c r="G2135" t="s">
        <v>7354</v>
      </c>
      <c r="I2135" t="s">
        <v>2809</v>
      </c>
    </row>
    <row r="2136" spans="1:9" x14ac:dyDescent="0.25">
      <c r="A2136" t="s">
        <v>2597</v>
      </c>
      <c r="B2136" t="s">
        <v>4458</v>
      </c>
      <c r="C2136" s="167">
        <v>299.89</v>
      </c>
      <c r="D2136" t="s">
        <v>563</v>
      </c>
      <c r="E2136" t="s">
        <v>1703</v>
      </c>
      <c r="F2136" t="s">
        <v>7343</v>
      </c>
      <c r="G2136" t="s">
        <v>7354</v>
      </c>
      <c r="I2136" t="s">
        <v>2809</v>
      </c>
    </row>
    <row r="2137" spans="1:9" x14ac:dyDescent="0.25">
      <c r="A2137" t="s">
        <v>2600</v>
      </c>
      <c r="B2137" t="s">
        <v>4461</v>
      </c>
      <c r="C2137" s="167">
        <v>299.89</v>
      </c>
      <c r="D2137" t="s">
        <v>671</v>
      </c>
      <c r="E2137" t="s">
        <v>1703</v>
      </c>
      <c r="F2137" t="s">
        <v>7343</v>
      </c>
      <c r="G2137" t="s">
        <v>7354</v>
      </c>
      <c r="I2137" t="s">
        <v>2809</v>
      </c>
    </row>
    <row r="2138" spans="1:9" x14ac:dyDescent="0.25">
      <c r="A2138" t="s">
        <v>1503</v>
      </c>
      <c r="B2138" t="s">
        <v>3616</v>
      </c>
      <c r="C2138" s="167">
        <v>152.04</v>
      </c>
      <c r="D2138" t="s">
        <v>21</v>
      </c>
      <c r="E2138" t="s">
        <v>1701</v>
      </c>
      <c r="F2138" t="s">
        <v>7339</v>
      </c>
      <c r="G2138" t="s">
        <v>7354</v>
      </c>
      <c r="I2138" t="s">
        <v>2809</v>
      </c>
    </row>
    <row r="2139" spans="1:9" x14ac:dyDescent="0.25">
      <c r="A2139" t="s">
        <v>1506</v>
      </c>
      <c r="B2139" t="s">
        <v>3619</v>
      </c>
      <c r="C2139" s="167">
        <v>152.04</v>
      </c>
      <c r="D2139" t="s">
        <v>563</v>
      </c>
      <c r="E2139" t="s">
        <v>1701</v>
      </c>
      <c r="F2139" t="s">
        <v>7339</v>
      </c>
      <c r="G2139" t="s">
        <v>7354</v>
      </c>
      <c r="I2139" t="s">
        <v>2809</v>
      </c>
    </row>
    <row r="2140" spans="1:9" x14ac:dyDescent="0.25">
      <c r="A2140" t="s">
        <v>1509</v>
      </c>
      <c r="B2140" t="s">
        <v>3622</v>
      </c>
      <c r="C2140" s="167">
        <v>152.04</v>
      </c>
      <c r="D2140" t="s">
        <v>671</v>
      </c>
      <c r="E2140" t="s">
        <v>1701</v>
      </c>
      <c r="F2140" t="s">
        <v>7339</v>
      </c>
      <c r="G2140" t="s">
        <v>7354</v>
      </c>
      <c r="I2140" t="s">
        <v>2809</v>
      </c>
    </row>
    <row r="2141" spans="1:9" x14ac:dyDescent="0.25">
      <c r="A2141" t="s">
        <v>1504</v>
      </c>
      <c r="B2141" t="s">
        <v>3617</v>
      </c>
      <c r="C2141" s="167">
        <v>152.04</v>
      </c>
      <c r="D2141" t="s">
        <v>21</v>
      </c>
      <c r="E2141" t="s">
        <v>1699</v>
      </c>
      <c r="F2141" t="s">
        <v>7339</v>
      </c>
      <c r="G2141" t="s">
        <v>7354</v>
      </c>
      <c r="I2141" t="s">
        <v>2809</v>
      </c>
    </row>
    <row r="2142" spans="1:9" x14ac:dyDescent="0.25">
      <c r="A2142" t="s">
        <v>1507</v>
      </c>
      <c r="B2142" t="s">
        <v>3620</v>
      </c>
      <c r="C2142" s="167">
        <v>152.04</v>
      </c>
      <c r="D2142" t="s">
        <v>563</v>
      </c>
      <c r="E2142" t="s">
        <v>1699</v>
      </c>
      <c r="F2142" t="s">
        <v>7339</v>
      </c>
      <c r="G2142" t="s">
        <v>7354</v>
      </c>
      <c r="I2142" t="s">
        <v>2809</v>
      </c>
    </row>
    <row r="2143" spans="1:9" x14ac:dyDescent="0.25">
      <c r="A2143" t="s">
        <v>1510</v>
      </c>
      <c r="B2143" t="s">
        <v>3623</v>
      </c>
      <c r="C2143" s="167">
        <v>152.04</v>
      </c>
      <c r="D2143" t="s">
        <v>671</v>
      </c>
      <c r="E2143" t="s">
        <v>1699</v>
      </c>
      <c r="F2143" t="s">
        <v>7339</v>
      </c>
      <c r="G2143" t="s">
        <v>7354</v>
      </c>
      <c r="I2143" t="s">
        <v>2809</v>
      </c>
    </row>
    <row r="2144" spans="1:9" x14ac:dyDescent="0.25">
      <c r="A2144" t="s">
        <v>1505</v>
      </c>
      <c r="B2144" t="s">
        <v>3618</v>
      </c>
      <c r="C2144" s="167">
        <v>152.04</v>
      </c>
      <c r="D2144" t="s">
        <v>21</v>
      </c>
      <c r="E2144" t="s">
        <v>1703</v>
      </c>
      <c r="F2144" t="s">
        <v>7339</v>
      </c>
      <c r="G2144" t="s">
        <v>7354</v>
      </c>
      <c r="I2144" t="s">
        <v>2809</v>
      </c>
    </row>
    <row r="2145" spans="1:9" x14ac:dyDescent="0.25">
      <c r="A2145" t="s">
        <v>1508</v>
      </c>
      <c r="B2145" t="s">
        <v>3621</v>
      </c>
      <c r="C2145" s="167">
        <v>152.04</v>
      </c>
      <c r="D2145" t="s">
        <v>563</v>
      </c>
      <c r="E2145" t="s">
        <v>1703</v>
      </c>
      <c r="F2145" t="s">
        <v>7339</v>
      </c>
      <c r="G2145" t="s">
        <v>7354</v>
      </c>
      <c r="I2145" t="s">
        <v>2809</v>
      </c>
    </row>
    <row r="2146" spans="1:9" x14ac:dyDescent="0.25">
      <c r="A2146" t="s">
        <v>1511</v>
      </c>
      <c r="B2146" t="s">
        <v>3624</v>
      </c>
      <c r="C2146" s="167">
        <v>152.04</v>
      </c>
      <c r="D2146" t="s">
        <v>671</v>
      </c>
      <c r="E2146" t="s">
        <v>1703</v>
      </c>
      <c r="F2146" t="s">
        <v>7339</v>
      </c>
      <c r="G2146" t="s">
        <v>7354</v>
      </c>
      <c r="I2146" t="s">
        <v>2809</v>
      </c>
    </row>
    <row r="2147" spans="1:9" x14ac:dyDescent="0.25">
      <c r="A2147" t="s">
        <v>1512</v>
      </c>
      <c r="B2147" t="s">
        <v>3625</v>
      </c>
      <c r="C2147" s="167">
        <v>171.89</v>
      </c>
      <c r="D2147" t="s">
        <v>21</v>
      </c>
      <c r="E2147" t="s">
        <v>1701</v>
      </c>
      <c r="F2147" t="s">
        <v>7341</v>
      </c>
      <c r="G2147" t="s">
        <v>7354</v>
      </c>
      <c r="I2147" t="s">
        <v>2809</v>
      </c>
    </row>
    <row r="2148" spans="1:9" x14ac:dyDescent="0.25">
      <c r="A2148" t="s">
        <v>1515</v>
      </c>
      <c r="B2148" t="s">
        <v>3628</v>
      </c>
      <c r="C2148" s="167">
        <v>171.89</v>
      </c>
      <c r="D2148" t="s">
        <v>563</v>
      </c>
      <c r="E2148" t="s">
        <v>1701</v>
      </c>
      <c r="F2148" t="s">
        <v>7341</v>
      </c>
      <c r="G2148" t="s">
        <v>7354</v>
      </c>
      <c r="I2148" t="s">
        <v>2809</v>
      </c>
    </row>
    <row r="2149" spans="1:9" x14ac:dyDescent="0.25">
      <c r="A2149" t="s">
        <v>1518</v>
      </c>
      <c r="B2149" t="s">
        <v>3631</v>
      </c>
      <c r="C2149" s="167">
        <v>171.89</v>
      </c>
      <c r="D2149" t="s">
        <v>671</v>
      </c>
      <c r="E2149" t="s">
        <v>1701</v>
      </c>
      <c r="F2149" t="s">
        <v>7341</v>
      </c>
      <c r="G2149" t="s">
        <v>7354</v>
      </c>
      <c r="I2149" t="s">
        <v>2809</v>
      </c>
    </row>
    <row r="2150" spans="1:9" x14ac:dyDescent="0.25">
      <c r="A2150" t="s">
        <v>1513</v>
      </c>
      <c r="B2150" t="s">
        <v>3626</v>
      </c>
      <c r="C2150" s="167">
        <v>171.89</v>
      </c>
      <c r="D2150" t="s">
        <v>21</v>
      </c>
      <c r="E2150" t="s">
        <v>1699</v>
      </c>
      <c r="F2150" t="s">
        <v>7341</v>
      </c>
      <c r="G2150" t="s">
        <v>7354</v>
      </c>
      <c r="I2150" t="s">
        <v>2809</v>
      </c>
    </row>
    <row r="2151" spans="1:9" x14ac:dyDescent="0.25">
      <c r="A2151" t="s">
        <v>1516</v>
      </c>
      <c r="B2151" t="s">
        <v>3629</v>
      </c>
      <c r="C2151" s="167">
        <v>171.89</v>
      </c>
      <c r="D2151" t="s">
        <v>563</v>
      </c>
      <c r="E2151" t="s">
        <v>1699</v>
      </c>
      <c r="F2151" t="s">
        <v>7341</v>
      </c>
      <c r="G2151" t="s">
        <v>7354</v>
      </c>
      <c r="I2151" t="s">
        <v>2809</v>
      </c>
    </row>
    <row r="2152" spans="1:9" x14ac:dyDescent="0.25">
      <c r="A2152" t="s">
        <v>1519</v>
      </c>
      <c r="B2152" t="s">
        <v>3632</v>
      </c>
      <c r="C2152" s="167">
        <v>171.89</v>
      </c>
      <c r="D2152" t="s">
        <v>671</v>
      </c>
      <c r="E2152" t="s">
        <v>1699</v>
      </c>
      <c r="F2152" t="s">
        <v>7341</v>
      </c>
      <c r="G2152" t="s">
        <v>7354</v>
      </c>
      <c r="I2152" t="s">
        <v>2809</v>
      </c>
    </row>
    <row r="2153" spans="1:9" x14ac:dyDescent="0.25">
      <c r="A2153" t="s">
        <v>1514</v>
      </c>
      <c r="B2153" t="s">
        <v>3627</v>
      </c>
      <c r="C2153" s="167">
        <v>171.89</v>
      </c>
      <c r="D2153" t="s">
        <v>21</v>
      </c>
      <c r="E2153" t="s">
        <v>1703</v>
      </c>
      <c r="F2153" t="s">
        <v>7341</v>
      </c>
      <c r="G2153" t="s">
        <v>7354</v>
      </c>
      <c r="I2153" t="s">
        <v>2809</v>
      </c>
    </row>
    <row r="2154" spans="1:9" x14ac:dyDescent="0.25">
      <c r="A2154" t="s">
        <v>1517</v>
      </c>
      <c r="B2154" t="s">
        <v>3630</v>
      </c>
      <c r="C2154" s="167">
        <v>171.89</v>
      </c>
      <c r="D2154" t="s">
        <v>563</v>
      </c>
      <c r="E2154" t="s">
        <v>1703</v>
      </c>
      <c r="F2154" t="s">
        <v>7341</v>
      </c>
      <c r="G2154" t="s">
        <v>7354</v>
      </c>
      <c r="I2154" t="s">
        <v>2809</v>
      </c>
    </row>
    <row r="2155" spans="1:9" x14ac:dyDescent="0.25">
      <c r="A2155" t="s">
        <v>1520</v>
      </c>
      <c r="B2155" t="s">
        <v>3633</v>
      </c>
      <c r="C2155" s="167">
        <v>171.89</v>
      </c>
      <c r="D2155" t="s">
        <v>671</v>
      </c>
      <c r="E2155" t="s">
        <v>1703</v>
      </c>
      <c r="F2155" t="s">
        <v>7341</v>
      </c>
      <c r="G2155" t="s">
        <v>7354</v>
      </c>
      <c r="I2155" t="s">
        <v>2809</v>
      </c>
    </row>
    <row r="2156" spans="1:9" x14ac:dyDescent="0.25">
      <c r="A2156" t="s">
        <v>1521</v>
      </c>
      <c r="B2156" t="s">
        <v>3634</v>
      </c>
      <c r="C2156" s="167">
        <v>191.72</v>
      </c>
      <c r="D2156" t="s">
        <v>21</v>
      </c>
      <c r="E2156" t="s">
        <v>1701</v>
      </c>
      <c r="F2156" t="s">
        <v>7344</v>
      </c>
      <c r="G2156" t="s">
        <v>7354</v>
      </c>
      <c r="I2156" t="s">
        <v>2809</v>
      </c>
    </row>
    <row r="2157" spans="1:9" x14ac:dyDescent="0.25">
      <c r="A2157" t="s">
        <v>1524</v>
      </c>
      <c r="B2157" t="s">
        <v>3637</v>
      </c>
      <c r="C2157" s="167">
        <v>191.72</v>
      </c>
      <c r="D2157" t="s">
        <v>563</v>
      </c>
      <c r="E2157" t="s">
        <v>1701</v>
      </c>
      <c r="F2157" t="s">
        <v>7344</v>
      </c>
      <c r="G2157" t="s">
        <v>7354</v>
      </c>
      <c r="I2157" t="s">
        <v>2809</v>
      </c>
    </row>
    <row r="2158" spans="1:9" x14ac:dyDescent="0.25">
      <c r="A2158" t="s">
        <v>1527</v>
      </c>
      <c r="B2158" t="s">
        <v>3640</v>
      </c>
      <c r="C2158" s="167">
        <v>191.72</v>
      </c>
      <c r="D2158" t="s">
        <v>671</v>
      </c>
      <c r="E2158" t="s">
        <v>1701</v>
      </c>
      <c r="F2158" t="s">
        <v>7344</v>
      </c>
      <c r="G2158" t="s">
        <v>7354</v>
      </c>
      <c r="I2158" t="s">
        <v>2809</v>
      </c>
    </row>
    <row r="2159" spans="1:9" x14ac:dyDescent="0.25">
      <c r="A2159" t="s">
        <v>1522</v>
      </c>
      <c r="B2159" t="s">
        <v>3635</v>
      </c>
      <c r="C2159" s="167">
        <v>191.72</v>
      </c>
      <c r="D2159" t="s">
        <v>21</v>
      </c>
      <c r="E2159" t="s">
        <v>1699</v>
      </c>
      <c r="F2159" t="s">
        <v>7344</v>
      </c>
      <c r="G2159" t="s">
        <v>7354</v>
      </c>
      <c r="I2159" t="s">
        <v>2809</v>
      </c>
    </row>
    <row r="2160" spans="1:9" x14ac:dyDescent="0.25">
      <c r="A2160" t="s">
        <v>1525</v>
      </c>
      <c r="B2160" t="s">
        <v>3638</v>
      </c>
      <c r="C2160" s="167">
        <v>191.72</v>
      </c>
      <c r="D2160" t="s">
        <v>563</v>
      </c>
      <c r="E2160" t="s">
        <v>1699</v>
      </c>
      <c r="F2160" t="s">
        <v>7344</v>
      </c>
      <c r="G2160" t="s">
        <v>7354</v>
      </c>
      <c r="I2160" t="s">
        <v>2809</v>
      </c>
    </row>
    <row r="2161" spans="1:9" x14ac:dyDescent="0.25">
      <c r="A2161" t="s">
        <v>1528</v>
      </c>
      <c r="B2161" t="s">
        <v>3641</v>
      </c>
      <c r="C2161" s="167">
        <v>191.72</v>
      </c>
      <c r="D2161" t="s">
        <v>671</v>
      </c>
      <c r="E2161" t="s">
        <v>1699</v>
      </c>
      <c r="F2161" t="s">
        <v>7344</v>
      </c>
      <c r="G2161" t="s">
        <v>7354</v>
      </c>
      <c r="I2161" t="s">
        <v>2809</v>
      </c>
    </row>
    <row r="2162" spans="1:9" x14ac:dyDescent="0.25">
      <c r="A2162" t="s">
        <v>1523</v>
      </c>
      <c r="B2162" t="s">
        <v>3636</v>
      </c>
      <c r="C2162" s="167">
        <v>191.72</v>
      </c>
      <c r="D2162" t="s">
        <v>21</v>
      </c>
      <c r="E2162" t="s">
        <v>1703</v>
      </c>
      <c r="F2162" t="s">
        <v>7344</v>
      </c>
      <c r="G2162" t="s">
        <v>7354</v>
      </c>
      <c r="I2162" t="s">
        <v>2809</v>
      </c>
    </row>
    <row r="2163" spans="1:9" x14ac:dyDescent="0.25">
      <c r="A2163" t="s">
        <v>1526</v>
      </c>
      <c r="B2163" t="s">
        <v>3639</v>
      </c>
      <c r="C2163" s="167">
        <v>191.72</v>
      </c>
      <c r="D2163" t="s">
        <v>563</v>
      </c>
      <c r="E2163" t="s">
        <v>1703</v>
      </c>
      <c r="F2163" t="s">
        <v>7344</v>
      </c>
      <c r="G2163" t="s">
        <v>7354</v>
      </c>
      <c r="I2163" t="s">
        <v>2809</v>
      </c>
    </row>
    <row r="2164" spans="1:9" x14ac:dyDescent="0.25">
      <c r="A2164" t="s">
        <v>1529</v>
      </c>
      <c r="B2164" t="s">
        <v>3642</v>
      </c>
      <c r="C2164" s="167">
        <v>191.72</v>
      </c>
      <c r="D2164" t="s">
        <v>671</v>
      </c>
      <c r="E2164" t="s">
        <v>1703</v>
      </c>
      <c r="F2164" t="s">
        <v>7344</v>
      </c>
      <c r="G2164" t="s">
        <v>7354</v>
      </c>
      <c r="I2164" t="s">
        <v>2809</v>
      </c>
    </row>
    <row r="2165" spans="1:9" x14ac:dyDescent="0.25">
      <c r="A2165" t="s">
        <v>1530</v>
      </c>
      <c r="B2165" t="s">
        <v>3643</v>
      </c>
      <c r="C2165" s="167">
        <v>211.55</v>
      </c>
      <c r="D2165" t="s">
        <v>21</v>
      </c>
      <c r="E2165" t="s">
        <v>1701</v>
      </c>
      <c r="F2165" t="s">
        <v>7343</v>
      </c>
      <c r="G2165" t="s">
        <v>7354</v>
      </c>
      <c r="I2165" t="s">
        <v>2809</v>
      </c>
    </row>
    <row r="2166" spans="1:9" x14ac:dyDescent="0.25">
      <c r="A2166" t="s">
        <v>1533</v>
      </c>
      <c r="B2166" t="s">
        <v>3646</v>
      </c>
      <c r="C2166" s="167">
        <v>211.55</v>
      </c>
      <c r="D2166" t="s">
        <v>563</v>
      </c>
      <c r="E2166" t="s">
        <v>1701</v>
      </c>
      <c r="F2166" t="s">
        <v>7343</v>
      </c>
      <c r="G2166" t="s">
        <v>7354</v>
      </c>
      <c r="I2166" t="s">
        <v>2809</v>
      </c>
    </row>
    <row r="2167" spans="1:9" x14ac:dyDescent="0.25">
      <c r="A2167" t="s">
        <v>1536</v>
      </c>
      <c r="B2167" t="s">
        <v>3649</v>
      </c>
      <c r="C2167" s="167">
        <v>211.55</v>
      </c>
      <c r="D2167" t="s">
        <v>671</v>
      </c>
      <c r="E2167" t="s">
        <v>1701</v>
      </c>
      <c r="F2167" t="s">
        <v>7343</v>
      </c>
      <c r="G2167" t="s">
        <v>7354</v>
      </c>
      <c r="I2167" t="s">
        <v>2809</v>
      </c>
    </row>
    <row r="2168" spans="1:9" x14ac:dyDescent="0.25">
      <c r="A2168" t="s">
        <v>1531</v>
      </c>
      <c r="B2168" t="s">
        <v>3644</v>
      </c>
      <c r="C2168" s="167">
        <v>211.55</v>
      </c>
      <c r="D2168" t="s">
        <v>21</v>
      </c>
      <c r="E2168" t="s">
        <v>1699</v>
      </c>
      <c r="F2168" t="s">
        <v>7343</v>
      </c>
      <c r="G2168" t="s">
        <v>7354</v>
      </c>
      <c r="I2168" t="s">
        <v>2809</v>
      </c>
    </row>
    <row r="2169" spans="1:9" x14ac:dyDescent="0.25">
      <c r="A2169" t="s">
        <v>1534</v>
      </c>
      <c r="B2169" t="s">
        <v>3647</v>
      </c>
      <c r="C2169" s="167">
        <v>211.55</v>
      </c>
      <c r="D2169" t="s">
        <v>563</v>
      </c>
      <c r="E2169" t="s">
        <v>1699</v>
      </c>
      <c r="F2169" t="s">
        <v>7343</v>
      </c>
      <c r="G2169" t="s">
        <v>7354</v>
      </c>
      <c r="I2169" t="s">
        <v>2809</v>
      </c>
    </row>
    <row r="2170" spans="1:9" x14ac:dyDescent="0.25">
      <c r="A2170" t="s">
        <v>1537</v>
      </c>
      <c r="B2170" t="s">
        <v>3650</v>
      </c>
      <c r="C2170" s="167">
        <v>211.55</v>
      </c>
      <c r="D2170" t="s">
        <v>671</v>
      </c>
      <c r="E2170" t="s">
        <v>1699</v>
      </c>
      <c r="F2170" t="s">
        <v>7343</v>
      </c>
      <c r="G2170" t="s">
        <v>7354</v>
      </c>
      <c r="I2170" t="s">
        <v>2809</v>
      </c>
    </row>
    <row r="2171" spans="1:9" x14ac:dyDescent="0.25">
      <c r="A2171" t="s">
        <v>1532</v>
      </c>
      <c r="B2171" t="s">
        <v>3645</v>
      </c>
      <c r="C2171" s="167">
        <v>211.55</v>
      </c>
      <c r="D2171" t="s">
        <v>21</v>
      </c>
      <c r="E2171" t="s">
        <v>1703</v>
      </c>
      <c r="F2171" t="s">
        <v>7343</v>
      </c>
      <c r="G2171" t="s">
        <v>7354</v>
      </c>
      <c r="I2171" t="s">
        <v>2809</v>
      </c>
    </row>
    <row r="2172" spans="1:9" x14ac:dyDescent="0.25">
      <c r="A2172" t="s">
        <v>1535</v>
      </c>
      <c r="B2172" t="s">
        <v>3648</v>
      </c>
      <c r="C2172" s="167">
        <v>211.55</v>
      </c>
      <c r="D2172" t="s">
        <v>563</v>
      </c>
      <c r="E2172" t="s">
        <v>1703</v>
      </c>
      <c r="F2172" t="s">
        <v>7343</v>
      </c>
      <c r="G2172" t="s">
        <v>7354</v>
      </c>
      <c r="I2172" t="s">
        <v>2809</v>
      </c>
    </row>
    <row r="2173" spans="1:9" x14ac:dyDescent="0.25">
      <c r="A2173" t="s">
        <v>1538</v>
      </c>
      <c r="B2173" t="s">
        <v>3651</v>
      </c>
      <c r="C2173" s="167">
        <v>211.55</v>
      </c>
      <c r="D2173" t="s">
        <v>671</v>
      </c>
      <c r="E2173" t="s">
        <v>1703</v>
      </c>
      <c r="F2173" t="s">
        <v>7343</v>
      </c>
      <c r="G2173" t="s">
        <v>7354</v>
      </c>
      <c r="I2173" t="s">
        <v>2809</v>
      </c>
    </row>
    <row r="2174" spans="1:9" x14ac:dyDescent="0.25">
      <c r="A2174" t="s">
        <v>2601</v>
      </c>
      <c r="B2174" t="s">
        <v>4462</v>
      </c>
      <c r="C2174" s="167">
        <v>154.44</v>
      </c>
      <c r="D2174" t="s">
        <v>21</v>
      </c>
      <c r="E2174" t="s">
        <v>1701</v>
      </c>
      <c r="F2174" t="s">
        <v>7339</v>
      </c>
      <c r="G2174" t="s">
        <v>7354</v>
      </c>
      <c r="I2174" t="s">
        <v>2809</v>
      </c>
    </row>
    <row r="2175" spans="1:9" x14ac:dyDescent="0.25">
      <c r="A2175" t="s">
        <v>2604</v>
      </c>
      <c r="B2175" t="s">
        <v>4465</v>
      </c>
      <c r="C2175" s="167">
        <v>154.44</v>
      </c>
      <c r="D2175" t="s">
        <v>563</v>
      </c>
      <c r="E2175" t="s">
        <v>1701</v>
      </c>
      <c r="F2175" t="s">
        <v>7339</v>
      </c>
      <c r="G2175" t="s">
        <v>7354</v>
      </c>
      <c r="I2175" t="s">
        <v>2809</v>
      </c>
    </row>
    <row r="2176" spans="1:9" x14ac:dyDescent="0.25">
      <c r="A2176" t="s">
        <v>2607</v>
      </c>
      <c r="B2176" t="s">
        <v>4468</v>
      </c>
      <c r="C2176" s="167">
        <v>154.44</v>
      </c>
      <c r="D2176" t="s">
        <v>671</v>
      </c>
      <c r="E2176" t="s">
        <v>1701</v>
      </c>
      <c r="F2176" t="s">
        <v>7339</v>
      </c>
      <c r="G2176" t="s">
        <v>7354</v>
      </c>
      <c r="I2176" t="s">
        <v>2809</v>
      </c>
    </row>
    <row r="2177" spans="1:9" x14ac:dyDescent="0.25">
      <c r="A2177" t="s">
        <v>2602</v>
      </c>
      <c r="B2177" t="s">
        <v>4463</v>
      </c>
      <c r="C2177" s="167">
        <v>154.44</v>
      </c>
      <c r="D2177" t="s">
        <v>21</v>
      </c>
      <c r="E2177" t="s">
        <v>1699</v>
      </c>
      <c r="F2177" t="s">
        <v>7339</v>
      </c>
      <c r="G2177" t="s">
        <v>7354</v>
      </c>
      <c r="I2177" t="s">
        <v>2809</v>
      </c>
    </row>
    <row r="2178" spans="1:9" x14ac:dyDescent="0.25">
      <c r="A2178" t="s">
        <v>2605</v>
      </c>
      <c r="B2178" t="s">
        <v>4466</v>
      </c>
      <c r="C2178" s="167">
        <v>154.44</v>
      </c>
      <c r="D2178" t="s">
        <v>563</v>
      </c>
      <c r="E2178" t="s">
        <v>1699</v>
      </c>
      <c r="F2178" t="s">
        <v>7339</v>
      </c>
      <c r="G2178" t="s">
        <v>7354</v>
      </c>
      <c r="I2178" t="s">
        <v>2809</v>
      </c>
    </row>
    <row r="2179" spans="1:9" x14ac:dyDescent="0.25">
      <c r="A2179" t="s">
        <v>2608</v>
      </c>
      <c r="B2179" t="s">
        <v>4469</v>
      </c>
      <c r="C2179" s="167">
        <v>154.44</v>
      </c>
      <c r="D2179" t="s">
        <v>671</v>
      </c>
      <c r="E2179" t="s">
        <v>1699</v>
      </c>
      <c r="F2179" t="s">
        <v>7339</v>
      </c>
      <c r="G2179" t="s">
        <v>7354</v>
      </c>
      <c r="I2179" t="s">
        <v>2809</v>
      </c>
    </row>
    <row r="2180" spans="1:9" x14ac:dyDescent="0.25">
      <c r="A2180" t="s">
        <v>2603</v>
      </c>
      <c r="B2180" t="s">
        <v>4464</v>
      </c>
      <c r="C2180" s="167">
        <v>154.44</v>
      </c>
      <c r="D2180" t="s">
        <v>21</v>
      </c>
      <c r="E2180" t="s">
        <v>1703</v>
      </c>
      <c r="F2180" t="s">
        <v>7339</v>
      </c>
      <c r="G2180" t="s">
        <v>7354</v>
      </c>
      <c r="I2180" t="s">
        <v>2809</v>
      </c>
    </row>
    <row r="2181" spans="1:9" x14ac:dyDescent="0.25">
      <c r="A2181" t="s">
        <v>2606</v>
      </c>
      <c r="B2181" t="s">
        <v>4467</v>
      </c>
      <c r="C2181" s="167">
        <v>154.44</v>
      </c>
      <c r="D2181" t="s">
        <v>563</v>
      </c>
      <c r="E2181" t="s">
        <v>1703</v>
      </c>
      <c r="F2181" t="s">
        <v>7339</v>
      </c>
      <c r="G2181" t="s">
        <v>7354</v>
      </c>
      <c r="I2181" t="s">
        <v>2809</v>
      </c>
    </row>
    <row r="2182" spans="1:9" x14ac:dyDescent="0.25">
      <c r="A2182" t="s">
        <v>2609</v>
      </c>
      <c r="B2182" t="s">
        <v>4470</v>
      </c>
      <c r="C2182" s="167">
        <v>154.44</v>
      </c>
      <c r="D2182" t="s">
        <v>671</v>
      </c>
      <c r="E2182" t="s">
        <v>1703</v>
      </c>
      <c r="F2182" t="s">
        <v>7339</v>
      </c>
      <c r="G2182" t="s">
        <v>7354</v>
      </c>
      <c r="I2182" t="s">
        <v>2809</v>
      </c>
    </row>
    <row r="2183" spans="1:9" x14ac:dyDescent="0.25">
      <c r="A2183" t="s">
        <v>2610</v>
      </c>
      <c r="B2183" t="s">
        <v>4471</v>
      </c>
      <c r="C2183" s="167">
        <v>174.29</v>
      </c>
      <c r="D2183" t="s">
        <v>21</v>
      </c>
      <c r="E2183" t="s">
        <v>1701</v>
      </c>
      <c r="F2183" t="s">
        <v>7341</v>
      </c>
      <c r="G2183" t="s">
        <v>7354</v>
      </c>
      <c r="I2183" t="s">
        <v>2809</v>
      </c>
    </row>
    <row r="2184" spans="1:9" x14ac:dyDescent="0.25">
      <c r="A2184" t="s">
        <v>2613</v>
      </c>
      <c r="B2184" t="s">
        <v>4474</v>
      </c>
      <c r="C2184" s="167">
        <v>174.29</v>
      </c>
      <c r="D2184" t="s">
        <v>563</v>
      </c>
      <c r="E2184" t="s">
        <v>1701</v>
      </c>
      <c r="F2184" t="s">
        <v>7341</v>
      </c>
      <c r="G2184" t="s">
        <v>7354</v>
      </c>
      <c r="I2184" t="s">
        <v>2809</v>
      </c>
    </row>
    <row r="2185" spans="1:9" x14ac:dyDescent="0.25">
      <c r="A2185" t="s">
        <v>2616</v>
      </c>
      <c r="B2185" t="s">
        <v>4477</v>
      </c>
      <c r="C2185" s="167">
        <v>174.29</v>
      </c>
      <c r="D2185" t="s">
        <v>671</v>
      </c>
      <c r="E2185" t="s">
        <v>1701</v>
      </c>
      <c r="F2185" t="s">
        <v>7341</v>
      </c>
      <c r="G2185" t="s">
        <v>7354</v>
      </c>
      <c r="I2185" t="s">
        <v>2809</v>
      </c>
    </row>
    <row r="2186" spans="1:9" x14ac:dyDescent="0.25">
      <c r="A2186" t="s">
        <v>2611</v>
      </c>
      <c r="B2186" t="s">
        <v>4472</v>
      </c>
      <c r="C2186" s="167">
        <v>174.29</v>
      </c>
      <c r="D2186" t="s">
        <v>21</v>
      </c>
      <c r="E2186" t="s">
        <v>1699</v>
      </c>
      <c r="F2186" t="s">
        <v>7341</v>
      </c>
      <c r="G2186" t="s">
        <v>7354</v>
      </c>
      <c r="I2186" t="s">
        <v>2809</v>
      </c>
    </row>
    <row r="2187" spans="1:9" x14ac:dyDescent="0.25">
      <c r="A2187" t="s">
        <v>2614</v>
      </c>
      <c r="B2187" t="s">
        <v>4475</v>
      </c>
      <c r="C2187" s="167">
        <v>174.29</v>
      </c>
      <c r="D2187" t="s">
        <v>563</v>
      </c>
      <c r="E2187" t="s">
        <v>1699</v>
      </c>
      <c r="F2187" t="s">
        <v>7341</v>
      </c>
      <c r="G2187" t="s">
        <v>7354</v>
      </c>
      <c r="I2187" t="s">
        <v>2809</v>
      </c>
    </row>
    <row r="2188" spans="1:9" x14ac:dyDescent="0.25">
      <c r="A2188" t="s">
        <v>2617</v>
      </c>
      <c r="B2188" t="s">
        <v>4478</v>
      </c>
      <c r="C2188" s="167">
        <v>174.29</v>
      </c>
      <c r="D2188" t="s">
        <v>671</v>
      </c>
      <c r="E2188" t="s">
        <v>1699</v>
      </c>
      <c r="F2188" t="s">
        <v>7341</v>
      </c>
      <c r="G2188" t="s">
        <v>7354</v>
      </c>
      <c r="I2188" t="s">
        <v>2809</v>
      </c>
    </row>
    <row r="2189" spans="1:9" x14ac:dyDescent="0.25">
      <c r="A2189" t="s">
        <v>2612</v>
      </c>
      <c r="B2189" t="s">
        <v>4473</v>
      </c>
      <c r="C2189" s="167">
        <v>174.29</v>
      </c>
      <c r="D2189" t="s">
        <v>21</v>
      </c>
      <c r="E2189" t="s">
        <v>1703</v>
      </c>
      <c r="F2189" t="s">
        <v>7341</v>
      </c>
      <c r="G2189" t="s">
        <v>7354</v>
      </c>
      <c r="I2189" t="s">
        <v>2809</v>
      </c>
    </row>
    <row r="2190" spans="1:9" x14ac:dyDescent="0.25">
      <c r="A2190" t="s">
        <v>2615</v>
      </c>
      <c r="B2190" t="s">
        <v>4476</v>
      </c>
      <c r="C2190" s="167">
        <v>174.29</v>
      </c>
      <c r="D2190" t="s">
        <v>563</v>
      </c>
      <c r="E2190" t="s">
        <v>1703</v>
      </c>
      <c r="F2190" t="s">
        <v>7341</v>
      </c>
      <c r="G2190" t="s">
        <v>7354</v>
      </c>
      <c r="I2190" t="s">
        <v>2809</v>
      </c>
    </row>
    <row r="2191" spans="1:9" x14ac:dyDescent="0.25">
      <c r="A2191" t="s">
        <v>2618</v>
      </c>
      <c r="B2191" t="s">
        <v>4479</v>
      </c>
      <c r="C2191" s="167">
        <v>174.29</v>
      </c>
      <c r="D2191" t="s">
        <v>671</v>
      </c>
      <c r="E2191" t="s">
        <v>1703</v>
      </c>
      <c r="F2191" t="s">
        <v>7341</v>
      </c>
      <c r="G2191" t="s">
        <v>7354</v>
      </c>
      <c r="I2191" t="s">
        <v>2809</v>
      </c>
    </row>
    <row r="2192" spans="1:9" x14ac:dyDescent="0.25">
      <c r="A2192" t="s">
        <v>2619</v>
      </c>
      <c r="B2192" t="s">
        <v>4480</v>
      </c>
      <c r="C2192" s="167">
        <v>194.12</v>
      </c>
      <c r="D2192" t="s">
        <v>21</v>
      </c>
      <c r="E2192" t="s">
        <v>1701</v>
      </c>
      <c r="F2192" t="s">
        <v>7344</v>
      </c>
      <c r="G2192" t="s">
        <v>7354</v>
      </c>
      <c r="I2192" t="s">
        <v>2809</v>
      </c>
    </row>
    <row r="2193" spans="1:9" x14ac:dyDescent="0.25">
      <c r="A2193" t="s">
        <v>2622</v>
      </c>
      <c r="B2193" t="s">
        <v>4483</v>
      </c>
      <c r="C2193" s="167">
        <v>194.12</v>
      </c>
      <c r="D2193" t="s">
        <v>563</v>
      </c>
      <c r="E2193" t="s">
        <v>1701</v>
      </c>
      <c r="F2193" t="s">
        <v>7344</v>
      </c>
      <c r="G2193" t="s">
        <v>7354</v>
      </c>
      <c r="I2193" t="s">
        <v>2809</v>
      </c>
    </row>
    <row r="2194" spans="1:9" x14ac:dyDescent="0.25">
      <c r="A2194" t="s">
        <v>2625</v>
      </c>
      <c r="B2194" t="s">
        <v>4486</v>
      </c>
      <c r="C2194" s="167">
        <v>194.12</v>
      </c>
      <c r="D2194" t="s">
        <v>671</v>
      </c>
      <c r="E2194" t="s">
        <v>1701</v>
      </c>
      <c r="F2194" t="s">
        <v>7344</v>
      </c>
      <c r="G2194" t="s">
        <v>7354</v>
      </c>
      <c r="I2194" t="s">
        <v>2809</v>
      </c>
    </row>
    <row r="2195" spans="1:9" x14ac:dyDescent="0.25">
      <c r="A2195" t="s">
        <v>2620</v>
      </c>
      <c r="B2195" t="s">
        <v>4481</v>
      </c>
      <c r="C2195" s="167">
        <v>194.12</v>
      </c>
      <c r="D2195" t="s">
        <v>21</v>
      </c>
      <c r="E2195" t="s">
        <v>1699</v>
      </c>
      <c r="F2195" t="s">
        <v>7344</v>
      </c>
      <c r="G2195" t="s">
        <v>7354</v>
      </c>
      <c r="I2195" t="s">
        <v>2809</v>
      </c>
    </row>
    <row r="2196" spans="1:9" x14ac:dyDescent="0.25">
      <c r="A2196" t="s">
        <v>2623</v>
      </c>
      <c r="B2196" t="s">
        <v>4484</v>
      </c>
      <c r="C2196" s="167">
        <v>194.12</v>
      </c>
      <c r="D2196" t="s">
        <v>563</v>
      </c>
      <c r="E2196" t="s">
        <v>1699</v>
      </c>
      <c r="F2196" t="s">
        <v>7344</v>
      </c>
      <c r="G2196" t="s">
        <v>7354</v>
      </c>
      <c r="I2196" t="s">
        <v>2809</v>
      </c>
    </row>
    <row r="2197" spans="1:9" x14ac:dyDescent="0.25">
      <c r="A2197" t="s">
        <v>2626</v>
      </c>
      <c r="B2197" t="s">
        <v>4487</v>
      </c>
      <c r="C2197" s="167">
        <v>194.12</v>
      </c>
      <c r="D2197" t="s">
        <v>671</v>
      </c>
      <c r="E2197" t="s">
        <v>1699</v>
      </c>
      <c r="F2197" t="s">
        <v>7344</v>
      </c>
      <c r="G2197" t="s">
        <v>7354</v>
      </c>
      <c r="I2197" t="s">
        <v>2809</v>
      </c>
    </row>
    <row r="2198" spans="1:9" x14ac:dyDescent="0.25">
      <c r="A2198" t="s">
        <v>2621</v>
      </c>
      <c r="B2198" t="s">
        <v>4482</v>
      </c>
      <c r="C2198" s="167">
        <v>194.12</v>
      </c>
      <c r="D2198" t="s">
        <v>21</v>
      </c>
      <c r="E2198" t="s">
        <v>1703</v>
      </c>
      <c r="F2198" t="s">
        <v>7344</v>
      </c>
      <c r="G2198" t="s">
        <v>7354</v>
      </c>
      <c r="I2198" t="s">
        <v>2809</v>
      </c>
    </row>
    <row r="2199" spans="1:9" x14ac:dyDescent="0.25">
      <c r="A2199" t="s">
        <v>2624</v>
      </c>
      <c r="B2199" t="s">
        <v>4485</v>
      </c>
      <c r="C2199" s="167">
        <v>194.12</v>
      </c>
      <c r="D2199" t="s">
        <v>563</v>
      </c>
      <c r="E2199" t="s">
        <v>1703</v>
      </c>
      <c r="F2199" t="s">
        <v>7344</v>
      </c>
      <c r="G2199" t="s">
        <v>7354</v>
      </c>
      <c r="I2199" t="s">
        <v>2809</v>
      </c>
    </row>
    <row r="2200" spans="1:9" x14ac:dyDescent="0.25">
      <c r="A2200" t="s">
        <v>2627</v>
      </c>
      <c r="B2200" t="s">
        <v>4488</v>
      </c>
      <c r="C2200" s="167">
        <v>194.12</v>
      </c>
      <c r="D2200" t="s">
        <v>671</v>
      </c>
      <c r="E2200" t="s">
        <v>1703</v>
      </c>
      <c r="F2200" t="s">
        <v>7344</v>
      </c>
      <c r="G2200" t="s">
        <v>7354</v>
      </c>
      <c r="I2200" t="s">
        <v>2809</v>
      </c>
    </row>
    <row r="2201" spans="1:9" x14ac:dyDescent="0.25">
      <c r="A2201" t="s">
        <v>2628</v>
      </c>
      <c r="B2201" t="s">
        <v>4489</v>
      </c>
      <c r="C2201" s="167">
        <v>213.95</v>
      </c>
      <c r="D2201" t="s">
        <v>21</v>
      </c>
      <c r="E2201" t="s">
        <v>1701</v>
      </c>
      <c r="F2201" t="s">
        <v>7343</v>
      </c>
      <c r="G2201" t="s">
        <v>7354</v>
      </c>
      <c r="I2201" t="s">
        <v>2809</v>
      </c>
    </row>
    <row r="2202" spans="1:9" x14ac:dyDescent="0.25">
      <c r="A2202" t="s">
        <v>2631</v>
      </c>
      <c r="B2202" t="s">
        <v>4492</v>
      </c>
      <c r="C2202" s="167">
        <v>213.95</v>
      </c>
      <c r="D2202" t="s">
        <v>563</v>
      </c>
      <c r="E2202" t="s">
        <v>1701</v>
      </c>
      <c r="F2202" t="s">
        <v>7343</v>
      </c>
      <c r="G2202" t="s">
        <v>7354</v>
      </c>
      <c r="I2202" t="s">
        <v>2809</v>
      </c>
    </row>
    <row r="2203" spans="1:9" x14ac:dyDescent="0.25">
      <c r="A2203" t="s">
        <v>2634</v>
      </c>
      <c r="B2203" t="s">
        <v>4495</v>
      </c>
      <c r="C2203" s="167">
        <v>213.95</v>
      </c>
      <c r="D2203" t="s">
        <v>671</v>
      </c>
      <c r="E2203" t="s">
        <v>1701</v>
      </c>
      <c r="F2203" t="s">
        <v>7343</v>
      </c>
      <c r="G2203" t="s">
        <v>7354</v>
      </c>
      <c r="I2203" t="s">
        <v>2809</v>
      </c>
    </row>
    <row r="2204" spans="1:9" x14ac:dyDescent="0.25">
      <c r="A2204" t="s">
        <v>2629</v>
      </c>
      <c r="B2204" t="s">
        <v>4490</v>
      </c>
      <c r="C2204" s="167">
        <v>213.95</v>
      </c>
      <c r="D2204" t="s">
        <v>21</v>
      </c>
      <c r="E2204" t="s">
        <v>1699</v>
      </c>
      <c r="F2204" t="s">
        <v>7343</v>
      </c>
      <c r="G2204" t="s">
        <v>7354</v>
      </c>
      <c r="I2204" t="s">
        <v>2809</v>
      </c>
    </row>
    <row r="2205" spans="1:9" x14ac:dyDescent="0.25">
      <c r="A2205" t="s">
        <v>2632</v>
      </c>
      <c r="B2205" t="s">
        <v>4493</v>
      </c>
      <c r="C2205" s="167">
        <v>213.95</v>
      </c>
      <c r="D2205" t="s">
        <v>563</v>
      </c>
      <c r="E2205" t="s">
        <v>1699</v>
      </c>
      <c r="F2205" t="s">
        <v>7343</v>
      </c>
      <c r="G2205" t="s">
        <v>7354</v>
      </c>
      <c r="I2205" t="s">
        <v>2809</v>
      </c>
    </row>
    <row r="2206" spans="1:9" x14ac:dyDescent="0.25">
      <c r="A2206" t="s">
        <v>2635</v>
      </c>
      <c r="B2206" t="s">
        <v>4496</v>
      </c>
      <c r="C2206" s="167">
        <v>213.95</v>
      </c>
      <c r="D2206" t="s">
        <v>671</v>
      </c>
      <c r="E2206" t="s">
        <v>1699</v>
      </c>
      <c r="F2206" t="s">
        <v>7343</v>
      </c>
      <c r="G2206" t="s">
        <v>7354</v>
      </c>
      <c r="I2206" t="s">
        <v>2809</v>
      </c>
    </row>
    <row r="2207" spans="1:9" x14ac:dyDescent="0.25">
      <c r="A2207" t="s">
        <v>2630</v>
      </c>
      <c r="B2207" t="s">
        <v>4491</v>
      </c>
      <c r="C2207" s="167">
        <v>213.95</v>
      </c>
      <c r="D2207" t="s">
        <v>21</v>
      </c>
      <c r="E2207" t="s">
        <v>1703</v>
      </c>
      <c r="F2207" t="s">
        <v>7343</v>
      </c>
      <c r="G2207" t="s">
        <v>7354</v>
      </c>
      <c r="I2207" t="s">
        <v>2809</v>
      </c>
    </row>
    <row r="2208" spans="1:9" x14ac:dyDescent="0.25">
      <c r="A2208" t="s">
        <v>2633</v>
      </c>
      <c r="B2208" t="s">
        <v>4494</v>
      </c>
      <c r="C2208" s="167">
        <v>213.95</v>
      </c>
      <c r="D2208" t="s">
        <v>563</v>
      </c>
      <c r="E2208" t="s">
        <v>1703</v>
      </c>
      <c r="F2208" t="s">
        <v>7343</v>
      </c>
      <c r="G2208" t="s">
        <v>7354</v>
      </c>
      <c r="I2208" t="s">
        <v>2809</v>
      </c>
    </row>
    <row r="2209" spans="1:9" x14ac:dyDescent="0.25">
      <c r="A2209" t="s">
        <v>2636</v>
      </c>
      <c r="B2209" t="s">
        <v>4497</v>
      </c>
      <c r="C2209" s="167">
        <v>213.95</v>
      </c>
      <c r="D2209" t="s">
        <v>671</v>
      </c>
      <c r="E2209" t="s">
        <v>1703</v>
      </c>
      <c r="F2209" t="s">
        <v>7343</v>
      </c>
      <c r="G2209" t="s">
        <v>7354</v>
      </c>
      <c r="I2209" t="s">
        <v>2809</v>
      </c>
    </row>
    <row r="2210" spans="1:9" x14ac:dyDescent="0.25">
      <c r="A2210" t="s">
        <v>1539</v>
      </c>
      <c r="B2210" t="s">
        <v>3652</v>
      </c>
      <c r="C2210" s="167">
        <v>178.49</v>
      </c>
      <c r="D2210" t="s">
        <v>21</v>
      </c>
      <c r="E2210" t="s">
        <v>1701</v>
      </c>
      <c r="F2210" t="s">
        <v>7339</v>
      </c>
      <c r="G2210" t="s">
        <v>7354</v>
      </c>
      <c r="I2210" t="s">
        <v>2809</v>
      </c>
    </row>
    <row r="2211" spans="1:9" x14ac:dyDescent="0.25">
      <c r="A2211" t="s">
        <v>1542</v>
      </c>
      <c r="B2211" t="s">
        <v>3655</v>
      </c>
      <c r="C2211" s="167">
        <v>178.49</v>
      </c>
      <c r="D2211" t="s">
        <v>563</v>
      </c>
      <c r="E2211" t="s">
        <v>1701</v>
      </c>
      <c r="F2211" t="s">
        <v>7339</v>
      </c>
      <c r="G2211" t="s">
        <v>7354</v>
      </c>
      <c r="I2211" t="s">
        <v>2809</v>
      </c>
    </row>
    <row r="2212" spans="1:9" x14ac:dyDescent="0.25">
      <c r="A2212" t="s">
        <v>1545</v>
      </c>
      <c r="B2212" t="s">
        <v>3658</v>
      </c>
      <c r="C2212" s="167">
        <v>178.49</v>
      </c>
      <c r="D2212" t="s">
        <v>671</v>
      </c>
      <c r="E2212" t="s">
        <v>1701</v>
      </c>
      <c r="F2212" t="s">
        <v>7339</v>
      </c>
      <c r="G2212" t="s">
        <v>7354</v>
      </c>
      <c r="I2212" t="s">
        <v>2809</v>
      </c>
    </row>
    <row r="2213" spans="1:9" x14ac:dyDescent="0.25">
      <c r="A2213" t="s">
        <v>1540</v>
      </c>
      <c r="B2213" t="s">
        <v>3653</v>
      </c>
      <c r="C2213" s="167">
        <v>178.49</v>
      </c>
      <c r="D2213" t="s">
        <v>21</v>
      </c>
      <c r="E2213" t="s">
        <v>1699</v>
      </c>
      <c r="F2213" t="s">
        <v>7339</v>
      </c>
      <c r="G2213" t="s">
        <v>7354</v>
      </c>
      <c r="I2213" t="s">
        <v>2809</v>
      </c>
    </row>
    <row r="2214" spans="1:9" x14ac:dyDescent="0.25">
      <c r="A2214" t="s">
        <v>1543</v>
      </c>
      <c r="B2214" t="s">
        <v>3656</v>
      </c>
      <c r="C2214" s="167">
        <v>178.49</v>
      </c>
      <c r="D2214" t="s">
        <v>563</v>
      </c>
      <c r="E2214" t="s">
        <v>1699</v>
      </c>
      <c r="F2214" t="s">
        <v>7339</v>
      </c>
      <c r="G2214" t="s">
        <v>7354</v>
      </c>
      <c r="I2214" t="s">
        <v>2809</v>
      </c>
    </row>
    <row r="2215" spans="1:9" x14ac:dyDescent="0.25">
      <c r="A2215" t="s">
        <v>1546</v>
      </c>
      <c r="B2215" t="s">
        <v>3659</v>
      </c>
      <c r="C2215" s="167">
        <v>178.49</v>
      </c>
      <c r="D2215" t="s">
        <v>671</v>
      </c>
      <c r="E2215" t="s">
        <v>1699</v>
      </c>
      <c r="F2215" t="s">
        <v>7339</v>
      </c>
      <c r="G2215" t="s">
        <v>7354</v>
      </c>
      <c r="I2215" t="s">
        <v>2809</v>
      </c>
    </row>
    <row r="2216" spans="1:9" x14ac:dyDescent="0.25">
      <c r="A2216" t="s">
        <v>1541</v>
      </c>
      <c r="B2216" t="s">
        <v>3654</v>
      </c>
      <c r="C2216" s="167">
        <v>178.49</v>
      </c>
      <c r="D2216" t="s">
        <v>21</v>
      </c>
      <c r="E2216" t="s">
        <v>1703</v>
      </c>
      <c r="F2216" t="s">
        <v>7339</v>
      </c>
      <c r="G2216" t="s">
        <v>7354</v>
      </c>
      <c r="I2216" t="s">
        <v>2809</v>
      </c>
    </row>
    <row r="2217" spans="1:9" x14ac:dyDescent="0.25">
      <c r="A2217" t="s">
        <v>1544</v>
      </c>
      <c r="B2217" t="s">
        <v>3657</v>
      </c>
      <c r="C2217" s="167">
        <v>178.49</v>
      </c>
      <c r="D2217" t="s">
        <v>563</v>
      </c>
      <c r="E2217" t="s">
        <v>1703</v>
      </c>
      <c r="F2217" t="s">
        <v>7339</v>
      </c>
      <c r="G2217" t="s">
        <v>7354</v>
      </c>
      <c r="I2217" t="s">
        <v>2809</v>
      </c>
    </row>
    <row r="2218" spans="1:9" x14ac:dyDescent="0.25">
      <c r="A2218" t="s">
        <v>1547</v>
      </c>
      <c r="B2218" t="s">
        <v>3660</v>
      </c>
      <c r="C2218" s="167">
        <v>178.49</v>
      </c>
      <c r="D2218" t="s">
        <v>671</v>
      </c>
      <c r="E2218" t="s">
        <v>1703</v>
      </c>
      <c r="F2218" t="s">
        <v>7339</v>
      </c>
      <c r="G2218" t="s">
        <v>7354</v>
      </c>
      <c r="I2218" t="s">
        <v>2809</v>
      </c>
    </row>
    <row r="2219" spans="1:9" x14ac:dyDescent="0.25">
      <c r="A2219" t="s">
        <v>1548</v>
      </c>
      <c r="B2219" t="s">
        <v>3661</v>
      </c>
      <c r="C2219" s="167">
        <v>198.33</v>
      </c>
      <c r="D2219" t="s">
        <v>21</v>
      </c>
      <c r="E2219" t="s">
        <v>1701</v>
      </c>
      <c r="F2219" t="s">
        <v>7341</v>
      </c>
      <c r="G2219" t="s">
        <v>7354</v>
      </c>
      <c r="I2219" t="s">
        <v>2809</v>
      </c>
    </row>
    <row r="2220" spans="1:9" x14ac:dyDescent="0.25">
      <c r="A2220" t="s">
        <v>1551</v>
      </c>
      <c r="B2220" t="s">
        <v>3664</v>
      </c>
      <c r="C2220" s="167">
        <v>198.33</v>
      </c>
      <c r="D2220" t="s">
        <v>563</v>
      </c>
      <c r="E2220" t="s">
        <v>1701</v>
      </c>
      <c r="F2220" t="s">
        <v>7341</v>
      </c>
      <c r="G2220" t="s">
        <v>7354</v>
      </c>
      <c r="I2220" t="s">
        <v>2809</v>
      </c>
    </row>
    <row r="2221" spans="1:9" x14ac:dyDescent="0.25">
      <c r="A2221" t="s">
        <v>1554</v>
      </c>
      <c r="B2221" t="s">
        <v>3667</v>
      </c>
      <c r="C2221" s="167">
        <v>198.33</v>
      </c>
      <c r="D2221" t="s">
        <v>671</v>
      </c>
      <c r="E2221" t="s">
        <v>1701</v>
      </c>
      <c r="F2221" t="s">
        <v>7341</v>
      </c>
      <c r="G2221" t="s">
        <v>7354</v>
      </c>
      <c r="I2221" t="s">
        <v>2809</v>
      </c>
    </row>
    <row r="2222" spans="1:9" x14ac:dyDescent="0.25">
      <c r="A2222" t="s">
        <v>1549</v>
      </c>
      <c r="B2222" t="s">
        <v>3662</v>
      </c>
      <c r="C2222" s="167">
        <v>198.33</v>
      </c>
      <c r="D2222" t="s">
        <v>21</v>
      </c>
      <c r="E2222" t="s">
        <v>1699</v>
      </c>
      <c r="F2222" t="s">
        <v>7341</v>
      </c>
      <c r="G2222" t="s">
        <v>7354</v>
      </c>
      <c r="I2222" t="s">
        <v>2809</v>
      </c>
    </row>
    <row r="2223" spans="1:9" x14ac:dyDescent="0.25">
      <c r="A2223" t="s">
        <v>1552</v>
      </c>
      <c r="B2223" t="s">
        <v>3665</v>
      </c>
      <c r="C2223" s="167">
        <v>198.33</v>
      </c>
      <c r="D2223" t="s">
        <v>563</v>
      </c>
      <c r="E2223" t="s">
        <v>1699</v>
      </c>
      <c r="F2223" t="s">
        <v>7341</v>
      </c>
      <c r="G2223" t="s">
        <v>7354</v>
      </c>
      <c r="I2223" t="s">
        <v>2809</v>
      </c>
    </row>
    <row r="2224" spans="1:9" x14ac:dyDescent="0.25">
      <c r="A2224" t="s">
        <v>1555</v>
      </c>
      <c r="B2224" t="s">
        <v>3668</v>
      </c>
      <c r="C2224" s="167">
        <v>198.33</v>
      </c>
      <c r="D2224" t="s">
        <v>671</v>
      </c>
      <c r="E2224" t="s">
        <v>1699</v>
      </c>
      <c r="F2224" t="s">
        <v>7341</v>
      </c>
      <c r="G2224" t="s">
        <v>7354</v>
      </c>
      <c r="I2224" t="s">
        <v>2809</v>
      </c>
    </row>
    <row r="2225" spans="1:9" x14ac:dyDescent="0.25">
      <c r="A2225" t="s">
        <v>1550</v>
      </c>
      <c r="B2225" t="s">
        <v>3663</v>
      </c>
      <c r="C2225" s="167">
        <v>198.33</v>
      </c>
      <c r="D2225" t="s">
        <v>21</v>
      </c>
      <c r="E2225" t="s">
        <v>1703</v>
      </c>
      <c r="F2225" t="s">
        <v>7341</v>
      </c>
      <c r="G2225" t="s">
        <v>7354</v>
      </c>
      <c r="I2225" t="s">
        <v>2809</v>
      </c>
    </row>
    <row r="2226" spans="1:9" x14ac:dyDescent="0.25">
      <c r="A2226" t="s">
        <v>1553</v>
      </c>
      <c r="B2226" t="s">
        <v>3666</v>
      </c>
      <c r="C2226" s="167">
        <v>198.33</v>
      </c>
      <c r="D2226" t="s">
        <v>563</v>
      </c>
      <c r="E2226" t="s">
        <v>1703</v>
      </c>
      <c r="F2226" t="s">
        <v>7341</v>
      </c>
      <c r="G2226" t="s">
        <v>7354</v>
      </c>
      <c r="I2226" t="s">
        <v>2809</v>
      </c>
    </row>
    <row r="2227" spans="1:9" x14ac:dyDescent="0.25">
      <c r="A2227" t="s">
        <v>1556</v>
      </c>
      <c r="B2227" t="s">
        <v>3669</v>
      </c>
      <c r="C2227" s="167">
        <v>198.33</v>
      </c>
      <c r="D2227" t="s">
        <v>671</v>
      </c>
      <c r="E2227" t="s">
        <v>1703</v>
      </c>
      <c r="F2227" t="s">
        <v>7341</v>
      </c>
      <c r="G2227" t="s">
        <v>7354</v>
      </c>
      <c r="I2227" t="s">
        <v>2809</v>
      </c>
    </row>
    <row r="2228" spans="1:9" x14ac:dyDescent="0.25">
      <c r="A2228" t="s">
        <v>1557</v>
      </c>
      <c r="B2228" t="s">
        <v>3670</v>
      </c>
      <c r="C2228" s="167">
        <v>218.15</v>
      </c>
      <c r="D2228" t="s">
        <v>21</v>
      </c>
      <c r="E2228" t="s">
        <v>1701</v>
      </c>
      <c r="F2228" t="s">
        <v>7344</v>
      </c>
      <c r="G2228" t="s">
        <v>7354</v>
      </c>
      <c r="I2228" t="s">
        <v>2809</v>
      </c>
    </row>
    <row r="2229" spans="1:9" x14ac:dyDescent="0.25">
      <c r="A2229" t="s">
        <v>1560</v>
      </c>
      <c r="B2229" t="s">
        <v>3673</v>
      </c>
      <c r="C2229" s="167">
        <v>218.15</v>
      </c>
      <c r="D2229" t="s">
        <v>563</v>
      </c>
      <c r="E2229" t="s">
        <v>1701</v>
      </c>
      <c r="F2229" t="s">
        <v>7344</v>
      </c>
      <c r="G2229" t="s">
        <v>7354</v>
      </c>
      <c r="I2229" t="s">
        <v>2809</v>
      </c>
    </row>
    <row r="2230" spans="1:9" x14ac:dyDescent="0.25">
      <c r="A2230" t="s">
        <v>1563</v>
      </c>
      <c r="B2230" t="s">
        <v>3676</v>
      </c>
      <c r="C2230" s="167">
        <v>218.15</v>
      </c>
      <c r="D2230" t="s">
        <v>671</v>
      </c>
      <c r="E2230" t="s">
        <v>1701</v>
      </c>
      <c r="F2230" t="s">
        <v>7344</v>
      </c>
      <c r="G2230" t="s">
        <v>7354</v>
      </c>
      <c r="I2230" t="s">
        <v>2809</v>
      </c>
    </row>
    <row r="2231" spans="1:9" x14ac:dyDescent="0.25">
      <c r="A2231" t="s">
        <v>1558</v>
      </c>
      <c r="B2231" t="s">
        <v>3671</v>
      </c>
      <c r="C2231" s="167">
        <v>218.15</v>
      </c>
      <c r="D2231" t="s">
        <v>21</v>
      </c>
      <c r="E2231" t="s">
        <v>1699</v>
      </c>
      <c r="F2231" t="s">
        <v>7344</v>
      </c>
      <c r="G2231" t="s">
        <v>7354</v>
      </c>
      <c r="I2231" t="s">
        <v>2809</v>
      </c>
    </row>
    <row r="2232" spans="1:9" x14ac:dyDescent="0.25">
      <c r="A2232" t="s">
        <v>1561</v>
      </c>
      <c r="B2232" t="s">
        <v>3674</v>
      </c>
      <c r="C2232" s="167">
        <v>218.15</v>
      </c>
      <c r="D2232" t="s">
        <v>563</v>
      </c>
      <c r="E2232" t="s">
        <v>1699</v>
      </c>
      <c r="F2232" t="s">
        <v>7344</v>
      </c>
      <c r="G2232" t="s">
        <v>7354</v>
      </c>
      <c r="I2232" t="s">
        <v>2809</v>
      </c>
    </row>
    <row r="2233" spans="1:9" x14ac:dyDescent="0.25">
      <c r="A2233" t="s">
        <v>1564</v>
      </c>
      <c r="B2233" t="s">
        <v>3677</v>
      </c>
      <c r="C2233" s="167">
        <v>218.15</v>
      </c>
      <c r="D2233" t="s">
        <v>671</v>
      </c>
      <c r="E2233" t="s">
        <v>1699</v>
      </c>
      <c r="F2233" t="s">
        <v>7344</v>
      </c>
      <c r="G2233" t="s">
        <v>7354</v>
      </c>
      <c r="I2233" t="s">
        <v>2809</v>
      </c>
    </row>
    <row r="2234" spans="1:9" x14ac:dyDescent="0.25">
      <c r="A2234" t="s">
        <v>1559</v>
      </c>
      <c r="B2234" t="s">
        <v>3672</v>
      </c>
      <c r="C2234" s="167">
        <v>218.15</v>
      </c>
      <c r="D2234" t="s">
        <v>21</v>
      </c>
      <c r="E2234" t="s">
        <v>1703</v>
      </c>
      <c r="F2234" t="s">
        <v>7344</v>
      </c>
      <c r="G2234" t="s">
        <v>7354</v>
      </c>
      <c r="I2234" t="s">
        <v>2809</v>
      </c>
    </row>
    <row r="2235" spans="1:9" x14ac:dyDescent="0.25">
      <c r="A2235" t="s">
        <v>1562</v>
      </c>
      <c r="B2235" t="s">
        <v>3675</v>
      </c>
      <c r="C2235" s="167">
        <v>218.15</v>
      </c>
      <c r="D2235" t="s">
        <v>563</v>
      </c>
      <c r="E2235" t="s">
        <v>1703</v>
      </c>
      <c r="F2235" t="s">
        <v>7344</v>
      </c>
      <c r="G2235" t="s">
        <v>7354</v>
      </c>
      <c r="I2235" t="s">
        <v>2809</v>
      </c>
    </row>
    <row r="2236" spans="1:9" x14ac:dyDescent="0.25">
      <c r="A2236" t="s">
        <v>1565</v>
      </c>
      <c r="B2236" t="s">
        <v>3678</v>
      </c>
      <c r="C2236" s="167">
        <v>218.15</v>
      </c>
      <c r="D2236" t="s">
        <v>671</v>
      </c>
      <c r="E2236" t="s">
        <v>1703</v>
      </c>
      <c r="F2236" t="s">
        <v>7344</v>
      </c>
      <c r="G2236" t="s">
        <v>7354</v>
      </c>
      <c r="I2236" t="s">
        <v>2809</v>
      </c>
    </row>
    <row r="2237" spans="1:9" x14ac:dyDescent="0.25">
      <c r="A2237" t="s">
        <v>1566</v>
      </c>
      <c r="B2237" t="s">
        <v>3679</v>
      </c>
      <c r="C2237" s="167">
        <v>244.6</v>
      </c>
      <c r="D2237" t="s">
        <v>21</v>
      </c>
      <c r="E2237" t="s">
        <v>1701</v>
      </c>
      <c r="F2237" t="s">
        <v>7343</v>
      </c>
      <c r="G2237" t="s">
        <v>7354</v>
      </c>
      <c r="I2237" t="s">
        <v>2809</v>
      </c>
    </row>
    <row r="2238" spans="1:9" x14ac:dyDescent="0.25">
      <c r="A2238" t="s">
        <v>1569</v>
      </c>
      <c r="B2238" t="s">
        <v>3682</v>
      </c>
      <c r="C2238" s="167">
        <v>244.6</v>
      </c>
      <c r="D2238" t="s">
        <v>563</v>
      </c>
      <c r="E2238" t="s">
        <v>1701</v>
      </c>
      <c r="F2238" t="s">
        <v>7343</v>
      </c>
      <c r="G2238" t="s">
        <v>7354</v>
      </c>
      <c r="I2238" t="s">
        <v>2809</v>
      </c>
    </row>
    <row r="2239" spans="1:9" x14ac:dyDescent="0.25">
      <c r="A2239" t="s">
        <v>1572</v>
      </c>
      <c r="B2239" t="s">
        <v>3685</v>
      </c>
      <c r="C2239" s="167">
        <v>244.6</v>
      </c>
      <c r="D2239" t="s">
        <v>671</v>
      </c>
      <c r="E2239" t="s">
        <v>1701</v>
      </c>
      <c r="F2239" t="s">
        <v>7343</v>
      </c>
      <c r="G2239" t="s">
        <v>7354</v>
      </c>
      <c r="I2239" t="s">
        <v>2809</v>
      </c>
    </row>
    <row r="2240" spans="1:9" x14ac:dyDescent="0.25">
      <c r="A2240" t="s">
        <v>1567</v>
      </c>
      <c r="B2240" t="s">
        <v>3680</v>
      </c>
      <c r="C2240" s="167">
        <v>244.6</v>
      </c>
      <c r="D2240" t="s">
        <v>21</v>
      </c>
      <c r="E2240" t="s">
        <v>1699</v>
      </c>
      <c r="F2240" t="s">
        <v>7343</v>
      </c>
      <c r="G2240" t="s">
        <v>7354</v>
      </c>
      <c r="I2240" t="s">
        <v>2809</v>
      </c>
    </row>
    <row r="2241" spans="1:9" x14ac:dyDescent="0.25">
      <c r="A2241" t="s">
        <v>1570</v>
      </c>
      <c r="B2241" t="s">
        <v>3683</v>
      </c>
      <c r="C2241" s="167">
        <v>244.6</v>
      </c>
      <c r="D2241" t="s">
        <v>563</v>
      </c>
      <c r="E2241" t="s">
        <v>1699</v>
      </c>
      <c r="F2241" t="s">
        <v>7343</v>
      </c>
      <c r="G2241" t="s">
        <v>7354</v>
      </c>
      <c r="I2241" t="s">
        <v>2809</v>
      </c>
    </row>
    <row r="2242" spans="1:9" x14ac:dyDescent="0.25">
      <c r="A2242" t="s">
        <v>1573</v>
      </c>
      <c r="B2242" t="s">
        <v>3686</v>
      </c>
      <c r="C2242" s="167">
        <v>244.6</v>
      </c>
      <c r="D2242" t="s">
        <v>671</v>
      </c>
      <c r="E2242" t="s">
        <v>1699</v>
      </c>
      <c r="F2242" t="s">
        <v>7343</v>
      </c>
      <c r="G2242" t="s">
        <v>7354</v>
      </c>
      <c r="I2242" t="s">
        <v>2809</v>
      </c>
    </row>
    <row r="2243" spans="1:9" x14ac:dyDescent="0.25">
      <c r="A2243" t="s">
        <v>1568</v>
      </c>
      <c r="B2243" t="s">
        <v>3681</v>
      </c>
      <c r="C2243" s="167">
        <v>244.6</v>
      </c>
      <c r="D2243" t="s">
        <v>21</v>
      </c>
      <c r="E2243" t="s">
        <v>1703</v>
      </c>
      <c r="F2243" t="s">
        <v>7343</v>
      </c>
      <c r="G2243" t="s">
        <v>7354</v>
      </c>
      <c r="I2243" t="s">
        <v>2809</v>
      </c>
    </row>
    <row r="2244" spans="1:9" x14ac:dyDescent="0.25">
      <c r="A2244" t="s">
        <v>1571</v>
      </c>
      <c r="B2244" t="s">
        <v>3684</v>
      </c>
      <c r="C2244" s="167">
        <v>244.6</v>
      </c>
      <c r="D2244" t="s">
        <v>563</v>
      </c>
      <c r="E2244" t="s">
        <v>1703</v>
      </c>
      <c r="F2244" t="s">
        <v>7343</v>
      </c>
      <c r="G2244" t="s">
        <v>7354</v>
      </c>
      <c r="I2244" t="s">
        <v>2809</v>
      </c>
    </row>
    <row r="2245" spans="1:9" x14ac:dyDescent="0.25">
      <c r="A2245" t="s">
        <v>1574</v>
      </c>
      <c r="B2245" t="s">
        <v>3687</v>
      </c>
      <c r="C2245" s="167">
        <v>244.6</v>
      </c>
      <c r="D2245" t="s">
        <v>671</v>
      </c>
      <c r="E2245" t="s">
        <v>1703</v>
      </c>
      <c r="F2245" t="s">
        <v>7343</v>
      </c>
      <c r="G2245" t="s">
        <v>7354</v>
      </c>
      <c r="I2245" t="s">
        <v>2809</v>
      </c>
    </row>
    <row r="2246" spans="1:9" x14ac:dyDescent="0.25">
      <c r="A2246" t="s">
        <v>1575</v>
      </c>
      <c r="B2246" t="s">
        <v>3688</v>
      </c>
      <c r="C2246" s="167">
        <v>185.1</v>
      </c>
      <c r="D2246" t="s">
        <v>21</v>
      </c>
      <c r="E2246" t="s">
        <v>1701</v>
      </c>
      <c r="F2246" t="s">
        <v>7339</v>
      </c>
      <c r="G2246" t="s">
        <v>7354</v>
      </c>
      <c r="I2246" t="s">
        <v>2809</v>
      </c>
    </row>
    <row r="2247" spans="1:9" x14ac:dyDescent="0.25">
      <c r="A2247" t="s">
        <v>1578</v>
      </c>
      <c r="B2247" t="s">
        <v>3691</v>
      </c>
      <c r="C2247" s="167">
        <v>185.1</v>
      </c>
      <c r="D2247" t="s">
        <v>563</v>
      </c>
      <c r="E2247" t="s">
        <v>1701</v>
      </c>
      <c r="F2247" t="s">
        <v>7339</v>
      </c>
      <c r="G2247" t="s">
        <v>7354</v>
      </c>
      <c r="I2247" t="s">
        <v>2809</v>
      </c>
    </row>
    <row r="2248" spans="1:9" x14ac:dyDescent="0.25">
      <c r="A2248" t="s">
        <v>1581</v>
      </c>
      <c r="B2248" t="s">
        <v>3694</v>
      </c>
      <c r="C2248" s="167">
        <v>185.1</v>
      </c>
      <c r="D2248" t="s">
        <v>671</v>
      </c>
      <c r="E2248" t="s">
        <v>1701</v>
      </c>
      <c r="F2248" t="s">
        <v>7339</v>
      </c>
      <c r="G2248" t="s">
        <v>7354</v>
      </c>
      <c r="I2248" t="s">
        <v>2809</v>
      </c>
    </row>
    <row r="2249" spans="1:9" x14ac:dyDescent="0.25">
      <c r="A2249" t="s">
        <v>1576</v>
      </c>
      <c r="B2249" t="s">
        <v>3689</v>
      </c>
      <c r="C2249" s="167">
        <v>185.1</v>
      </c>
      <c r="D2249" t="s">
        <v>21</v>
      </c>
      <c r="E2249" t="s">
        <v>1699</v>
      </c>
      <c r="F2249" t="s">
        <v>7339</v>
      </c>
      <c r="G2249" t="s">
        <v>7354</v>
      </c>
      <c r="I2249" t="s">
        <v>2809</v>
      </c>
    </row>
    <row r="2250" spans="1:9" x14ac:dyDescent="0.25">
      <c r="A2250" t="s">
        <v>1579</v>
      </c>
      <c r="B2250" t="s">
        <v>3692</v>
      </c>
      <c r="C2250" s="167">
        <v>185.1</v>
      </c>
      <c r="D2250" t="s">
        <v>563</v>
      </c>
      <c r="E2250" t="s">
        <v>1699</v>
      </c>
      <c r="F2250" t="s">
        <v>7339</v>
      </c>
      <c r="G2250" t="s">
        <v>7354</v>
      </c>
      <c r="I2250" t="s">
        <v>2809</v>
      </c>
    </row>
    <row r="2251" spans="1:9" x14ac:dyDescent="0.25">
      <c r="A2251" t="s">
        <v>1582</v>
      </c>
      <c r="B2251" t="s">
        <v>3695</v>
      </c>
      <c r="C2251" s="167">
        <v>185.1</v>
      </c>
      <c r="D2251" t="s">
        <v>671</v>
      </c>
      <c r="E2251" t="s">
        <v>1699</v>
      </c>
      <c r="F2251" t="s">
        <v>7339</v>
      </c>
      <c r="G2251" t="s">
        <v>7354</v>
      </c>
      <c r="I2251" t="s">
        <v>2809</v>
      </c>
    </row>
    <row r="2252" spans="1:9" x14ac:dyDescent="0.25">
      <c r="A2252" t="s">
        <v>1577</v>
      </c>
      <c r="B2252" t="s">
        <v>3690</v>
      </c>
      <c r="C2252" s="167">
        <v>185.1</v>
      </c>
      <c r="D2252" t="s">
        <v>21</v>
      </c>
      <c r="E2252" t="s">
        <v>1703</v>
      </c>
      <c r="F2252" t="s">
        <v>7339</v>
      </c>
      <c r="G2252" t="s">
        <v>7354</v>
      </c>
      <c r="I2252" t="s">
        <v>2809</v>
      </c>
    </row>
    <row r="2253" spans="1:9" x14ac:dyDescent="0.25">
      <c r="A2253" t="s">
        <v>1580</v>
      </c>
      <c r="B2253" t="s">
        <v>3693</v>
      </c>
      <c r="C2253" s="167">
        <v>185.1</v>
      </c>
      <c r="D2253" t="s">
        <v>563</v>
      </c>
      <c r="E2253" t="s">
        <v>1703</v>
      </c>
      <c r="F2253" t="s">
        <v>7339</v>
      </c>
      <c r="G2253" t="s">
        <v>7354</v>
      </c>
      <c r="I2253" t="s">
        <v>2809</v>
      </c>
    </row>
    <row r="2254" spans="1:9" x14ac:dyDescent="0.25">
      <c r="A2254" t="s">
        <v>1583</v>
      </c>
      <c r="B2254" t="s">
        <v>3696</v>
      </c>
      <c r="C2254" s="167">
        <v>185.1</v>
      </c>
      <c r="D2254" t="s">
        <v>671</v>
      </c>
      <c r="E2254" t="s">
        <v>1703</v>
      </c>
      <c r="F2254" t="s">
        <v>7339</v>
      </c>
      <c r="G2254" t="s">
        <v>7354</v>
      </c>
      <c r="I2254" t="s">
        <v>2809</v>
      </c>
    </row>
    <row r="2255" spans="1:9" x14ac:dyDescent="0.25">
      <c r="A2255" t="s">
        <v>1584</v>
      </c>
      <c r="B2255" t="s">
        <v>3697</v>
      </c>
      <c r="C2255" s="167">
        <v>204.93</v>
      </c>
      <c r="D2255" t="s">
        <v>21</v>
      </c>
      <c r="E2255" t="s">
        <v>1701</v>
      </c>
      <c r="F2255" t="s">
        <v>7341</v>
      </c>
      <c r="G2255" t="s">
        <v>7354</v>
      </c>
      <c r="I2255" t="s">
        <v>2809</v>
      </c>
    </row>
    <row r="2256" spans="1:9" x14ac:dyDescent="0.25">
      <c r="A2256" t="s">
        <v>1587</v>
      </c>
      <c r="B2256" t="s">
        <v>3700</v>
      </c>
      <c r="C2256" s="167">
        <v>204.93</v>
      </c>
      <c r="D2256" t="s">
        <v>563</v>
      </c>
      <c r="E2256" t="s">
        <v>1701</v>
      </c>
      <c r="F2256" t="s">
        <v>7341</v>
      </c>
      <c r="G2256" t="s">
        <v>7354</v>
      </c>
      <c r="I2256" t="s">
        <v>2809</v>
      </c>
    </row>
    <row r="2257" spans="1:9" x14ac:dyDescent="0.25">
      <c r="A2257" t="s">
        <v>1590</v>
      </c>
      <c r="B2257" t="s">
        <v>3703</v>
      </c>
      <c r="C2257" s="167">
        <v>204.93</v>
      </c>
      <c r="D2257" t="s">
        <v>671</v>
      </c>
      <c r="E2257" t="s">
        <v>1701</v>
      </c>
      <c r="F2257" t="s">
        <v>7341</v>
      </c>
      <c r="G2257" t="s">
        <v>7354</v>
      </c>
      <c r="I2257" t="s">
        <v>2809</v>
      </c>
    </row>
    <row r="2258" spans="1:9" x14ac:dyDescent="0.25">
      <c r="A2258" t="s">
        <v>1585</v>
      </c>
      <c r="B2258" t="s">
        <v>3698</v>
      </c>
      <c r="C2258" s="167">
        <v>204.93</v>
      </c>
      <c r="D2258" t="s">
        <v>21</v>
      </c>
      <c r="E2258" t="s">
        <v>1699</v>
      </c>
      <c r="F2258" t="s">
        <v>7341</v>
      </c>
      <c r="G2258" t="s">
        <v>7354</v>
      </c>
      <c r="I2258" t="s">
        <v>2809</v>
      </c>
    </row>
    <row r="2259" spans="1:9" x14ac:dyDescent="0.25">
      <c r="A2259" t="s">
        <v>1588</v>
      </c>
      <c r="B2259" t="s">
        <v>3701</v>
      </c>
      <c r="C2259" s="167">
        <v>204.93</v>
      </c>
      <c r="D2259" t="s">
        <v>563</v>
      </c>
      <c r="E2259" t="s">
        <v>1699</v>
      </c>
      <c r="F2259" t="s">
        <v>7341</v>
      </c>
      <c r="G2259" t="s">
        <v>7354</v>
      </c>
      <c r="I2259" t="s">
        <v>2809</v>
      </c>
    </row>
    <row r="2260" spans="1:9" x14ac:dyDescent="0.25">
      <c r="A2260" t="s">
        <v>1591</v>
      </c>
      <c r="B2260" t="s">
        <v>3704</v>
      </c>
      <c r="C2260" s="167">
        <v>204.93</v>
      </c>
      <c r="D2260" t="s">
        <v>671</v>
      </c>
      <c r="E2260" t="s">
        <v>1699</v>
      </c>
      <c r="F2260" t="s">
        <v>7341</v>
      </c>
      <c r="G2260" t="s">
        <v>7354</v>
      </c>
      <c r="I2260" t="s">
        <v>2809</v>
      </c>
    </row>
    <row r="2261" spans="1:9" x14ac:dyDescent="0.25">
      <c r="A2261" t="s">
        <v>1586</v>
      </c>
      <c r="B2261" t="s">
        <v>3699</v>
      </c>
      <c r="C2261" s="167">
        <v>204.93</v>
      </c>
      <c r="D2261" t="s">
        <v>21</v>
      </c>
      <c r="E2261" t="s">
        <v>1703</v>
      </c>
      <c r="F2261" t="s">
        <v>7341</v>
      </c>
      <c r="G2261" t="s">
        <v>7354</v>
      </c>
      <c r="I2261" t="s">
        <v>2809</v>
      </c>
    </row>
    <row r="2262" spans="1:9" x14ac:dyDescent="0.25">
      <c r="A2262" t="s">
        <v>1589</v>
      </c>
      <c r="B2262" t="s">
        <v>3702</v>
      </c>
      <c r="C2262" s="167">
        <v>204.93</v>
      </c>
      <c r="D2262" t="s">
        <v>563</v>
      </c>
      <c r="E2262" t="s">
        <v>1703</v>
      </c>
      <c r="F2262" t="s">
        <v>7341</v>
      </c>
      <c r="G2262" t="s">
        <v>7354</v>
      </c>
      <c r="I2262" t="s">
        <v>2809</v>
      </c>
    </row>
    <row r="2263" spans="1:9" x14ac:dyDescent="0.25">
      <c r="A2263" t="s">
        <v>1592</v>
      </c>
      <c r="B2263" t="s">
        <v>3705</v>
      </c>
      <c r="C2263" s="167">
        <v>204.93</v>
      </c>
      <c r="D2263" t="s">
        <v>671</v>
      </c>
      <c r="E2263" t="s">
        <v>1703</v>
      </c>
      <c r="F2263" t="s">
        <v>7341</v>
      </c>
      <c r="G2263" t="s">
        <v>7354</v>
      </c>
      <c r="I2263" t="s">
        <v>2809</v>
      </c>
    </row>
    <row r="2264" spans="1:9" x14ac:dyDescent="0.25">
      <c r="A2264" t="s">
        <v>1593</v>
      </c>
      <c r="B2264" t="s">
        <v>3706</v>
      </c>
      <c r="C2264" s="167">
        <v>224.78</v>
      </c>
      <c r="D2264" t="s">
        <v>21</v>
      </c>
      <c r="E2264" t="s">
        <v>1701</v>
      </c>
      <c r="F2264" t="s">
        <v>7344</v>
      </c>
      <c r="G2264" t="s">
        <v>7354</v>
      </c>
      <c r="I2264" t="s">
        <v>2809</v>
      </c>
    </row>
    <row r="2265" spans="1:9" x14ac:dyDescent="0.25">
      <c r="A2265" t="s">
        <v>1596</v>
      </c>
      <c r="B2265" t="s">
        <v>3709</v>
      </c>
      <c r="C2265" s="167">
        <v>224.78</v>
      </c>
      <c r="D2265" t="s">
        <v>563</v>
      </c>
      <c r="E2265" t="s">
        <v>1701</v>
      </c>
      <c r="F2265" t="s">
        <v>7344</v>
      </c>
      <c r="G2265" t="s">
        <v>7354</v>
      </c>
      <c r="I2265" t="s">
        <v>2809</v>
      </c>
    </row>
    <row r="2266" spans="1:9" x14ac:dyDescent="0.25">
      <c r="A2266" t="s">
        <v>1599</v>
      </c>
      <c r="B2266" t="s">
        <v>3712</v>
      </c>
      <c r="C2266" s="167">
        <v>224.78</v>
      </c>
      <c r="D2266" t="s">
        <v>671</v>
      </c>
      <c r="E2266" t="s">
        <v>1701</v>
      </c>
      <c r="F2266" t="s">
        <v>7344</v>
      </c>
      <c r="G2266" t="s">
        <v>7354</v>
      </c>
      <c r="I2266" t="s">
        <v>2809</v>
      </c>
    </row>
    <row r="2267" spans="1:9" x14ac:dyDescent="0.25">
      <c r="A2267" t="s">
        <v>1594</v>
      </c>
      <c r="B2267" t="s">
        <v>3707</v>
      </c>
      <c r="C2267" s="167">
        <v>224.78</v>
      </c>
      <c r="D2267" t="s">
        <v>21</v>
      </c>
      <c r="E2267" t="s">
        <v>1699</v>
      </c>
      <c r="F2267" t="s">
        <v>7344</v>
      </c>
      <c r="G2267" t="s">
        <v>7354</v>
      </c>
      <c r="I2267" t="s">
        <v>2809</v>
      </c>
    </row>
    <row r="2268" spans="1:9" x14ac:dyDescent="0.25">
      <c r="A2268" t="s">
        <v>1597</v>
      </c>
      <c r="B2268" t="s">
        <v>3710</v>
      </c>
      <c r="C2268" s="167">
        <v>224.78</v>
      </c>
      <c r="D2268" t="s">
        <v>563</v>
      </c>
      <c r="E2268" t="s">
        <v>1699</v>
      </c>
      <c r="F2268" t="s">
        <v>7344</v>
      </c>
      <c r="G2268" t="s">
        <v>7354</v>
      </c>
      <c r="I2268" t="s">
        <v>2809</v>
      </c>
    </row>
    <row r="2269" spans="1:9" x14ac:dyDescent="0.25">
      <c r="A2269" t="s">
        <v>1600</v>
      </c>
      <c r="B2269" t="s">
        <v>3713</v>
      </c>
      <c r="C2269" s="167">
        <v>224.78</v>
      </c>
      <c r="D2269" t="s">
        <v>671</v>
      </c>
      <c r="E2269" t="s">
        <v>1699</v>
      </c>
      <c r="F2269" t="s">
        <v>7344</v>
      </c>
      <c r="G2269" t="s">
        <v>7354</v>
      </c>
      <c r="I2269" t="s">
        <v>2809</v>
      </c>
    </row>
    <row r="2270" spans="1:9" x14ac:dyDescent="0.25">
      <c r="A2270" t="s">
        <v>1595</v>
      </c>
      <c r="B2270" t="s">
        <v>3708</v>
      </c>
      <c r="C2270" s="167">
        <v>224.78</v>
      </c>
      <c r="D2270" t="s">
        <v>21</v>
      </c>
      <c r="E2270" t="s">
        <v>1703</v>
      </c>
      <c r="F2270" t="s">
        <v>7344</v>
      </c>
      <c r="G2270" t="s">
        <v>7354</v>
      </c>
      <c r="I2270" t="s">
        <v>2809</v>
      </c>
    </row>
    <row r="2271" spans="1:9" x14ac:dyDescent="0.25">
      <c r="A2271" t="s">
        <v>1598</v>
      </c>
      <c r="B2271" t="s">
        <v>3711</v>
      </c>
      <c r="C2271" s="167">
        <v>224.78</v>
      </c>
      <c r="D2271" t="s">
        <v>563</v>
      </c>
      <c r="E2271" t="s">
        <v>1703</v>
      </c>
      <c r="F2271" t="s">
        <v>7344</v>
      </c>
      <c r="G2271" t="s">
        <v>7354</v>
      </c>
      <c r="I2271" t="s">
        <v>2809</v>
      </c>
    </row>
    <row r="2272" spans="1:9" x14ac:dyDescent="0.25">
      <c r="A2272" t="s">
        <v>1601</v>
      </c>
      <c r="B2272" t="s">
        <v>3714</v>
      </c>
      <c r="C2272" s="167">
        <v>224.78</v>
      </c>
      <c r="D2272" t="s">
        <v>671</v>
      </c>
      <c r="E2272" t="s">
        <v>1703</v>
      </c>
      <c r="F2272" t="s">
        <v>7344</v>
      </c>
      <c r="G2272" t="s">
        <v>7354</v>
      </c>
      <c r="I2272" t="s">
        <v>2809</v>
      </c>
    </row>
    <row r="2273" spans="1:9" x14ac:dyDescent="0.25">
      <c r="A2273" t="s">
        <v>1602</v>
      </c>
      <c r="B2273" t="s">
        <v>3715</v>
      </c>
      <c r="C2273" s="167">
        <v>244.6</v>
      </c>
      <c r="D2273" t="s">
        <v>21</v>
      </c>
      <c r="E2273" t="s">
        <v>1701</v>
      </c>
      <c r="F2273" t="s">
        <v>7343</v>
      </c>
      <c r="G2273" t="s">
        <v>7354</v>
      </c>
      <c r="I2273" t="s">
        <v>2809</v>
      </c>
    </row>
    <row r="2274" spans="1:9" x14ac:dyDescent="0.25">
      <c r="A2274" t="s">
        <v>1605</v>
      </c>
      <c r="B2274" t="s">
        <v>3718</v>
      </c>
      <c r="C2274" s="167">
        <v>244.6</v>
      </c>
      <c r="D2274" t="s">
        <v>563</v>
      </c>
      <c r="E2274" t="s">
        <v>1701</v>
      </c>
      <c r="F2274" t="s">
        <v>7343</v>
      </c>
      <c r="G2274" t="s">
        <v>7354</v>
      </c>
      <c r="I2274" t="s">
        <v>2809</v>
      </c>
    </row>
    <row r="2275" spans="1:9" x14ac:dyDescent="0.25">
      <c r="A2275" t="s">
        <v>1608</v>
      </c>
      <c r="B2275" t="s">
        <v>3721</v>
      </c>
      <c r="C2275" s="167">
        <v>244.6</v>
      </c>
      <c r="D2275" t="s">
        <v>671</v>
      </c>
      <c r="E2275" t="s">
        <v>1701</v>
      </c>
      <c r="F2275" t="s">
        <v>7343</v>
      </c>
      <c r="G2275" t="s">
        <v>7354</v>
      </c>
      <c r="I2275" t="s">
        <v>2809</v>
      </c>
    </row>
    <row r="2276" spans="1:9" x14ac:dyDescent="0.25">
      <c r="A2276" t="s">
        <v>1603</v>
      </c>
      <c r="B2276" t="s">
        <v>3716</v>
      </c>
      <c r="C2276" s="167">
        <v>244.6</v>
      </c>
      <c r="D2276" t="s">
        <v>21</v>
      </c>
      <c r="E2276" t="s">
        <v>1699</v>
      </c>
      <c r="F2276" t="s">
        <v>7343</v>
      </c>
      <c r="G2276" t="s">
        <v>7354</v>
      </c>
      <c r="I2276" t="s">
        <v>2809</v>
      </c>
    </row>
    <row r="2277" spans="1:9" x14ac:dyDescent="0.25">
      <c r="A2277" t="s">
        <v>1606</v>
      </c>
      <c r="B2277" t="s">
        <v>3719</v>
      </c>
      <c r="C2277" s="167">
        <v>244.6</v>
      </c>
      <c r="D2277" t="s">
        <v>563</v>
      </c>
      <c r="E2277" t="s">
        <v>1699</v>
      </c>
      <c r="F2277" t="s">
        <v>7343</v>
      </c>
      <c r="G2277" t="s">
        <v>7354</v>
      </c>
      <c r="I2277" t="s">
        <v>2809</v>
      </c>
    </row>
    <row r="2278" spans="1:9" x14ac:dyDescent="0.25">
      <c r="A2278" t="s">
        <v>1609</v>
      </c>
      <c r="B2278" t="s">
        <v>3722</v>
      </c>
      <c r="C2278" s="167">
        <v>244.6</v>
      </c>
      <c r="D2278" t="s">
        <v>671</v>
      </c>
      <c r="E2278" t="s">
        <v>1699</v>
      </c>
      <c r="F2278" t="s">
        <v>7343</v>
      </c>
      <c r="G2278" t="s">
        <v>7354</v>
      </c>
      <c r="I2278" t="s">
        <v>2809</v>
      </c>
    </row>
    <row r="2279" spans="1:9" x14ac:dyDescent="0.25">
      <c r="A2279" t="s">
        <v>1604</v>
      </c>
      <c r="B2279" t="s">
        <v>3717</v>
      </c>
      <c r="C2279" s="167">
        <v>244.6</v>
      </c>
      <c r="D2279" t="s">
        <v>21</v>
      </c>
      <c r="E2279" t="s">
        <v>1703</v>
      </c>
      <c r="F2279" t="s">
        <v>7343</v>
      </c>
      <c r="G2279" t="s">
        <v>7354</v>
      </c>
      <c r="I2279" t="s">
        <v>2809</v>
      </c>
    </row>
    <row r="2280" spans="1:9" x14ac:dyDescent="0.25">
      <c r="A2280" t="s">
        <v>1607</v>
      </c>
      <c r="B2280" t="s">
        <v>3720</v>
      </c>
      <c r="C2280" s="167">
        <v>244.6</v>
      </c>
      <c r="D2280" t="s">
        <v>563</v>
      </c>
      <c r="E2280" t="s">
        <v>1703</v>
      </c>
      <c r="F2280" t="s">
        <v>7343</v>
      </c>
      <c r="G2280" t="s">
        <v>7354</v>
      </c>
      <c r="I2280" t="s">
        <v>2809</v>
      </c>
    </row>
    <row r="2281" spans="1:9" x14ac:dyDescent="0.25">
      <c r="A2281" t="s">
        <v>1610</v>
      </c>
      <c r="B2281" t="s">
        <v>3723</v>
      </c>
      <c r="C2281" s="167">
        <v>244.6</v>
      </c>
      <c r="D2281" t="s">
        <v>671</v>
      </c>
      <c r="E2281" t="s">
        <v>1703</v>
      </c>
      <c r="F2281" t="s">
        <v>7343</v>
      </c>
      <c r="G2281" t="s">
        <v>7354</v>
      </c>
      <c r="I2281" t="s">
        <v>2809</v>
      </c>
    </row>
    <row r="2282" spans="1:9" x14ac:dyDescent="0.25">
      <c r="A2282" t="s">
        <v>2637</v>
      </c>
      <c r="B2282" t="s">
        <v>4498</v>
      </c>
      <c r="C2282" s="167">
        <v>180.89</v>
      </c>
      <c r="D2282" t="s">
        <v>21</v>
      </c>
      <c r="E2282" t="s">
        <v>1701</v>
      </c>
      <c r="F2282" t="s">
        <v>7339</v>
      </c>
      <c r="G2282" t="s">
        <v>7354</v>
      </c>
      <c r="I2282" t="s">
        <v>2809</v>
      </c>
    </row>
    <row r="2283" spans="1:9" x14ac:dyDescent="0.25">
      <c r="A2283" t="s">
        <v>2640</v>
      </c>
      <c r="B2283" t="s">
        <v>4501</v>
      </c>
      <c r="C2283" s="167">
        <v>180.89</v>
      </c>
      <c r="D2283" t="s">
        <v>563</v>
      </c>
      <c r="E2283" t="s">
        <v>1701</v>
      </c>
      <c r="F2283" t="s">
        <v>7339</v>
      </c>
      <c r="G2283" t="s">
        <v>7354</v>
      </c>
      <c r="I2283" t="s">
        <v>2809</v>
      </c>
    </row>
    <row r="2284" spans="1:9" x14ac:dyDescent="0.25">
      <c r="A2284" t="s">
        <v>2643</v>
      </c>
      <c r="B2284" t="s">
        <v>4504</v>
      </c>
      <c r="C2284" s="167">
        <v>180.89</v>
      </c>
      <c r="D2284" t="s">
        <v>671</v>
      </c>
      <c r="E2284" t="s">
        <v>1701</v>
      </c>
      <c r="F2284" t="s">
        <v>7339</v>
      </c>
      <c r="G2284" t="s">
        <v>7354</v>
      </c>
      <c r="I2284" t="s">
        <v>2809</v>
      </c>
    </row>
    <row r="2285" spans="1:9" x14ac:dyDescent="0.25">
      <c r="A2285" t="s">
        <v>2638</v>
      </c>
      <c r="B2285" t="s">
        <v>4499</v>
      </c>
      <c r="C2285" s="167">
        <v>180.89</v>
      </c>
      <c r="D2285" t="s">
        <v>21</v>
      </c>
      <c r="E2285" t="s">
        <v>1699</v>
      </c>
      <c r="F2285" t="s">
        <v>7339</v>
      </c>
      <c r="G2285" t="s">
        <v>7354</v>
      </c>
      <c r="I2285" t="s">
        <v>2809</v>
      </c>
    </row>
    <row r="2286" spans="1:9" x14ac:dyDescent="0.25">
      <c r="A2286" t="s">
        <v>2641</v>
      </c>
      <c r="B2286" t="s">
        <v>4502</v>
      </c>
      <c r="C2286" s="167">
        <v>180.89</v>
      </c>
      <c r="D2286" t="s">
        <v>563</v>
      </c>
      <c r="E2286" t="s">
        <v>1699</v>
      </c>
      <c r="F2286" t="s">
        <v>7339</v>
      </c>
      <c r="G2286" t="s">
        <v>7354</v>
      </c>
      <c r="I2286" t="s">
        <v>2809</v>
      </c>
    </row>
    <row r="2287" spans="1:9" x14ac:dyDescent="0.25">
      <c r="A2287" t="s">
        <v>2644</v>
      </c>
      <c r="B2287" t="s">
        <v>4505</v>
      </c>
      <c r="C2287" s="167">
        <v>180.89</v>
      </c>
      <c r="D2287" t="s">
        <v>671</v>
      </c>
      <c r="E2287" t="s">
        <v>1699</v>
      </c>
      <c r="F2287" t="s">
        <v>7339</v>
      </c>
      <c r="G2287" t="s">
        <v>7354</v>
      </c>
      <c r="I2287" t="s">
        <v>2809</v>
      </c>
    </row>
    <row r="2288" spans="1:9" x14ac:dyDescent="0.25">
      <c r="A2288" t="s">
        <v>2639</v>
      </c>
      <c r="B2288" t="s">
        <v>4500</v>
      </c>
      <c r="C2288" s="167">
        <v>180.89</v>
      </c>
      <c r="D2288" t="s">
        <v>21</v>
      </c>
      <c r="E2288" t="s">
        <v>1703</v>
      </c>
      <c r="F2288" t="s">
        <v>7339</v>
      </c>
      <c r="G2288" t="s">
        <v>7354</v>
      </c>
      <c r="I2288" t="s">
        <v>2809</v>
      </c>
    </row>
    <row r="2289" spans="1:9" x14ac:dyDescent="0.25">
      <c r="A2289" t="s">
        <v>2642</v>
      </c>
      <c r="B2289" t="s">
        <v>4503</v>
      </c>
      <c r="C2289" s="167">
        <v>180.89</v>
      </c>
      <c r="D2289" t="s">
        <v>563</v>
      </c>
      <c r="E2289" t="s">
        <v>1703</v>
      </c>
      <c r="F2289" t="s">
        <v>7339</v>
      </c>
      <c r="G2289" t="s">
        <v>7354</v>
      </c>
      <c r="I2289" t="s">
        <v>2809</v>
      </c>
    </row>
    <row r="2290" spans="1:9" x14ac:dyDescent="0.25">
      <c r="A2290" t="s">
        <v>2645</v>
      </c>
      <c r="B2290" t="s">
        <v>4506</v>
      </c>
      <c r="C2290" s="167">
        <v>180.89</v>
      </c>
      <c r="D2290" t="s">
        <v>671</v>
      </c>
      <c r="E2290" t="s">
        <v>1703</v>
      </c>
      <c r="F2290" t="s">
        <v>7339</v>
      </c>
      <c r="G2290" t="s">
        <v>7354</v>
      </c>
      <c r="I2290" t="s">
        <v>2809</v>
      </c>
    </row>
    <row r="2291" spans="1:9" x14ac:dyDescent="0.25">
      <c r="A2291" t="s">
        <v>2646</v>
      </c>
      <c r="B2291" t="s">
        <v>4507</v>
      </c>
      <c r="C2291" s="167">
        <v>200.73</v>
      </c>
      <c r="D2291" t="s">
        <v>21</v>
      </c>
      <c r="E2291" t="s">
        <v>1701</v>
      </c>
      <c r="F2291" t="s">
        <v>7341</v>
      </c>
      <c r="G2291" t="s">
        <v>7354</v>
      </c>
      <c r="I2291" t="s">
        <v>2809</v>
      </c>
    </row>
    <row r="2292" spans="1:9" x14ac:dyDescent="0.25">
      <c r="A2292" t="s">
        <v>2649</v>
      </c>
      <c r="B2292" t="s">
        <v>4510</v>
      </c>
      <c r="C2292" s="167">
        <v>200.73</v>
      </c>
      <c r="D2292" t="s">
        <v>563</v>
      </c>
      <c r="E2292" t="s">
        <v>1701</v>
      </c>
      <c r="F2292" t="s">
        <v>7341</v>
      </c>
      <c r="G2292" t="s">
        <v>7354</v>
      </c>
      <c r="I2292" t="s">
        <v>2809</v>
      </c>
    </row>
    <row r="2293" spans="1:9" x14ac:dyDescent="0.25">
      <c r="A2293" t="s">
        <v>2652</v>
      </c>
      <c r="B2293" t="s">
        <v>4513</v>
      </c>
      <c r="C2293" s="167">
        <v>200.73</v>
      </c>
      <c r="D2293" t="s">
        <v>671</v>
      </c>
      <c r="E2293" t="s">
        <v>1701</v>
      </c>
      <c r="F2293" t="s">
        <v>7341</v>
      </c>
      <c r="G2293" t="s">
        <v>7354</v>
      </c>
      <c r="I2293" t="s">
        <v>2809</v>
      </c>
    </row>
    <row r="2294" spans="1:9" x14ac:dyDescent="0.25">
      <c r="A2294" t="s">
        <v>2647</v>
      </c>
      <c r="B2294" t="s">
        <v>4508</v>
      </c>
      <c r="C2294" s="167">
        <v>200.73</v>
      </c>
      <c r="D2294" t="s">
        <v>21</v>
      </c>
      <c r="E2294" t="s">
        <v>1699</v>
      </c>
      <c r="F2294" t="s">
        <v>7341</v>
      </c>
      <c r="G2294" t="s">
        <v>7354</v>
      </c>
      <c r="I2294" t="s">
        <v>2809</v>
      </c>
    </row>
    <row r="2295" spans="1:9" x14ac:dyDescent="0.25">
      <c r="A2295" t="s">
        <v>2650</v>
      </c>
      <c r="B2295" t="s">
        <v>4511</v>
      </c>
      <c r="C2295" s="167">
        <v>200.73</v>
      </c>
      <c r="D2295" t="s">
        <v>563</v>
      </c>
      <c r="E2295" t="s">
        <v>1699</v>
      </c>
      <c r="F2295" t="s">
        <v>7341</v>
      </c>
      <c r="G2295" t="s">
        <v>7354</v>
      </c>
      <c r="I2295" t="s">
        <v>2809</v>
      </c>
    </row>
    <row r="2296" spans="1:9" x14ac:dyDescent="0.25">
      <c r="A2296" t="s">
        <v>2653</v>
      </c>
      <c r="B2296" t="s">
        <v>4514</v>
      </c>
      <c r="C2296" s="167">
        <v>200.73</v>
      </c>
      <c r="D2296" t="s">
        <v>671</v>
      </c>
      <c r="E2296" t="s">
        <v>1699</v>
      </c>
      <c r="F2296" t="s">
        <v>7341</v>
      </c>
      <c r="G2296" t="s">
        <v>7354</v>
      </c>
      <c r="I2296" t="s">
        <v>2809</v>
      </c>
    </row>
    <row r="2297" spans="1:9" x14ac:dyDescent="0.25">
      <c r="A2297" t="s">
        <v>2648</v>
      </c>
      <c r="B2297" t="s">
        <v>4509</v>
      </c>
      <c r="C2297" s="167">
        <v>200.73</v>
      </c>
      <c r="D2297" t="s">
        <v>21</v>
      </c>
      <c r="E2297" t="s">
        <v>1703</v>
      </c>
      <c r="F2297" t="s">
        <v>7341</v>
      </c>
      <c r="G2297" t="s">
        <v>7354</v>
      </c>
      <c r="I2297" t="s">
        <v>2809</v>
      </c>
    </row>
    <row r="2298" spans="1:9" x14ac:dyDescent="0.25">
      <c r="A2298" t="s">
        <v>2651</v>
      </c>
      <c r="B2298" t="s">
        <v>4512</v>
      </c>
      <c r="C2298" s="167">
        <v>200.73</v>
      </c>
      <c r="D2298" t="s">
        <v>563</v>
      </c>
      <c r="E2298" t="s">
        <v>1703</v>
      </c>
      <c r="F2298" t="s">
        <v>7341</v>
      </c>
      <c r="G2298" t="s">
        <v>7354</v>
      </c>
      <c r="I2298" t="s">
        <v>2809</v>
      </c>
    </row>
    <row r="2299" spans="1:9" x14ac:dyDescent="0.25">
      <c r="A2299" t="s">
        <v>2654</v>
      </c>
      <c r="B2299" t="s">
        <v>4515</v>
      </c>
      <c r="C2299" s="167">
        <v>200.73</v>
      </c>
      <c r="D2299" t="s">
        <v>671</v>
      </c>
      <c r="E2299" t="s">
        <v>1703</v>
      </c>
      <c r="F2299" t="s">
        <v>7341</v>
      </c>
      <c r="G2299" t="s">
        <v>7354</v>
      </c>
      <c r="I2299" t="s">
        <v>2809</v>
      </c>
    </row>
    <row r="2300" spans="1:9" x14ac:dyDescent="0.25">
      <c r="A2300" t="s">
        <v>2655</v>
      </c>
      <c r="B2300" t="s">
        <v>4516</v>
      </c>
      <c r="C2300" s="167">
        <v>220.55</v>
      </c>
      <c r="D2300" t="s">
        <v>21</v>
      </c>
      <c r="E2300" t="s">
        <v>1701</v>
      </c>
      <c r="F2300" t="s">
        <v>7344</v>
      </c>
      <c r="G2300" t="s">
        <v>7354</v>
      </c>
      <c r="I2300" t="s">
        <v>2809</v>
      </c>
    </row>
    <row r="2301" spans="1:9" x14ac:dyDescent="0.25">
      <c r="A2301" t="s">
        <v>2658</v>
      </c>
      <c r="B2301" t="s">
        <v>4519</v>
      </c>
      <c r="C2301" s="167">
        <v>220.55</v>
      </c>
      <c r="D2301" t="s">
        <v>563</v>
      </c>
      <c r="E2301" t="s">
        <v>1701</v>
      </c>
      <c r="F2301" t="s">
        <v>7344</v>
      </c>
      <c r="G2301" t="s">
        <v>7354</v>
      </c>
      <c r="I2301" t="s">
        <v>2809</v>
      </c>
    </row>
    <row r="2302" spans="1:9" x14ac:dyDescent="0.25">
      <c r="A2302" t="s">
        <v>2661</v>
      </c>
      <c r="B2302" t="s">
        <v>4522</v>
      </c>
      <c r="C2302" s="167">
        <v>220.55</v>
      </c>
      <c r="D2302" t="s">
        <v>671</v>
      </c>
      <c r="E2302" t="s">
        <v>1701</v>
      </c>
      <c r="F2302" t="s">
        <v>7344</v>
      </c>
      <c r="G2302" t="s">
        <v>7354</v>
      </c>
      <c r="I2302" t="s">
        <v>2809</v>
      </c>
    </row>
    <row r="2303" spans="1:9" x14ac:dyDescent="0.25">
      <c r="A2303" t="s">
        <v>2656</v>
      </c>
      <c r="B2303" t="s">
        <v>4517</v>
      </c>
      <c r="C2303" s="167">
        <v>220.55</v>
      </c>
      <c r="D2303" t="s">
        <v>21</v>
      </c>
      <c r="E2303" t="s">
        <v>1699</v>
      </c>
      <c r="F2303" t="s">
        <v>7344</v>
      </c>
      <c r="G2303" t="s">
        <v>7354</v>
      </c>
      <c r="I2303" t="s">
        <v>2809</v>
      </c>
    </row>
    <row r="2304" spans="1:9" x14ac:dyDescent="0.25">
      <c r="A2304" t="s">
        <v>2659</v>
      </c>
      <c r="B2304" t="s">
        <v>4520</v>
      </c>
      <c r="C2304" s="167">
        <v>220.55</v>
      </c>
      <c r="D2304" t="s">
        <v>563</v>
      </c>
      <c r="E2304" t="s">
        <v>1699</v>
      </c>
      <c r="F2304" t="s">
        <v>7344</v>
      </c>
      <c r="G2304" t="s">
        <v>7354</v>
      </c>
      <c r="I2304" t="s">
        <v>2809</v>
      </c>
    </row>
    <row r="2305" spans="1:9" x14ac:dyDescent="0.25">
      <c r="A2305" t="s">
        <v>2662</v>
      </c>
      <c r="B2305" t="s">
        <v>4523</v>
      </c>
      <c r="C2305" s="167">
        <v>220.55</v>
      </c>
      <c r="D2305" t="s">
        <v>671</v>
      </c>
      <c r="E2305" t="s">
        <v>1699</v>
      </c>
      <c r="F2305" t="s">
        <v>7344</v>
      </c>
      <c r="G2305" t="s">
        <v>7354</v>
      </c>
      <c r="I2305" t="s">
        <v>2809</v>
      </c>
    </row>
    <row r="2306" spans="1:9" x14ac:dyDescent="0.25">
      <c r="A2306" t="s">
        <v>2657</v>
      </c>
      <c r="B2306" t="s">
        <v>4518</v>
      </c>
      <c r="C2306" s="167">
        <v>220.55</v>
      </c>
      <c r="D2306" t="s">
        <v>21</v>
      </c>
      <c r="E2306" t="s">
        <v>1703</v>
      </c>
      <c r="F2306" t="s">
        <v>7344</v>
      </c>
      <c r="G2306" t="s">
        <v>7354</v>
      </c>
      <c r="I2306" t="s">
        <v>2809</v>
      </c>
    </row>
    <row r="2307" spans="1:9" x14ac:dyDescent="0.25">
      <c r="A2307" t="s">
        <v>2660</v>
      </c>
      <c r="B2307" t="s">
        <v>4521</v>
      </c>
      <c r="C2307" s="167">
        <v>220.55</v>
      </c>
      <c r="D2307" t="s">
        <v>563</v>
      </c>
      <c r="E2307" t="s">
        <v>1703</v>
      </c>
      <c r="F2307" t="s">
        <v>7344</v>
      </c>
      <c r="G2307" t="s">
        <v>7354</v>
      </c>
      <c r="I2307" t="s">
        <v>2809</v>
      </c>
    </row>
    <row r="2308" spans="1:9" x14ac:dyDescent="0.25">
      <c r="A2308" t="s">
        <v>2663</v>
      </c>
      <c r="B2308" t="s">
        <v>4524</v>
      </c>
      <c r="C2308" s="167">
        <v>220.55</v>
      </c>
      <c r="D2308" t="s">
        <v>671</v>
      </c>
      <c r="E2308" t="s">
        <v>1703</v>
      </c>
      <c r="F2308" t="s">
        <v>7344</v>
      </c>
      <c r="G2308" t="s">
        <v>7354</v>
      </c>
      <c r="I2308" t="s">
        <v>2809</v>
      </c>
    </row>
    <row r="2309" spans="1:9" x14ac:dyDescent="0.25">
      <c r="A2309" t="s">
        <v>2664</v>
      </c>
      <c r="B2309" t="s">
        <v>4525</v>
      </c>
      <c r="C2309" s="167">
        <v>247</v>
      </c>
      <c r="D2309" t="s">
        <v>21</v>
      </c>
      <c r="E2309" t="s">
        <v>1701</v>
      </c>
      <c r="F2309" t="s">
        <v>7343</v>
      </c>
      <c r="G2309" t="s">
        <v>7354</v>
      </c>
      <c r="I2309" t="s">
        <v>2809</v>
      </c>
    </row>
    <row r="2310" spans="1:9" x14ac:dyDescent="0.25">
      <c r="A2310" t="s">
        <v>2667</v>
      </c>
      <c r="B2310" t="s">
        <v>4528</v>
      </c>
      <c r="C2310" s="167">
        <v>247</v>
      </c>
      <c r="D2310" t="s">
        <v>563</v>
      </c>
      <c r="E2310" t="s">
        <v>1701</v>
      </c>
      <c r="F2310" t="s">
        <v>7343</v>
      </c>
      <c r="G2310" t="s">
        <v>7354</v>
      </c>
      <c r="I2310" t="s">
        <v>2809</v>
      </c>
    </row>
    <row r="2311" spans="1:9" x14ac:dyDescent="0.25">
      <c r="A2311" t="s">
        <v>2670</v>
      </c>
      <c r="B2311" t="s">
        <v>4531</v>
      </c>
      <c r="C2311" s="167">
        <v>247</v>
      </c>
      <c r="D2311" t="s">
        <v>671</v>
      </c>
      <c r="E2311" t="s">
        <v>1701</v>
      </c>
      <c r="F2311" t="s">
        <v>7343</v>
      </c>
      <c r="G2311" t="s">
        <v>7354</v>
      </c>
      <c r="I2311" t="s">
        <v>2809</v>
      </c>
    </row>
    <row r="2312" spans="1:9" x14ac:dyDescent="0.25">
      <c r="A2312" t="s">
        <v>2665</v>
      </c>
      <c r="B2312" t="s">
        <v>4526</v>
      </c>
      <c r="C2312" s="167">
        <v>247</v>
      </c>
      <c r="D2312" t="s">
        <v>21</v>
      </c>
      <c r="E2312" t="s">
        <v>1699</v>
      </c>
      <c r="F2312" t="s">
        <v>7343</v>
      </c>
      <c r="G2312" t="s">
        <v>7354</v>
      </c>
      <c r="I2312" t="s">
        <v>2809</v>
      </c>
    </row>
    <row r="2313" spans="1:9" x14ac:dyDescent="0.25">
      <c r="A2313" t="s">
        <v>2668</v>
      </c>
      <c r="B2313" t="s">
        <v>4529</v>
      </c>
      <c r="C2313" s="167">
        <v>247</v>
      </c>
      <c r="D2313" t="s">
        <v>563</v>
      </c>
      <c r="E2313" t="s">
        <v>1699</v>
      </c>
      <c r="F2313" t="s">
        <v>7343</v>
      </c>
      <c r="G2313" t="s">
        <v>7354</v>
      </c>
      <c r="I2313" t="s">
        <v>2809</v>
      </c>
    </row>
    <row r="2314" spans="1:9" x14ac:dyDescent="0.25">
      <c r="A2314" t="s">
        <v>2671</v>
      </c>
      <c r="B2314" t="s">
        <v>4532</v>
      </c>
      <c r="C2314" s="167">
        <v>247</v>
      </c>
      <c r="D2314" t="s">
        <v>671</v>
      </c>
      <c r="E2314" t="s">
        <v>1699</v>
      </c>
      <c r="F2314" t="s">
        <v>7343</v>
      </c>
      <c r="G2314" t="s">
        <v>7354</v>
      </c>
      <c r="I2314" t="s">
        <v>2809</v>
      </c>
    </row>
    <row r="2315" spans="1:9" x14ac:dyDescent="0.25">
      <c r="A2315" t="s">
        <v>2666</v>
      </c>
      <c r="B2315" t="s">
        <v>4527</v>
      </c>
      <c r="C2315" s="167">
        <v>247</v>
      </c>
      <c r="D2315" t="s">
        <v>21</v>
      </c>
      <c r="E2315" t="s">
        <v>1703</v>
      </c>
      <c r="F2315" t="s">
        <v>7343</v>
      </c>
      <c r="G2315" t="s">
        <v>7354</v>
      </c>
      <c r="I2315" t="s">
        <v>2809</v>
      </c>
    </row>
    <row r="2316" spans="1:9" x14ac:dyDescent="0.25">
      <c r="A2316" t="s">
        <v>2669</v>
      </c>
      <c r="B2316" t="s">
        <v>4530</v>
      </c>
      <c r="C2316" s="167">
        <v>247</v>
      </c>
      <c r="D2316" t="s">
        <v>563</v>
      </c>
      <c r="E2316" t="s">
        <v>1703</v>
      </c>
      <c r="F2316" t="s">
        <v>7343</v>
      </c>
      <c r="G2316" t="s">
        <v>7354</v>
      </c>
      <c r="I2316" t="s">
        <v>2809</v>
      </c>
    </row>
    <row r="2317" spans="1:9" x14ac:dyDescent="0.25">
      <c r="A2317" t="s">
        <v>2672</v>
      </c>
      <c r="B2317" t="s">
        <v>4533</v>
      </c>
      <c r="C2317" s="167">
        <v>247</v>
      </c>
      <c r="D2317" t="s">
        <v>671</v>
      </c>
      <c r="E2317" t="s">
        <v>1703</v>
      </c>
      <c r="F2317" t="s">
        <v>7343</v>
      </c>
      <c r="G2317" t="s">
        <v>7354</v>
      </c>
      <c r="I2317" t="s">
        <v>2809</v>
      </c>
    </row>
    <row r="2318" spans="1:9" x14ac:dyDescent="0.25">
      <c r="A2318" t="s">
        <v>2673</v>
      </c>
      <c r="B2318" t="s">
        <v>4534</v>
      </c>
      <c r="C2318" s="167">
        <v>187.5</v>
      </c>
      <c r="D2318" t="s">
        <v>21</v>
      </c>
      <c r="E2318" t="s">
        <v>1701</v>
      </c>
      <c r="F2318" t="s">
        <v>7339</v>
      </c>
      <c r="G2318" t="s">
        <v>7354</v>
      </c>
      <c r="I2318" t="s">
        <v>2809</v>
      </c>
    </row>
    <row r="2319" spans="1:9" x14ac:dyDescent="0.25">
      <c r="A2319" t="s">
        <v>2676</v>
      </c>
      <c r="B2319" t="s">
        <v>4537</v>
      </c>
      <c r="C2319" s="167">
        <v>187.5</v>
      </c>
      <c r="D2319" t="s">
        <v>563</v>
      </c>
      <c r="E2319" t="s">
        <v>1701</v>
      </c>
      <c r="F2319" t="s">
        <v>7339</v>
      </c>
      <c r="G2319" t="s">
        <v>7354</v>
      </c>
      <c r="I2319" t="s">
        <v>2809</v>
      </c>
    </row>
    <row r="2320" spans="1:9" x14ac:dyDescent="0.25">
      <c r="A2320" t="s">
        <v>2679</v>
      </c>
      <c r="B2320" t="s">
        <v>4540</v>
      </c>
      <c r="C2320" s="167">
        <v>187.5</v>
      </c>
      <c r="D2320" t="s">
        <v>671</v>
      </c>
      <c r="E2320" t="s">
        <v>1701</v>
      </c>
      <c r="F2320" t="s">
        <v>7339</v>
      </c>
      <c r="G2320" t="s">
        <v>7354</v>
      </c>
      <c r="I2320" t="s">
        <v>2809</v>
      </c>
    </row>
    <row r="2321" spans="1:9" x14ac:dyDescent="0.25">
      <c r="A2321" t="s">
        <v>2674</v>
      </c>
      <c r="B2321" t="s">
        <v>4535</v>
      </c>
      <c r="C2321" s="167">
        <v>187.5</v>
      </c>
      <c r="D2321" t="s">
        <v>21</v>
      </c>
      <c r="E2321" t="s">
        <v>1699</v>
      </c>
      <c r="F2321" t="s">
        <v>7339</v>
      </c>
      <c r="G2321" t="s">
        <v>7354</v>
      </c>
      <c r="I2321" t="s">
        <v>2809</v>
      </c>
    </row>
    <row r="2322" spans="1:9" x14ac:dyDescent="0.25">
      <c r="A2322" t="s">
        <v>2677</v>
      </c>
      <c r="B2322" t="s">
        <v>4538</v>
      </c>
      <c r="C2322" s="167">
        <v>187.5</v>
      </c>
      <c r="D2322" t="s">
        <v>563</v>
      </c>
      <c r="E2322" t="s">
        <v>1699</v>
      </c>
      <c r="F2322" t="s">
        <v>7339</v>
      </c>
      <c r="G2322" t="s">
        <v>7354</v>
      </c>
      <c r="I2322" t="s">
        <v>2809</v>
      </c>
    </row>
    <row r="2323" spans="1:9" x14ac:dyDescent="0.25">
      <c r="A2323" t="s">
        <v>2680</v>
      </c>
      <c r="B2323" t="s">
        <v>4541</v>
      </c>
      <c r="C2323" s="167">
        <v>187.5</v>
      </c>
      <c r="D2323" t="s">
        <v>671</v>
      </c>
      <c r="E2323" t="s">
        <v>1699</v>
      </c>
      <c r="F2323" t="s">
        <v>7339</v>
      </c>
      <c r="G2323" t="s">
        <v>7354</v>
      </c>
      <c r="I2323" t="s">
        <v>2809</v>
      </c>
    </row>
    <row r="2324" spans="1:9" x14ac:dyDescent="0.25">
      <c r="A2324" t="s">
        <v>2675</v>
      </c>
      <c r="B2324" t="s">
        <v>4536</v>
      </c>
      <c r="C2324" s="167">
        <v>187.5</v>
      </c>
      <c r="D2324" t="s">
        <v>21</v>
      </c>
      <c r="E2324" t="s">
        <v>1703</v>
      </c>
      <c r="F2324" t="s">
        <v>7339</v>
      </c>
      <c r="G2324" t="s">
        <v>7354</v>
      </c>
      <c r="I2324" t="s">
        <v>2809</v>
      </c>
    </row>
    <row r="2325" spans="1:9" x14ac:dyDescent="0.25">
      <c r="A2325" t="s">
        <v>2678</v>
      </c>
      <c r="B2325" t="s">
        <v>4539</v>
      </c>
      <c r="C2325" s="167">
        <v>187.5</v>
      </c>
      <c r="D2325" t="s">
        <v>563</v>
      </c>
      <c r="E2325" t="s">
        <v>1703</v>
      </c>
      <c r="F2325" t="s">
        <v>7339</v>
      </c>
      <c r="G2325" t="s">
        <v>7354</v>
      </c>
      <c r="I2325" t="s">
        <v>2809</v>
      </c>
    </row>
    <row r="2326" spans="1:9" x14ac:dyDescent="0.25">
      <c r="A2326" t="s">
        <v>2681</v>
      </c>
      <c r="B2326" t="s">
        <v>4542</v>
      </c>
      <c r="C2326" s="167">
        <v>187.5</v>
      </c>
      <c r="D2326" t="s">
        <v>671</v>
      </c>
      <c r="E2326" t="s">
        <v>1703</v>
      </c>
      <c r="F2326" t="s">
        <v>7339</v>
      </c>
      <c r="G2326" t="s">
        <v>7354</v>
      </c>
      <c r="I2326" t="s">
        <v>2809</v>
      </c>
    </row>
    <row r="2327" spans="1:9" x14ac:dyDescent="0.25">
      <c r="A2327" t="s">
        <v>2682</v>
      </c>
      <c r="B2327" t="s">
        <v>4543</v>
      </c>
      <c r="C2327" s="167">
        <v>207.33</v>
      </c>
      <c r="D2327" t="s">
        <v>21</v>
      </c>
      <c r="E2327" t="s">
        <v>1701</v>
      </c>
      <c r="F2327" t="s">
        <v>7341</v>
      </c>
      <c r="G2327" t="s">
        <v>7354</v>
      </c>
      <c r="I2327" t="s">
        <v>2809</v>
      </c>
    </row>
    <row r="2328" spans="1:9" x14ac:dyDescent="0.25">
      <c r="A2328" t="s">
        <v>2685</v>
      </c>
      <c r="B2328" t="s">
        <v>4546</v>
      </c>
      <c r="C2328" s="167">
        <v>207.33</v>
      </c>
      <c r="D2328" t="s">
        <v>563</v>
      </c>
      <c r="E2328" t="s">
        <v>1701</v>
      </c>
      <c r="F2328" t="s">
        <v>7341</v>
      </c>
      <c r="G2328" t="s">
        <v>7354</v>
      </c>
      <c r="I2328" t="s">
        <v>2809</v>
      </c>
    </row>
    <row r="2329" spans="1:9" x14ac:dyDescent="0.25">
      <c r="A2329" t="s">
        <v>2688</v>
      </c>
      <c r="B2329" t="s">
        <v>4549</v>
      </c>
      <c r="C2329" s="167">
        <v>207.33</v>
      </c>
      <c r="D2329" t="s">
        <v>671</v>
      </c>
      <c r="E2329" t="s">
        <v>1701</v>
      </c>
      <c r="F2329" t="s">
        <v>7341</v>
      </c>
      <c r="G2329" t="s">
        <v>7354</v>
      </c>
      <c r="I2329" t="s">
        <v>2809</v>
      </c>
    </row>
    <row r="2330" spans="1:9" x14ac:dyDescent="0.25">
      <c r="A2330" t="s">
        <v>2683</v>
      </c>
      <c r="B2330" t="s">
        <v>4544</v>
      </c>
      <c r="C2330" s="167">
        <v>207.33</v>
      </c>
      <c r="D2330" t="s">
        <v>21</v>
      </c>
      <c r="E2330" t="s">
        <v>1699</v>
      </c>
      <c r="F2330" t="s">
        <v>7341</v>
      </c>
      <c r="G2330" t="s">
        <v>7354</v>
      </c>
      <c r="I2330" t="s">
        <v>2809</v>
      </c>
    </row>
    <row r="2331" spans="1:9" x14ac:dyDescent="0.25">
      <c r="A2331" t="s">
        <v>2686</v>
      </c>
      <c r="B2331" t="s">
        <v>4547</v>
      </c>
      <c r="C2331" s="167">
        <v>207.33</v>
      </c>
      <c r="D2331" t="s">
        <v>563</v>
      </c>
      <c r="E2331" t="s">
        <v>1699</v>
      </c>
      <c r="F2331" t="s">
        <v>7341</v>
      </c>
      <c r="G2331" t="s">
        <v>7354</v>
      </c>
      <c r="I2331" t="s">
        <v>2809</v>
      </c>
    </row>
    <row r="2332" spans="1:9" x14ac:dyDescent="0.25">
      <c r="A2332" t="s">
        <v>2689</v>
      </c>
      <c r="B2332" t="s">
        <v>4550</v>
      </c>
      <c r="C2332" s="167">
        <v>207.33</v>
      </c>
      <c r="D2332" t="s">
        <v>671</v>
      </c>
      <c r="E2332" t="s">
        <v>1699</v>
      </c>
      <c r="F2332" t="s">
        <v>7341</v>
      </c>
      <c r="G2332" t="s">
        <v>7354</v>
      </c>
      <c r="I2332" t="s">
        <v>2809</v>
      </c>
    </row>
    <row r="2333" spans="1:9" x14ac:dyDescent="0.25">
      <c r="A2333" t="s">
        <v>2684</v>
      </c>
      <c r="B2333" t="s">
        <v>4545</v>
      </c>
      <c r="C2333" s="167">
        <v>207.33</v>
      </c>
      <c r="D2333" t="s">
        <v>21</v>
      </c>
      <c r="E2333" t="s">
        <v>1703</v>
      </c>
      <c r="F2333" t="s">
        <v>7341</v>
      </c>
      <c r="G2333" t="s">
        <v>7354</v>
      </c>
      <c r="I2333" t="s">
        <v>2809</v>
      </c>
    </row>
    <row r="2334" spans="1:9" x14ac:dyDescent="0.25">
      <c r="A2334" t="s">
        <v>2687</v>
      </c>
      <c r="B2334" t="s">
        <v>4548</v>
      </c>
      <c r="C2334" s="167">
        <v>207.33</v>
      </c>
      <c r="D2334" t="s">
        <v>563</v>
      </c>
      <c r="E2334" t="s">
        <v>1703</v>
      </c>
      <c r="F2334" t="s">
        <v>7341</v>
      </c>
      <c r="G2334" t="s">
        <v>7354</v>
      </c>
      <c r="I2334" t="s">
        <v>2809</v>
      </c>
    </row>
    <row r="2335" spans="1:9" x14ac:dyDescent="0.25">
      <c r="A2335" t="s">
        <v>2690</v>
      </c>
      <c r="B2335" t="s">
        <v>4551</v>
      </c>
      <c r="C2335" s="167">
        <v>207.33</v>
      </c>
      <c r="D2335" t="s">
        <v>671</v>
      </c>
      <c r="E2335" t="s">
        <v>1703</v>
      </c>
      <c r="F2335" t="s">
        <v>7341</v>
      </c>
      <c r="G2335" t="s">
        <v>7354</v>
      </c>
      <c r="I2335" t="s">
        <v>2809</v>
      </c>
    </row>
    <row r="2336" spans="1:9" x14ac:dyDescent="0.25">
      <c r="A2336" t="s">
        <v>2691</v>
      </c>
      <c r="B2336" t="s">
        <v>4552</v>
      </c>
      <c r="C2336" s="167">
        <v>227.18</v>
      </c>
      <c r="D2336" t="s">
        <v>21</v>
      </c>
      <c r="E2336" t="s">
        <v>1701</v>
      </c>
      <c r="F2336" t="s">
        <v>7344</v>
      </c>
      <c r="G2336" t="s">
        <v>7354</v>
      </c>
      <c r="I2336" t="s">
        <v>2809</v>
      </c>
    </row>
    <row r="2337" spans="1:9" x14ac:dyDescent="0.25">
      <c r="A2337" t="s">
        <v>2694</v>
      </c>
      <c r="B2337" t="s">
        <v>4555</v>
      </c>
      <c r="C2337" s="167">
        <v>227.18</v>
      </c>
      <c r="D2337" t="s">
        <v>563</v>
      </c>
      <c r="E2337" t="s">
        <v>1701</v>
      </c>
      <c r="F2337" t="s">
        <v>7344</v>
      </c>
      <c r="G2337" t="s">
        <v>7354</v>
      </c>
      <c r="I2337" t="s">
        <v>2809</v>
      </c>
    </row>
    <row r="2338" spans="1:9" x14ac:dyDescent="0.25">
      <c r="A2338" t="s">
        <v>2697</v>
      </c>
      <c r="B2338" t="s">
        <v>4558</v>
      </c>
      <c r="C2338" s="167">
        <v>227.18</v>
      </c>
      <c r="D2338" t="s">
        <v>671</v>
      </c>
      <c r="E2338" t="s">
        <v>1701</v>
      </c>
      <c r="F2338" t="s">
        <v>7344</v>
      </c>
      <c r="G2338" t="s">
        <v>7354</v>
      </c>
      <c r="I2338" t="s">
        <v>2809</v>
      </c>
    </row>
    <row r="2339" spans="1:9" x14ac:dyDescent="0.25">
      <c r="A2339" t="s">
        <v>2692</v>
      </c>
      <c r="B2339" t="s">
        <v>4553</v>
      </c>
      <c r="C2339" s="167">
        <v>227.18</v>
      </c>
      <c r="D2339" t="s">
        <v>21</v>
      </c>
      <c r="E2339" t="s">
        <v>1699</v>
      </c>
      <c r="F2339" t="s">
        <v>7344</v>
      </c>
      <c r="G2339" t="s">
        <v>7354</v>
      </c>
      <c r="I2339" t="s">
        <v>2809</v>
      </c>
    </row>
    <row r="2340" spans="1:9" x14ac:dyDescent="0.25">
      <c r="A2340" t="s">
        <v>2695</v>
      </c>
      <c r="B2340" t="s">
        <v>4556</v>
      </c>
      <c r="C2340" s="167">
        <v>227.18</v>
      </c>
      <c r="D2340" t="s">
        <v>563</v>
      </c>
      <c r="E2340" t="s">
        <v>1699</v>
      </c>
      <c r="F2340" t="s">
        <v>7344</v>
      </c>
      <c r="G2340" t="s">
        <v>7354</v>
      </c>
      <c r="I2340" t="s">
        <v>2809</v>
      </c>
    </row>
    <row r="2341" spans="1:9" x14ac:dyDescent="0.25">
      <c r="A2341" t="s">
        <v>2698</v>
      </c>
      <c r="B2341" t="s">
        <v>4559</v>
      </c>
      <c r="C2341" s="167">
        <v>227.18</v>
      </c>
      <c r="D2341" t="s">
        <v>671</v>
      </c>
      <c r="E2341" t="s">
        <v>1699</v>
      </c>
      <c r="F2341" t="s">
        <v>7344</v>
      </c>
      <c r="G2341" t="s">
        <v>7354</v>
      </c>
      <c r="I2341" t="s">
        <v>2809</v>
      </c>
    </row>
    <row r="2342" spans="1:9" x14ac:dyDescent="0.25">
      <c r="A2342" t="s">
        <v>2693</v>
      </c>
      <c r="B2342" t="s">
        <v>4554</v>
      </c>
      <c r="C2342" s="167">
        <v>227.18</v>
      </c>
      <c r="D2342" t="s">
        <v>21</v>
      </c>
      <c r="E2342" t="s">
        <v>1703</v>
      </c>
      <c r="F2342" t="s">
        <v>7344</v>
      </c>
      <c r="G2342" t="s">
        <v>7354</v>
      </c>
      <c r="I2342" t="s">
        <v>2809</v>
      </c>
    </row>
    <row r="2343" spans="1:9" x14ac:dyDescent="0.25">
      <c r="A2343" t="s">
        <v>2696</v>
      </c>
      <c r="B2343" t="s">
        <v>4557</v>
      </c>
      <c r="C2343" s="167">
        <v>227.18</v>
      </c>
      <c r="D2343" t="s">
        <v>563</v>
      </c>
      <c r="E2343" t="s">
        <v>1703</v>
      </c>
      <c r="F2343" t="s">
        <v>7344</v>
      </c>
      <c r="G2343" t="s">
        <v>7354</v>
      </c>
      <c r="I2343" t="s">
        <v>2809</v>
      </c>
    </row>
    <row r="2344" spans="1:9" x14ac:dyDescent="0.25">
      <c r="A2344" t="s">
        <v>2699</v>
      </c>
      <c r="B2344" t="s">
        <v>4560</v>
      </c>
      <c r="C2344" s="167">
        <v>227.18</v>
      </c>
      <c r="D2344" t="s">
        <v>671</v>
      </c>
      <c r="E2344" t="s">
        <v>1703</v>
      </c>
      <c r="F2344" t="s">
        <v>7344</v>
      </c>
      <c r="G2344" t="s">
        <v>7354</v>
      </c>
      <c r="I2344" t="s">
        <v>2809</v>
      </c>
    </row>
    <row r="2345" spans="1:9" x14ac:dyDescent="0.25">
      <c r="A2345" t="s">
        <v>2700</v>
      </c>
      <c r="B2345" t="s">
        <v>4561</v>
      </c>
      <c r="C2345" s="167">
        <v>247</v>
      </c>
      <c r="D2345" t="s">
        <v>21</v>
      </c>
      <c r="E2345" t="s">
        <v>1701</v>
      </c>
      <c r="F2345" t="s">
        <v>7343</v>
      </c>
      <c r="G2345" t="s">
        <v>7354</v>
      </c>
      <c r="I2345" t="s">
        <v>2809</v>
      </c>
    </row>
    <row r="2346" spans="1:9" x14ac:dyDescent="0.25">
      <c r="A2346" t="s">
        <v>2703</v>
      </c>
      <c r="B2346" t="s">
        <v>4564</v>
      </c>
      <c r="C2346" s="167">
        <v>247</v>
      </c>
      <c r="D2346" t="s">
        <v>563</v>
      </c>
      <c r="E2346" t="s">
        <v>1701</v>
      </c>
      <c r="F2346" t="s">
        <v>7343</v>
      </c>
      <c r="G2346" t="s">
        <v>7354</v>
      </c>
      <c r="I2346" t="s">
        <v>2809</v>
      </c>
    </row>
    <row r="2347" spans="1:9" x14ac:dyDescent="0.25">
      <c r="A2347" t="s">
        <v>2706</v>
      </c>
      <c r="B2347" t="s">
        <v>4567</v>
      </c>
      <c r="C2347" s="167">
        <v>247</v>
      </c>
      <c r="D2347" t="s">
        <v>671</v>
      </c>
      <c r="E2347" t="s">
        <v>1701</v>
      </c>
      <c r="F2347" t="s">
        <v>7343</v>
      </c>
      <c r="G2347" t="s">
        <v>7354</v>
      </c>
      <c r="I2347" t="s">
        <v>2809</v>
      </c>
    </row>
    <row r="2348" spans="1:9" x14ac:dyDescent="0.25">
      <c r="A2348" t="s">
        <v>2701</v>
      </c>
      <c r="B2348" t="s">
        <v>4562</v>
      </c>
      <c r="C2348" s="167">
        <v>247</v>
      </c>
      <c r="D2348" t="s">
        <v>21</v>
      </c>
      <c r="E2348" t="s">
        <v>1699</v>
      </c>
      <c r="F2348" t="s">
        <v>7343</v>
      </c>
      <c r="G2348" t="s">
        <v>7354</v>
      </c>
      <c r="I2348" t="s">
        <v>2809</v>
      </c>
    </row>
    <row r="2349" spans="1:9" x14ac:dyDescent="0.25">
      <c r="A2349" t="s">
        <v>2704</v>
      </c>
      <c r="B2349" t="s">
        <v>4565</v>
      </c>
      <c r="C2349" s="167">
        <v>247</v>
      </c>
      <c r="D2349" t="s">
        <v>563</v>
      </c>
      <c r="E2349" t="s">
        <v>1699</v>
      </c>
      <c r="F2349" t="s">
        <v>7343</v>
      </c>
      <c r="G2349" t="s">
        <v>7354</v>
      </c>
      <c r="I2349" t="s">
        <v>2809</v>
      </c>
    </row>
    <row r="2350" spans="1:9" x14ac:dyDescent="0.25">
      <c r="A2350" t="s">
        <v>2707</v>
      </c>
      <c r="B2350" t="s">
        <v>4568</v>
      </c>
      <c r="C2350" s="167">
        <v>247</v>
      </c>
      <c r="D2350" t="s">
        <v>671</v>
      </c>
      <c r="E2350" t="s">
        <v>1699</v>
      </c>
      <c r="F2350" t="s">
        <v>7343</v>
      </c>
      <c r="G2350" t="s">
        <v>7354</v>
      </c>
      <c r="I2350" t="s">
        <v>2809</v>
      </c>
    </row>
    <row r="2351" spans="1:9" x14ac:dyDescent="0.25">
      <c r="A2351" t="s">
        <v>2702</v>
      </c>
      <c r="B2351" t="s">
        <v>4563</v>
      </c>
      <c r="C2351" s="167">
        <v>247</v>
      </c>
      <c r="D2351" t="s">
        <v>21</v>
      </c>
      <c r="E2351" t="s">
        <v>1703</v>
      </c>
      <c r="F2351" t="s">
        <v>7343</v>
      </c>
      <c r="G2351" t="s">
        <v>7354</v>
      </c>
      <c r="I2351" t="s">
        <v>2809</v>
      </c>
    </row>
    <row r="2352" spans="1:9" x14ac:dyDescent="0.25">
      <c r="A2352" t="s">
        <v>2705</v>
      </c>
      <c r="B2352" t="s">
        <v>4566</v>
      </c>
      <c r="C2352" s="167">
        <v>247</v>
      </c>
      <c r="D2352" t="s">
        <v>563</v>
      </c>
      <c r="E2352" t="s">
        <v>1703</v>
      </c>
      <c r="F2352" t="s">
        <v>7343</v>
      </c>
      <c r="G2352" t="s">
        <v>7354</v>
      </c>
      <c r="I2352" t="s">
        <v>2809</v>
      </c>
    </row>
    <row r="2353" spans="1:9" x14ac:dyDescent="0.25">
      <c r="A2353" t="s">
        <v>2708</v>
      </c>
      <c r="B2353" t="s">
        <v>4569</v>
      </c>
      <c r="C2353" s="167">
        <v>247</v>
      </c>
      <c r="D2353" t="s">
        <v>671</v>
      </c>
      <c r="E2353" t="s">
        <v>1703</v>
      </c>
      <c r="F2353" t="s">
        <v>7343</v>
      </c>
      <c r="G2353" t="s">
        <v>7354</v>
      </c>
      <c r="I2353" t="s">
        <v>2809</v>
      </c>
    </row>
    <row r="2354" spans="1:9" x14ac:dyDescent="0.25">
      <c r="A2354" t="s">
        <v>1611</v>
      </c>
      <c r="B2354" t="s">
        <v>3724</v>
      </c>
      <c r="C2354" s="167">
        <v>198.33</v>
      </c>
      <c r="D2354" t="s">
        <v>21</v>
      </c>
      <c r="E2354" t="s">
        <v>1701</v>
      </c>
      <c r="F2354" t="s">
        <v>7339</v>
      </c>
      <c r="G2354" t="s">
        <v>7354</v>
      </c>
      <c r="I2354" t="s">
        <v>2809</v>
      </c>
    </row>
    <row r="2355" spans="1:9" x14ac:dyDescent="0.25">
      <c r="A2355" t="s">
        <v>1614</v>
      </c>
      <c r="B2355" t="s">
        <v>3727</v>
      </c>
      <c r="C2355" s="167">
        <v>198.33</v>
      </c>
      <c r="D2355" t="s">
        <v>563</v>
      </c>
      <c r="E2355" t="s">
        <v>1701</v>
      </c>
      <c r="F2355" t="s">
        <v>7339</v>
      </c>
      <c r="G2355" t="s">
        <v>7354</v>
      </c>
      <c r="I2355" t="s">
        <v>2809</v>
      </c>
    </row>
    <row r="2356" spans="1:9" x14ac:dyDescent="0.25">
      <c r="A2356" t="s">
        <v>1617</v>
      </c>
      <c r="B2356" t="s">
        <v>3730</v>
      </c>
      <c r="C2356" s="167">
        <v>198.33</v>
      </c>
      <c r="D2356" t="s">
        <v>671</v>
      </c>
      <c r="E2356" t="s">
        <v>1701</v>
      </c>
      <c r="F2356" t="s">
        <v>7339</v>
      </c>
      <c r="G2356" t="s">
        <v>7354</v>
      </c>
      <c r="I2356" t="s">
        <v>2809</v>
      </c>
    </row>
    <row r="2357" spans="1:9" x14ac:dyDescent="0.25">
      <c r="A2357" t="s">
        <v>1612</v>
      </c>
      <c r="B2357" t="s">
        <v>3725</v>
      </c>
      <c r="C2357" s="167">
        <v>198.33</v>
      </c>
      <c r="D2357" t="s">
        <v>21</v>
      </c>
      <c r="E2357" t="s">
        <v>1699</v>
      </c>
      <c r="F2357" t="s">
        <v>7339</v>
      </c>
      <c r="G2357" t="s">
        <v>7354</v>
      </c>
      <c r="I2357" t="s">
        <v>2809</v>
      </c>
    </row>
    <row r="2358" spans="1:9" x14ac:dyDescent="0.25">
      <c r="A2358" t="s">
        <v>1615</v>
      </c>
      <c r="B2358" t="s">
        <v>3728</v>
      </c>
      <c r="C2358" s="167">
        <v>198.33</v>
      </c>
      <c r="D2358" t="s">
        <v>563</v>
      </c>
      <c r="E2358" t="s">
        <v>1699</v>
      </c>
      <c r="F2358" t="s">
        <v>7339</v>
      </c>
      <c r="G2358" t="s">
        <v>7354</v>
      </c>
      <c r="I2358" t="s">
        <v>2809</v>
      </c>
    </row>
    <row r="2359" spans="1:9" x14ac:dyDescent="0.25">
      <c r="A2359" t="s">
        <v>1618</v>
      </c>
      <c r="B2359" t="s">
        <v>3731</v>
      </c>
      <c r="C2359" s="167">
        <v>198.33</v>
      </c>
      <c r="D2359" t="s">
        <v>671</v>
      </c>
      <c r="E2359" t="s">
        <v>1699</v>
      </c>
      <c r="F2359" t="s">
        <v>7339</v>
      </c>
      <c r="G2359" t="s">
        <v>7354</v>
      </c>
      <c r="I2359" t="s">
        <v>2809</v>
      </c>
    </row>
    <row r="2360" spans="1:9" x14ac:dyDescent="0.25">
      <c r="A2360" t="s">
        <v>1613</v>
      </c>
      <c r="B2360" t="s">
        <v>3726</v>
      </c>
      <c r="C2360" s="167">
        <v>198.33</v>
      </c>
      <c r="D2360" t="s">
        <v>21</v>
      </c>
      <c r="E2360" t="s">
        <v>1703</v>
      </c>
      <c r="F2360" t="s">
        <v>7339</v>
      </c>
      <c r="G2360" t="s">
        <v>7354</v>
      </c>
      <c r="I2360" t="s">
        <v>2809</v>
      </c>
    </row>
    <row r="2361" spans="1:9" x14ac:dyDescent="0.25">
      <c r="A2361" t="s">
        <v>1616</v>
      </c>
      <c r="B2361" t="s">
        <v>3729</v>
      </c>
      <c r="C2361" s="167">
        <v>198.33</v>
      </c>
      <c r="D2361" t="s">
        <v>563</v>
      </c>
      <c r="E2361" t="s">
        <v>1703</v>
      </c>
      <c r="F2361" t="s">
        <v>7339</v>
      </c>
      <c r="G2361" t="s">
        <v>7354</v>
      </c>
      <c r="I2361" t="s">
        <v>2809</v>
      </c>
    </row>
    <row r="2362" spans="1:9" x14ac:dyDescent="0.25">
      <c r="A2362" t="s">
        <v>1619</v>
      </c>
      <c r="B2362" t="s">
        <v>3732</v>
      </c>
      <c r="C2362" s="167">
        <v>198.33</v>
      </c>
      <c r="D2362" t="s">
        <v>671</v>
      </c>
      <c r="E2362" t="s">
        <v>1703</v>
      </c>
      <c r="F2362" t="s">
        <v>7339</v>
      </c>
      <c r="G2362" t="s">
        <v>7354</v>
      </c>
      <c r="I2362" t="s">
        <v>2809</v>
      </c>
    </row>
    <row r="2363" spans="1:9" x14ac:dyDescent="0.25">
      <c r="A2363" t="s">
        <v>1620</v>
      </c>
      <c r="B2363" t="s">
        <v>3733</v>
      </c>
      <c r="C2363" s="167">
        <v>237.99</v>
      </c>
      <c r="D2363" t="s">
        <v>21</v>
      </c>
      <c r="E2363" t="s">
        <v>1701</v>
      </c>
      <c r="F2363" t="s">
        <v>7341</v>
      </c>
      <c r="G2363" t="s">
        <v>7354</v>
      </c>
      <c r="I2363" t="s">
        <v>2809</v>
      </c>
    </row>
    <row r="2364" spans="1:9" x14ac:dyDescent="0.25">
      <c r="A2364" t="s">
        <v>1623</v>
      </c>
      <c r="B2364" t="s">
        <v>3736</v>
      </c>
      <c r="C2364" s="167">
        <v>237.99</v>
      </c>
      <c r="D2364" t="s">
        <v>563</v>
      </c>
      <c r="E2364" t="s">
        <v>1701</v>
      </c>
      <c r="F2364" t="s">
        <v>7341</v>
      </c>
      <c r="G2364" t="s">
        <v>7354</v>
      </c>
      <c r="I2364" t="s">
        <v>2809</v>
      </c>
    </row>
    <row r="2365" spans="1:9" x14ac:dyDescent="0.25">
      <c r="A2365" t="s">
        <v>1626</v>
      </c>
      <c r="B2365" t="s">
        <v>3739</v>
      </c>
      <c r="C2365" s="167">
        <v>237.99</v>
      </c>
      <c r="D2365" t="s">
        <v>671</v>
      </c>
      <c r="E2365" t="s">
        <v>1701</v>
      </c>
      <c r="F2365" t="s">
        <v>7341</v>
      </c>
      <c r="G2365" t="s">
        <v>7354</v>
      </c>
      <c r="I2365" t="s">
        <v>2809</v>
      </c>
    </row>
    <row r="2366" spans="1:9" x14ac:dyDescent="0.25">
      <c r="A2366" t="s">
        <v>1621</v>
      </c>
      <c r="B2366" t="s">
        <v>3734</v>
      </c>
      <c r="C2366" s="167">
        <v>237.99</v>
      </c>
      <c r="D2366" t="s">
        <v>21</v>
      </c>
      <c r="E2366" t="s">
        <v>1699</v>
      </c>
      <c r="F2366" t="s">
        <v>7341</v>
      </c>
      <c r="G2366" t="s">
        <v>7354</v>
      </c>
      <c r="I2366" t="s">
        <v>2809</v>
      </c>
    </row>
    <row r="2367" spans="1:9" x14ac:dyDescent="0.25">
      <c r="A2367" t="s">
        <v>1624</v>
      </c>
      <c r="B2367" t="s">
        <v>3737</v>
      </c>
      <c r="C2367" s="167">
        <v>237.99</v>
      </c>
      <c r="D2367" t="s">
        <v>563</v>
      </c>
      <c r="E2367" t="s">
        <v>1699</v>
      </c>
      <c r="F2367" t="s">
        <v>7341</v>
      </c>
      <c r="G2367" t="s">
        <v>7354</v>
      </c>
      <c r="I2367" t="s">
        <v>2809</v>
      </c>
    </row>
    <row r="2368" spans="1:9" x14ac:dyDescent="0.25">
      <c r="A2368" t="s">
        <v>1627</v>
      </c>
      <c r="B2368" t="s">
        <v>3740</v>
      </c>
      <c r="C2368" s="167">
        <v>237.99</v>
      </c>
      <c r="D2368" t="s">
        <v>671</v>
      </c>
      <c r="E2368" t="s">
        <v>1699</v>
      </c>
      <c r="F2368" t="s">
        <v>7341</v>
      </c>
      <c r="G2368" t="s">
        <v>7354</v>
      </c>
      <c r="I2368" t="s">
        <v>2809</v>
      </c>
    </row>
    <row r="2369" spans="1:9" x14ac:dyDescent="0.25">
      <c r="A2369" t="s">
        <v>1622</v>
      </c>
      <c r="B2369" t="s">
        <v>3735</v>
      </c>
      <c r="C2369" s="167">
        <v>237.99</v>
      </c>
      <c r="D2369" t="s">
        <v>21</v>
      </c>
      <c r="E2369" t="s">
        <v>1703</v>
      </c>
      <c r="F2369" t="s">
        <v>7341</v>
      </c>
      <c r="G2369" t="s">
        <v>7354</v>
      </c>
      <c r="I2369" t="s">
        <v>2809</v>
      </c>
    </row>
    <row r="2370" spans="1:9" x14ac:dyDescent="0.25">
      <c r="A2370" t="s">
        <v>1625</v>
      </c>
      <c r="B2370" t="s">
        <v>3738</v>
      </c>
      <c r="C2370" s="167">
        <v>237.99</v>
      </c>
      <c r="D2370" t="s">
        <v>563</v>
      </c>
      <c r="E2370" t="s">
        <v>1703</v>
      </c>
      <c r="F2370" t="s">
        <v>7341</v>
      </c>
      <c r="G2370" t="s">
        <v>7354</v>
      </c>
      <c r="I2370" t="s">
        <v>2809</v>
      </c>
    </row>
    <row r="2371" spans="1:9" x14ac:dyDescent="0.25">
      <c r="A2371" t="s">
        <v>1628</v>
      </c>
      <c r="B2371" t="s">
        <v>3741</v>
      </c>
      <c r="C2371" s="167">
        <v>237.99</v>
      </c>
      <c r="D2371" t="s">
        <v>671</v>
      </c>
      <c r="E2371" t="s">
        <v>1703</v>
      </c>
      <c r="F2371" t="s">
        <v>7341</v>
      </c>
      <c r="G2371" t="s">
        <v>7354</v>
      </c>
      <c r="I2371" t="s">
        <v>2809</v>
      </c>
    </row>
    <row r="2372" spans="1:9" x14ac:dyDescent="0.25">
      <c r="A2372" t="s">
        <v>1629</v>
      </c>
      <c r="B2372" t="s">
        <v>3742</v>
      </c>
      <c r="C2372" s="167">
        <v>257.83</v>
      </c>
      <c r="D2372" t="s">
        <v>21</v>
      </c>
      <c r="E2372" t="s">
        <v>1701</v>
      </c>
      <c r="F2372" t="s">
        <v>7344</v>
      </c>
      <c r="G2372" t="s">
        <v>7354</v>
      </c>
      <c r="I2372" t="s">
        <v>2809</v>
      </c>
    </row>
    <row r="2373" spans="1:9" x14ac:dyDescent="0.25">
      <c r="A2373" t="s">
        <v>1632</v>
      </c>
      <c r="B2373" t="s">
        <v>3745</v>
      </c>
      <c r="C2373" s="167">
        <v>257.83</v>
      </c>
      <c r="D2373" t="s">
        <v>563</v>
      </c>
      <c r="E2373" t="s">
        <v>1701</v>
      </c>
      <c r="F2373" t="s">
        <v>7344</v>
      </c>
      <c r="G2373" t="s">
        <v>7354</v>
      </c>
      <c r="I2373" t="s">
        <v>2809</v>
      </c>
    </row>
    <row r="2374" spans="1:9" x14ac:dyDescent="0.25">
      <c r="A2374" t="s">
        <v>1635</v>
      </c>
      <c r="B2374" t="s">
        <v>3748</v>
      </c>
      <c r="C2374" s="167">
        <v>257.83</v>
      </c>
      <c r="D2374" t="s">
        <v>671</v>
      </c>
      <c r="E2374" t="s">
        <v>1701</v>
      </c>
      <c r="F2374" t="s">
        <v>7344</v>
      </c>
      <c r="G2374" t="s">
        <v>7354</v>
      </c>
      <c r="I2374" t="s">
        <v>2809</v>
      </c>
    </row>
    <row r="2375" spans="1:9" x14ac:dyDescent="0.25">
      <c r="A2375" t="s">
        <v>1630</v>
      </c>
      <c r="B2375" t="s">
        <v>3743</v>
      </c>
      <c r="C2375" s="167">
        <v>257.83</v>
      </c>
      <c r="D2375" t="s">
        <v>21</v>
      </c>
      <c r="E2375" t="s">
        <v>1699</v>
      </c>
      <c r="F2375" t="s">
        <v>7344</v>
      </c>
      <c r="G2375" t="s">
        <v>7354</v>
      </c>
      <c r="I2375" t="s">
        <v>2809</v>
      </c>
    </row>
    <row r="2376" spans="1:9" x14ac:dyDescent="0.25">
      <c r="A2376" t="s">
        <v>1633</v>
      </c>
      <c r="B2376" t="s">
        <v>3746</v>
      </c>
      <c r="C2376" s="167">
        <v>257.83</v>
      </c>
      <c r="D2376" t="s">
        <v>563</v>
      </c>
      <c r="E2376" t="s">
        <v>1699</v>
      </c>
      <c r="F2376" t="s">
        <v>7344</v>
      </c>
      <c r="G2376" t="s">
        <v>7354</v>
      </c>
      <c r="I2376" t="s">
        <v>2809</v>
      </c>
    </row>
    <row r="2377" spans="1:9" x14ac:dyDescent="0.25">
      <c r="A2377" t="s">
        <v>1636</v>
      </c>
      <c r="B2377" t="s">
        <v>3749</v>
      </c>
      <c r="C2377" s="167">
        <v>257.83</v>
      </c>
      <c r="D2377" t="s">
        <v>671</v>
      </c>
      <c r="E2377" t="s">
        <v>1699</v>
      </c>
      <c r="F2377" t="s">
        <v>7344</v>
      </c>
      <c r="G2377" t="s">
        <v>7354</v>
      </c>
      <c r="I2377" t="s">
        <v>2809</v>
      </c>
    </row>
    <row r="2378" spans="1:9" x14ac:dyDescent="0.25">
      <c r="A2378" t="s">
        <v>1631</v>
      </c>
      <c r="B2378" t="s">
        <v>3744</v>
      </c>
      <c r="C2378" s="167">
        <v>257.83</v>
      </c>
      <c r="D2378" t="s">
        <v>21</v>
      </c>
      <c r="E2378" t="s">
        <v>1703</v>
      </c>
      <c r="F2378" t="s">
        <v>7344</v>
      </c>
      <c r="G2378" t="s">
        <v>7354</v>
      </c>
      <c r="I2378" t="s">
        <v>2809</v>
      </c>
    </row>
    <row r="2379" spans="1:9" x14ac:dyDescent="0.25">
      <c r="A2379" t="s">
        <v>1634</v>
      </c>
      <c r="B2379" t="s">
        <v>3747</v>
      </c>
      <c r="C2379" s="167">
        <v>257.83</v>
      </c>
      <c r="D2379" t="s">
        <v>563</v>
      </c>
      <c r="E2379" t="s">
        <v>1703</v>
      </c>
      <c r="F2379" t="s">
        <v>7344</v>
      </c>
      <c r="G2379" t="s">
        <v>7354</v>
      </c>
      <c r="I2379" t="s">
        <v>2809</v>
      </c>
    </row>
    <row r="2380" spans="1:9" x14ac:dyDescent="0.25">
      <c r="A2380" t="s">
        <v>1637</v>
      </c>
      <c r="B2380" t="s">
        <v>3750</v>
      </c>
      <c r="C2380" s="167">
        <v>257.83</v>
      </c>
      <c r="D2380" t="s">
        <v>671</v>
      </c>
      <c r="E2380" t="s">
        <v>1703</v>
      </c>
      <c r="F2380" t="s">
        <v>7344</v>
      </c>
      <c r="G2380" t="s">
        <v>7354</v>
      </c>
      <c r="I2380" t="s">
        <v>2809</v>
      </c>
    </row>
    <row r="2381" spans="1:9" x14ac:dyDescent="0.25">
      <c r="A2381" t="s">
        <v>1638</v>
      </c>
      <c r="B2381" t="s">
        <v>3751</v>
      </c>
      <c r="C2381" s="167">
        <v>277.66000000000003</v>
      </c>
      <c r="D2381" t="s">
        <v>21</v>
      </c>
      <c r="E2381" t="s">
        <v>1701</v>
      </c>
      <c r="F2381" t="s">
        <v>7343</v>
      </c>
      <c r="G2381" t="s">
        <v>7354</v>
      </c>
      <c r="I2381" t="s">
        <v>2809</v>
      </c>
    </row>
    <row r="2382" spans="1:9" x14ac:dyDescent="0.25">
      <c r="A2382" t="s">
        <v>1641</v>
      </c>
      <c r="B2382" t="s">
        <v>3754</v>
      </c>
      <c r="C2382" s="167">
        <v>277.66000000000003</v>
      </c>
      <c r="D2382" t="s">
        <v>563</v>
      </c>
      <c r="E2382" t="s">
        <v>1701</v>
      </c>
      <c r="F2382" t="s">
        <v>7343</v>
      </c>
      <c r="G2382" t="s">
        <v>7354</v>
      </c>
      <c r="I2382" t="s">
        <v>2809</v>
      </c>
    </row>
    <row r="2383" spans="1:9" x14ac:dyDescent="0.25">
      <c r="A2383" t="s">
        <v>1644</v>
      </c>
      <c r="B2383" t="s">
        <v>3757</v>
      </c>
      <c r="C2383" s="167">
        <v>277.66000000000003</v>
      </c>
      <c r="D2383" t="s">
        <v>671</v>
      </c>
      <c r="E2383" t="s">
        <v>1701</v>
      </c>
      <c r="F2383" t="s">
        <v>7343</v>
      </c>
      <c r="G2383" t="s">
        <v>7354</v>
      </c>
      <c r="I2383" t="s">
        <v>2809</v>
      </c>
    </row>
    <row r="2384" spans="1:9" x14ac:dyDescent="0.25">
      <c r="A2384" t="s">
        <v>1639</v>
      </c>
      <c r="B2384" t="s">
        <v>3752</v>
      </c>
      <c r="C2384" s="167">
        <v>277.66000000000003</v>
      </c>
      <c r="D2384" t="s">
        <v>21</v>
      </c>
      <c r="E2384" t="s">
        <v>1699</v>
      </c>
      <c r="F2384" t="s">
        <v>7343</v>
      </c>
      <c r="G2384" t="s">
        <v>7354</v>
      </c>
      <c r="I2384" t="s">
        <v>2809</v>
      </c>
    </row>
    <row r="2385" spans="1:9" x14ac:dyDescent="0.25">
      <c r="A2385" t="s">
        <v>1642</v>
      </c>
      <c r="B2385" t="s">
        <v>3755</v>
      </c>
      <c r="C2385" s="167">
        <v>277.66000000000003</v>
      </c>
      <c r="D2385" t="s">
        <v>563</v>
      </c>
      <c r="E2385" t="s">
        <v>1699</v>
      </c>
      <c r="F2385" t="s">
        <v>7343</v>
      </c>
      <c r="G2385" t="s">
        <v>7354</v>
      </c>
      <c r="I2385" t="s">
        <v>2809</v>
      </c>
    </row>
    <row r="2386" spans="1:9" x14ac:dyDescent="0.25">
      <c r="A2386" t="s">
        <v>1645</v>
      </c>
      <c r="B2386" t="s">
        <v>3758</v>
      </c>
      <c r="C2386" s="167">
        <v>277.66000000000003</v>
      </c>
      <c r="D2386" t="s">
        <v>671</v>
      </c>
      <c r="E2386" t="s">
        <v>1699</v>
      </c>
      <c r="F2386" t="s">
        <v>7343</v>
      </c>
      <c r="G2386" t="s">
        <v>7354</v>
      </c>
      <c r="I2386" t="s">
        <v>2809</v>
      </c>
    </row>
    <row r="2387" spans="1:9" x14ac:dyDescent="0.25">
      <c r="A2387" t="s">
        <v>1640</v>
      </c>
      <c r="B2387" t="s">
        <v>3753</v>
      </c>
      <c r="C2387" s="167">
        <v>277.66000000000003</v>
      </c>
      <c r="D2387" t="s">
        <v>21</v>
      </c>
      <c r="E2387" t="s">
        <v>1703</v>
      </c>
      <c r="F2387" t="s">
        <v>7343</v>
      </c>
      <c r="G2387" t="s">
        <v>7354</v>
      </c>
      <c r="I2387" t="s">
        <v>2809</v>
      </c>
    </row>
    <row r="2388" spans="1:9" x14ac:dyDescent="0.25">
      <c r="A2388" t="s">
        <v>1643</v>
      </c>
      <c r="B2388" t="s">
        <v>3756</v>
      </c>
      <c r="C2388" s="167">
        <v>277.66000000000003</v>
      </c>
      <c r="D2388" t="s">
        <v>563</v>
      </c>
      <c r="E2388" t="s">
        <v>1703</v>
      </c>
      <c r="F2388" t="s">
        <v>7343</v>
      </c>
      <c r="G2388" t="s">
        <v>7354</v>
      </c>
      <c r="I2388" t="s">
        <v>2809</v>
      </c>
    </row>
    <row r="2389" spans="1:9" x14ac:dyDescent="0.25">
      <c r="A2389" t="s">
        <v>1646</v>
      </c>
      <c r="B2389" t="s">
        <v>3759</v>
      </c>
      <c r="C2389" s="167">
        <v>277.66000000000003</v>
      </c>
      <c r="D2389" t="s">
        <v>671</v>
      </c>
      <c r="E2389" t="s">
        <v>1703</v>
      </c>
      <c r="F2389" t="s">
        <v>7343</v>
      </c>
      <c r="G2389" t="s">
        <v>7354</v>
      </c>
      <c r="I2389" t="s">
        <v>2809</v>
      </c>
    </row>
    <row r="2390" spans="1:9" x14ac:dyDescent="0.25">
      <c r="A2390" t="s">
        <v>1647</v>
      </c>
      <c r="B2390" t="s">
        <v>3760</v>
      </c>
      <c r="C2390" s="167">
        <v>145.44</v>
      </c>
      <c r="D2390" t="s">
        <v>21</v>
      </c>
      <c r="E2390" t="s">
        <v>2853</v>
      </c>
      <c r="F2390" t="s">
        <v>7339</v>
      </c>
      <c r="G2390" t="s">
        <v>7354</v>
      </c>
      <c r="I2390" t="s">
        <v>2809</v>
      </c>
    </row>
    <row r="2391" spans="1:9" x14ac:dyDescent="0.25">
      <c r="A2391" t="s">
        <v>1648</v>
      </c>
      <c r="B2391" t="s">
        <v>3761</v>
      </c>
      <c r="C2391" s="167">
        <v>145.44</v>
      </c>
      <c r="D2391" t="s">
        <v>563</v>
      </c>
      <c r="E2391" t="s">
        <v>2853</v>
      </c>
      <c r="F2391" t="s">
        <v>7339</v>
      </c>
      <c r="G2391" t="s">
        <v>7354</v>
      </c>
      <c r="I2391" t="s">
        <v>2809</v>
      </c>
    </row>
    <row r="2392" spans="1:9" x14ac:dyDescent="0.25">
      <c r="A2392" t="s">
        <v>1649</v>
      </c>
      <c r="B2392" t="s">
        <v>3762</v>
      </c>
      <c r="C2392" s="167">
        <v>145.44</v>
      </c>
      <c r="D2392" t="s">
        <v>671</v>
      </c>
      <c r="E2392" t="s">
        <v>2853</v>
      </c>
      <c r="F2392" t="s">
        <v>7339</v>
      </c>
      <c r="G2392" t="s">
        <v>7354</v>
      </c>
      <c r="I2392" t="s">
        <v>2809</v>
      </c>
    </row>
    <row r="2393" spans="1:9" x14ac:dyDescent="0.25">
      <c r="A2393" t="s">
        <v>1650</v>
      </c>
      <c r="B2393" t="s">
        <v>3763</v>
      </c>
      <c r="C2393" s="167">
        <v>158.66999999999999</v>
      </c>
      <c r="D2393" t="s">
        <v>21</v>
      </c>
      <c r="E2393" t="s">
        <v>2853</v>
      </c>
      <c r="F2393" t="s">
        <v>7341</v>
      </c>
      <c r="G2393" t="s">
        <v>7354</v>
      </c>
      <c r="I2393" t="s">
        <v>2809</v>
      </c>
    </row>
    <row r="2394" spans="1:9" x14ac:dyDescent="0.25">
      <c r="A2394" t="s">
        <v>1651</v>
      </c>
      <c r="B2394" t="s">
        <v>3764</v>
      </c>
      <c r="C2394" s="167">
        <v>158.66999999999999</v>
      </c>
      <c r="D2394" t="s">
        <v>563</v>
      </c>
      <c r="E2394" t="s">
        <v>2853</v>
      </c>
      <c r="F2394" t="s">
        <v>7341</v>
      </c>
      <c r="G2394" t="s">
        <v>7354</v>
      </c>
      <c r="I2394" t="s">
        <v>2809</v>
      </c>
    </row>
    <row r="2395" spans="1:9" x14ac:dyDescent="0.25">
      <c r="A2395" t="s">
        <v>1652</v>
      </c>
      <c r="B2395" t="s">
        <v>3765</v>
      </c>
      <c r="C2395" s="167">
        <v>158.66999999999999</v>
      </c>
      <c r="D2395" t="s">
        <v>671</v>
      </c>
      <c r="E2395" t="s">
        <v>2853</v>
      </c>
      <c r="F2395" t="s">
        <v>7341</v>
      </c>
      <c r="G2395" t="s">
        <v>7354</v>
      </c>
      <c r="I2395" t="s">
        <v>2809</v>
      </c>
    </row>
    <row r="2396" spans="1:9" x14ac:dyDescent="0.25">
      <c r="A2396" t="s">
        <v>1653</v>
      </c>
      <c r="B2396" t="s">
        <v>3766</v>
      </c>
      <c r="C2396" s="167">
        <v>178.49</v>
      </c>
      <c r="D2396" t="s">
        <v>21</v>
      </c>
      <c r="E2396" t="s">
        <v>2853</v>
      </c>
      <c r="F2396" t="s">
        <v>7344</v>
      </c>
      <c r="G2396" t="s">
        <v>7354</v>
      </c>
      <c r="I2396" t="s">
        <v>2809</v>
      </c>
    </row>
    <row r="2397" spans="1:9" x14ac:dyDescent="0.25">
      <c r="A2397" t="s">
        <v>1654</v>
      </c>
      <c r="B2397" t="s">
        <v>3767</v>
      </c>
      <c r="C2397" s="167">
        <v>178.49</v>
      </c>
      <c r="D2397" t="s">
        <v>563</v>
      </c>
      <c r="E2397" t="s">
        <v>2853</v>
      </c>
      <c r="F2397" t="s">
        <v>7344</v>
      </c>
      <c r="G2397" t="s">
        <v>7354</v>
      </c>
      <c r="I2397" t="s">
        <v>2809</v>
      </c>
    </row>
    <row r="2398" spans="1:9" x14ac:dyDescent="0.25">
      <c r="A2398" t="s">
        <v>1655</v>
      </c>
      <c r="B2398" t="s">
        <v>3768</v>
      </c>
      <c r="C2398" s="167">
        <v>178.49</v>
      </c>
      <c r="D2398" t="s">
        <v>671</v>
      </c>
      <c r="E2398" t="s">
        <v>2853</v>
      </c>
      <c r="F2398" t="s">
        <v>7344</v>
      </c>
      <c r="G2398" t="s">
        <v>7354</v>
      </c>
      <c r="I2398" t="s">
        <v>2809</v>
      </c>
    </row>
    <row r="2399" spans="1:9" x14ac:dyDescent="0.25">
      <c r="A2399" t="s">
        <v>1656</v>
      </c>
      <c r="B2399" t="s">
        <v>3769</v>
      </c>
      <c r="C2399" s="167">
        <v>198.33</v>
      </c>
      <c r="D2399" t="s">
        <v>21</v>
      </c>
      <c r="E2399" t="s">
        <v>2853</v>
      </c>
      <c r="F2399" t="s">
        <v>7343</v>
      </c>
      <c r="G2399" t="s">
        <v>7354</v>
      </c>
      <c r="I2399" t="s">
        <v>2809</v>
      </c>
    </row>
    <row r="2400" spans="1:9" x14ac:dyDescent="0.25">
      <c r="A2400" t="s">
        <v>1657</v>
      </c>
      <c r="B2400" t="s">
        <v>3770</v>
      </c>
      <c r="C2400" s="167">
        <v>198.33</v>
      </c>
      <c r="D2400" t="s">
        <v>563</v>
      </c>
      <c r="E2400" t="s">
        <v>2853</v>
      </c>
      <c r="F2400" t="s">
        <v>7343</v>
      </c>
      <c r="G2400" t="s">
        <v>7354</v>
      </c>
      <c r="I2400" t="s">
        <v>2809</v>
      </c>
    </row>
    <row r="2401" spans="1:9" x14ac:dyDescent="0.25">
      <c r="A2401" t="s">
        <v>1658</v>
      </c>
      <c r="B2401" t="s">
        <v>3771</v>
      </c>
      <c r="C2401" s="167">
        <v>198.33</v>
      </c>
      <c r="D2401" t="s">
        <v>671</v>
      </c>
      <c r="E2401" t="s">
        <v>2853</v>
      </c>
      <c r="F2401" t="s">
        <v>7343</v>
      </c>
      <c r="G2401" t="s">
        <v>7354</v>
      </c>
      <c r="I2401" t="s">
        <v>2809</v>
      </c>
    </row>
    <row r="2402" spans="1:9" x14ac:dyDescent="0.25">
      <c r="A2402" t="s">
        <v>1659</v>
      </c>
      <c r="B2402" t="s">
        <v>3772</v>
      </c>
      <c r="C2402" s="167">
        <v>145.44</v>
      </c>
      <c r="D2402" t="s">
        <v>21</v>
      </c>
      <c r="E2402" t="s">
        <v>2853</v>
      </c>
      <c r="F2402" t="s">
        <v>7339</v>
      </c>
      <c r="G2402" t="s">
        <v>7354</v>
      </c>
      <c r="I2402" t="s">
        <v>2809</v>
      </c>
    </row>
    <row r="2403" spans="1:9" x14ac:dyDescent="0.25">
      <c r="A2403" t="s">
        <v>1660</v>
      </c>
      <c r="B2403" t="s">
        <v>3773</v>
      </c>
      <c r="C2403" s="167">
        <v>145.44</v>
      </c>
      <c r="D2403" t="s">
        <v>563</v>
      </c>
      <c r="E2403" t="s">
        <v>2853</v>
      </c>
      <c r="F2403" t="s">
        <v>7339</v>
      </c>
      <c r="G2403" t="s">
        <v>7354</v>
      </c>
      <c r="I2403" t="s">
        <v>2809</v>
      </c>
    </row>
    <row r="2404" spans="1:9" x14ac:dyDescent="0.25">
      <c r="A2404" t="s">
        <v>1661</v>
      </c>
      <c r="B2404" t="s">
        <v>3774</v>
      </c>
      <c r="C2404" s="167">
        <v>145.44</v>
      </c>
      <c r="D2404" t="s">
        <v>671</v>
      </c>
      <c r="E2404" t="s">
        <v>2853</v>
      </c>
      <c r="F2404" t="s">
        <v>7339</v>
      </c>
      <c r="G2404" t="s">
        <v>7354</v>
      </c>
      <c r="I2404" t="s">
        <v>2809</v>
      </c>
    </row>
    <row r="2405" spans="1:9" x14ac:dyDescent="0.25">
      <c r="A2405" t="s">
        <v>1662</v>
      </c>
      <c r="B2405" t="s">
        <v>3775</v>
      </c>
      <c r="C2405" s="167">
        <v>171.89</v>
      </c>
      <c r="D2405" t="s">
        <v>21</v>
      </c>
      <c r="E2405" t="s">
        <v>2853</v>
      </c>
      <c r="F2405" t="s">
        <v>7341</v>
      </c>
      <c r="G2405" t="s">
        <v>7354</v>
      </c>
      <c r="I2405" t="s">
        <v>2809</v>
      </c>
    </row>
    <row r="2406" spans="1:9" x14ac:dyDescent="0.25">
      <c r="A2406" t="s">
        <v>1663</v>
      </c>
      <c r="B2406" t="s">
        <v>3776</v>
      </c>
      <c r="C2406" s="167">
        <v>171.89</v>
      </c>
      <c r="D2406" t="s">
        <v>563</v>
      </c>
      <c r="E2406" t="s">
        <v>2853</v>
      </c>
      <c r="F2406" t="s">
        <v>7341</v>
      </c>
      <c r="G2406" t="s">
        <v>7354</v>
      </c>
      <c r="I2406" t="s">
        <v>2809</v>
      </c>
    </row>
    <row r="2407" spans="1:9" x14ac:dyDescent="0.25">
      <c r="A2407" t="s">
        <v>1664</v>
      </c>
      <c r="B2407" t="s">
        <v>3777</v>
      </c>
      <c r="C2407" s="167">
        <v>171.89</v>
      </c>
      <c r="D2407" t="s">
        <v>671</v>
      </c>
      <c r="E2407" t="s">
        <v>2853</v>
      </c>
      <c r="F2407" t="s">
        <v>7341</v>
      </c>
      <c r="G2407" t="s">
        <v>7354</v>
      </c>
      <c r="I2407" t="s">
        <v>2809</v>
      </c>
    </row>
    <row r="2408" spans="1:9" x14ac:dyDescent="0.25">
      <c r="A2408" t="s">
        <v>1665</v>
      </c>
      <c r="B2408" t="s">
        <v>3778</v>
      </c>
      <c r="C2408" s="167">
        <v>198.33</v>
      </c>
      <c r="D2408" t="s">
        <v>21</v>
      </c>
      <c r="E2408" t="s">
        <v>2853</v>
      </c>
      <c r="F2408" t="s">
        <v>7344</v>
      </c>
      <c r="G2408" t="s">
        <v>7354</v>
      </c>
      <c r="I2408" t="s">
        <v>2809</v>
      </c>
    </row>
    <row r="2409" spans="1:9" x14ac:dyDescent="0.25">
      <c r="A2409" t="s">
        <v>1666</v>
      </c>
      <c r="B2409" t="s">
        <v>3779</v>
      </c>
      <c r="C2409" s="167">
        <v>198.33</v>
      </c>
      <c r="D2409" t="s">
        <v>563</v>
      </c>
      <c r="E2409" t="s">
        <v>2853</v>
      </c>
      <c r="F2409" t="s">
        <v>7344</v>
      </c>
      <c r="G2409" t="s">
        <v>7354</v>
      </c>
      <c r="I2409" t="s">
        <v>2809</v>
      </c>
    </row>
    <row r="2410" spans="1:9" x14ac:dyDescent="0.25">
      <c r="A2410" t="s">
        <v>1667</v>
      </c>
      <c r="B2410" t="s">
        <v>3780</v>
      </c>
      <c r="C2410" s="167">
        <v>198.33</v>
      </c>
      <c r="D2410" t="s">
        <v>671</v>
      </c>
      <c r="E2410" t="s">
        <v>2853</v>
      </c>
      <c r="F2410" t="s">
        <v>7344</v>
      </c>
      <c r="G2410" t="s">
        <v>7354</v>
      </c>
      <c r="I2410" t="s">
        <v>2809</v>
      </c>
    </row>
    <row r="2411" spans="1:9" x14ac:dyDescent="0.25">
      <c r="A2411" t="s">
        <v>1668</v>
      </c>
      <c r="B2411" t="s">
        <v>3781</v>
      </c>
      <c r="C2411" s="167">
        <v>224.78</v>
      </c>
      <c r="D2411" t="s">
        <v>21</v>
      </c>
      <c r="E2411" t="s">
        <v>2853</v>
      </c>
      <c r="F2411" t="s">
        <v>7343</v>
      </c>
      <c r="G2411" t="s">
        <v>7354</v>
      </c>
      <c r="I2411" t="s">
        <v>2809</v>
      </c>
    </row>
    <row r="2412" spans="1:9" x14ac:dyDescent="0.25">
      <c r="A2412" t="s">
        <v>1669</v>
      </c>
      <c r="B2412" t="s">
        <v>3782</v>
      </c>
      <c r="C2412" s="167">
        <v>224.78</v>
      </c>
      <c r="D2412" t="s">
        <v>563</v>
      </c>
      <c r="E2412" t="s">
        <v>2853</v>
      </c>
      <c r="F2412" t="s">
        <v>7343</v>
      </c>
      <c r="G2412" t="s">
        <v>7354</v>
      </c>
      <c r="I2412" t="s">
        <v>2809</v>
      </c>
    </row>
    <row r="2413" spans="1:9" x14ac:dyDescent="0.25">
      <c r="A2413" t="s">
        <v>1670</v>
      </c>
      <c r="B2413" t="s">
        <v>3783</v>
      </c>
      <c r="C2413" s="167">
        <v>224.78</v>
      </c>
      <c r="D2413" t="s">
        <v>671</v>
      </c>
      <c r="E2413" t="s">
        <v>2853</v>
      </c>
      <c r="F2413" t="s">
        <v>7343</v>
      </c>
      <c r="G2413" t="s">
        <v>7354</v>
      </c>
      <c r="I2413" t="s">
        <v>2809</v>
      </c>
    </row>
    <row r="2414" spans="1:9" x14ac:dyDescent="0.25">
      <c r="A2414" t="s">
        <v>2709</v>
      </c>
      <c r="B2414" t="s">
        <v>4570</v>
      </c>
      <c r="C2414" s="167">
        <v>200.73</v>
      </c>
      <c r="D2414" t="s">
        <v>21</v>
      </c>
      <c r="E2414" t="s">
        <v>1701</v>
      </c>
      <c r="F2414" t="s">
        <v>7339</v>
      </c>
      <c r="G2414" t="s">
        <v>7354</v>
      </c>
      <c r="I2414" t="s">
        <v>2809</v>
      </c>
    </row>
    <row r="2415" spans="1:9" x14ac:dyDescent="0.25">
      <c r="A2415" t="s">
        <v>2712</v>
      </c>
      <c r="B2415" t="s">
        <v>4573</v>
      </c>
      <c r="C2415" s="167">
        <v>200.73</v>
      </c>
      <c r="D2415" t="s">
        <v>563</v>
      </c>
      <c r="E2415" t="s">
        <v>1701</v>
      </c>
      <c r="F2415" t="s">
        <v>7339</v>
      </c>
      <c r="G2415" t="s">
        <v>7354</v>
      </c>
      <c r="I2415" t="s">
        <v>2809</v>
      </c>
    </row>
    <row r="2416" spans="1:9" x14ac:dyDescent="0.25">
      <c r="A2416" t="s">
        <v>2715</v>
      </c>
      <c r="B2416" t="s">
        <v>4576</v>
      </c>
      <c r="C2416" s="167">
        <v>200.73</v>
      </c>
      <c r="D2416" t="s">
        <v>671</v>
      </c>
      <c r="E2416" t="s">
        <v>1701</v>
      </c>
      <c r="F2416" t="s">
        <v>7339</v>
      </c>
      <c r="G2416" t="s">
        <v>7354</v>
      </c>
      <c r="I2416" t="s">
        <v>2809</v>
      </c>
    </row>
    <row r="2417" spans="1:9" x14ac:dyDescent="0.25">
      <c r="A2417" t="s">
        <v>2710</v>
      </c>
      <c r="B2417" t="s">
        <v>4571</v>
      </c>
      <c r="C2417" s="167">
        <v>200.73</v>
      </c>
      <c r="D2417" t="s">
        <v>21</v>
      </c>
      <c r="E2417" t="s">
        <v>1699</v>
      </c>
      <c r="F2417" t="s">
        <v>7339</v>
      </c>
      <c r="G2417" t="s">
        <v>7354</v>
      </c>
      <c r="I2417" t="s">
        <v>2809</v>
      </c>
    </row>
    <row r="2418" spans="1:9" x14ac:dyDescent="0.25">
      <c r="A2418" t="s">
        <v>2713</v>
      </c>
      <c r="B2418" t="s">
        <v>4574</v>
      </c>
      <c r="C2418" s="167">
        <v>200.73</v>
      </c>
      <c r="D2418" t="s">
        <v>563</v>
      </c>
      <c r="E2418" t="s">
        <v>1699</v>
      </c>
      <c r="F2418" t="s">
        <v>7339</v>
      </c>
      <c r="G2418" t="s">
        <v>7354</v>
      </c>
      <c r="I2418" t="s">
        <v>2809</v>
      </c>
    </row>
    <row r="2419" spans="1:9" x14ac:dyDescent="0.25">
      <c r="A2419" t="s">
        <v>2716</v>
      </c>
      <c r="B2419" t="s">
        <v>4577</v>
      </c>
      <c r="C2419" s="167">
        <v>200.73</v>
      </c>
      <c r="D2419" t="s">
        <v>671</v>
      </c>
      <c r="E2419" t="s">
        <v>1699</v>
      </c>
      <c r="F2419" t="s">
        <v>7339</v>
      </c>
      <c r="G2419" t="s">
        <v>7354</v>
      </c>
      <c r="I2419" t="s">
        <v>2809</v>
      </c>
    </row>
    <row r="2420" spans="1:9" x14ac:dyDescent="0.25">
      <c r="A2420" t="s">
        <v>2711</v>
      </c>
      <c r="B2420" t="s">
        <v>4572</v>
      </c>
      <c r="C2420" s="167">
        <v>200.73</v>
      </c>
      <c r="D2420" t="s">
        <v>21</v>
      </c>
      <c r="E2420" t="s">
        <v>1703</v>
      </c>
      <c r="F2420" t="s">
        <v>7339</v>
      </c>
      <c r="G2420" t="s">
        <v>7354</v>
      </c>
      <c r="I2420" t="s">
        <v>2809</v>
      </c>
    </row>
    <row r="2421" spans="1:9" x14ac:dyDescent="0.25">
      <c r="A2421" t="s">
        <v>2714</v>
      </c>
      <c r="B2421" t="s">
        <v>4575</v>
      </c>
      <c r="C2421" s="167">
        <v>200.73</v>
      </c>
      <c r="D2421" t="s">
        <v>563</v>
      </c>
      <c r="E2421" t="s">
        <v>1703</v>
      </c>
      <c r="F2421" t="s">
        <v>7339</v>
      </c>
      <c r="G2421" t="s">
        <v>7354</v>
      </c>
      <c r="I2421" t="s">
        <v>2809</v>
      </c>
    </row>
    <row r="2422" spans="1:9" x14ac:dyDescent="0.25">
      <c r="A2422" t="s">
        <v>2717</v>
      </c>
      <c r="B2422" t="s">
        <v>4578</v>
      </c>
      <c r="C2422" s="167">
        <v>200.73</v>
      </c>
      <c r="D2422" t="s">
        <v>671</v>
      </c>
      <c r="E2422" t="s">
        <v>1703</v>
      </c>
      <c r="F2422" t="s">
        <v>7339</v>
      </c>
      <c r="G2422" t="s">
        <v>7354</v>
      </c>
      <c r="I2422" t="s">
        <v>2809</v>
      </c>
    </row>
    <row r="2423" spans="1:9" x14ac:dyDescent="0.25">
      <c r="A2423" t="s">
        <v>2718</v>
      </c>
      <c r="B2423" t="s">
        <v>4579</v>
      </c>
      <c r="C2423" s="167">
        <v>240.39</v>
      </c>
      <c r="D2423" t="s">
        <v>21</v>
      </c>
      <c r="E2423" t="s">
        <v>1701</v>
      </c>
      <c r="F2423" t="s">
        <v>7341</v>
      </c>
      <c r="G2423" t="s">
        <v>7354</v>
      </c>
      <c r="I2423" t="s">
        <v>2809</v>
      </c>
    </row>
    <row r="2424" spans="1:9" x14ac:dyDescent="0.25">
      <c r="A2424" t="s">
        <v>2721</v>
      </c>
      <c r="B2424" t="s">
        <v>4582</v>
      </c>
      <c r="C2424" s="167">
        <v>240.39</v>
      </c>
      <c r="D2424" t="s">
        <v>563</v>
      </c>
      <c r="E2424" t="s">
        <v>1701</v>
      </c>
      <c r="F2424" t="s">
        <v>7341</v>
      </c>
      <c r="G2424" t="s">
        <v>7354</v>
      </c>
      <c r="I2424" t="s">
        <v>2809</v>
      </c>
    </row>
    <row r="2425" spans="1:9" x14ac:dyDescent="0.25">
      <c r="A2425" t="s">
        <v>2724</v>
      </c>
      <c r="B2425" t="s">
        <v>4585</v>
      </c>
      <c r="C2425" s="167">
        <v>240.39</v>
      </c>
      <c r="D2425" t="s">
        <v>671</v>
      </c>
      <c r="E2425" t="s">
        <v>1701</v>
      </c>
      <c r="F2425" t="s">
        <v>7341</v>
      </c>
      <c r="G2425" t="s">
        <v>7354</v>
      </c>
      <c r="I2425" t="s">
        <v>2809</v>
      </c>
    </row>
    <row r="2426" spans="1:9" x14ac:dyDescent="0.25">
      <c r="A2426" t="s">
        <v>2719</v>
      </c>
      <c r="B2426" t="s">
        <v>4580</v>
      </c>
      <c r="C2426" s="167">
        <v>240.39</v>
      </c>
      <c r="D2426" t="s">
        <v>21</v>
      </c>
      <c r="E2426" t="s">
        <v>1699</v>
      </c>
      <c r="F2426" t="s">
        <v>7341</v>
      </c>
      <c r="G2426" t="s">
        <v>7354</v>
      </c>
      <c r="I2426" t="s">
        <v>2809</v>
      </c>
    </row>
    <row r="2427" spans="1:9" x14ac:dyDescent="0.25">
      <c r="A2427" t="s">
        <v>2722</v>
      </c>
      <c r="B2427" t="s">
        <v>4583</v>
      </c>
      <c r="C2427" s="167">
        <v>240.39</v>
      </c>
      <c r="D2427" t="s">
        <v>563</v>
      </c>
      <c r="E2427" t="s">
        <v>1699</v>
      </c>
      <c r="F2427" t="s">
        <v>7341</v>
      </c>
      <c r="G2427" t="s">
        <v>7354</v>
      </c>
      <c r="I2427" t="s">
        <v>2809</v>
      </c>
    </row>
    <row r="2428" spans="1:9" x14ac:dyDescent="0.25">
      <c r="A2428" t="s">
        <v>2725</v>
      </c>
      <c r="B2428" t="s">
        <v>4586</v>
      </c>
      <c r="C2428" s="167">
        <v>240.39</v>
      </c>
      <c r="D2428" t="s">
        <v>671</v>
      </c>
      <c r="E2428" t="s">
        <v>1699</v>
      </c>
      <c r="F2428" t="s">
        <v>7341</v>
      </c>
      <c r="G2428" t="s">
        <v>7354</v>
      </c>
      <c r="I2428" t="s">
        <v>2809</v>
      </c>
    </row>
    <row r="2429" spans="1:9" x14ac:dyDescent="0.25">
      <c r="A2429" t="s">
        <v>2720</v>
      </c>
      <c r="B2429" t="s">
        <v>4581</v>
      </c>
      <c r="C2429" s="167">
        <v>240.39</v>
      </c>
      <c r="D2429" t="s">
        <v>21</v>
      </c>
      <c r="E2429" t="s">
        <v>1703</v>
      </c>
      <c r="F2429" t="s">
        <v>7341</v>
      </c>
      <c r="G2429" t="s">
        <v>7354</v>
      </c>
      <c r="I2429" t="s">
        <v>2809</v>
      </c>
    </row>
    <row r="2430" spans="1:9" x14ac:dyDescent="0.25">
      <c r="A2430" t="s">
        <v>2723</v>
      </c>
      <c r="B2430" t="s">
        <v>4584</v>
      </c>
      <c r="C2430" s="167">
        <v>240.39</v>
      </c>
      <c r="D2430" t="s">
        <v>563</v>
      </c>
      <c r="E2430" t="s">
        <v>1703</v>
      </c>
      <c r="F2430" t="s">
        <v>7341</v>
      </c>
      <c r="G2430" t="s">
        <v>7354</v>
      </c>
      <c r="I2430" t="s">
        <v>2809</v>
      </c>
    </row>
    <row r="2431" spans="1:9" x14ac:dyDescent="0.25">
      <c r="A2431" t="s">
        <v>2726</v>
      </c>
      <c r="B2431" t="s">
        <v>4587</v>
      </c>
      <c r="C2431" s="167">
        <v>240.39</v>
      </c>
      <c r="D2431" t="s">
        <v>671</v>
      </c>
      <c r="E2431" t="s">
        <v>1703</v>
      </c>
      <c r="F2431" t="s">
        <v>7341</v>
      </c>
      <c r="G2431" t="s">
        <v>7354</v>
      </c>
      <c r="I2431" t="s">
        <v>2809</v>
      </c>
    </row>
    <row r="2432" spans="1:9" x14ac:dyDescent="0.25">
      <c r="A2432" t="s">
        <v>2727</v>
      </c>
      <c r="B2432" t="s">
        <v>4588</v>
      </c>
      <c r="C2432" s="167">
        <v>260.23</v>
      </c>
      <c r="D2432" t="s">
        <v>21</v>
      </c>
      <c r="E2432" t="s">
        <v>1701</v>
      </c>
      <c r="F2432" t="s">
        <v>7344</v>
      </c>
      <c r="G2432" t="s">
        <v>7354</v>
      </c>
      <c r="I2432" t="s">
        <v>2809</v>
      </c>
    </row>
    <row r="2433" spans="1:9" x14ac:dyDescent="0.25">
      <c r="A2433" t="s">
        <v>2730</v>
      </c>
      <c r="B2433" t="s">
        <v>4591</v>
      </c>
      <c r="C2433" s="167">
        <v>260.23</v>
      </c>
      <c r="D2433" t="s">
        <v>563</v>
      </c>
      <c r="E2433" t="s">
        <v>1701</v>
      </c>
      <c r="F2433" t="s">
        <v>7344</v>
      </c>
      <c r="G2433" t="s">
        <v>7354</v>
      </c>
      <c r="I2433" t="s">
        <v>2809</v>
      </c>
    </row>
    <row r="2434" spans="1:9" x14ac:dyDescent="0.25">
      <c r="A2434" t="s">
        <v>2733</v>
      </c>
      <c r="B2434" t="s">
        <v>4594</v>
      </c>
      <c r="C2434" s="167">
        <v>260.23</v>
      </c>
      <c r="D2434" t="s">
        <v>671</v>
      </c>
      <c r="E2434" t="s">
        <v>1701</v>
      </c>
      <c r="F2434" t="s">
        <v>7344</v>
      </c>
      <c r="G2434" t="s">
        <v>7354</v>
      </c>
      <c r="I2434" t="s">
        <v>2809</v>
      </c>
    </row>
    <row r="2435" spans="1:9" x14ac:dyDescent="0.25">
      <c r="A2435" t="s">
        <v>2728</v>
      </c>
      <c r="B2435" t="s">
        <v>4589</v>
      </c>
      <c r="C2435" s="167">
        <v>260.23</v>
      </c>
      <c r="D2435" t="s">
        <v>21</v>
      </c>
      <c r="E2435" t="s">
        <v>1699</v>
      </c>
      <c r="F2435" t="s">
        <v>7344</v>
      </c>
      <c r="G2435" t="s">
        <v>7354</v>
      </c>
      <c r="I2435" t="s">
        <v>2809</v>
      </c>
    </row>
    <row r="2436" spans="1:9" x14ac:dyDescent="0.25">
      <c r="A2436" t="s">
        <v>2731</v>
      </c>
      <c r="B2436" t="s">
        <v>4592</v>
      </c>
      <c r="C2436" s="167">
        <v>260.23</v>
      </c>
      <c r="D2436" t="s">
        <v>563</v>
      </c>
      <c r="E2436" t="s">
        <v>1699</v>
      </c>
      <c r="F2436" t="s">
        <v>7344</v>
      </c>
      <c r="G2436" t="s">
        <v>7354</v>
      </c>
      <c r="I2436" t="s">
        <v>2809</v>
      </c>
    </row>
    <row r="2437" spans="1:9" x14ac:dyDescent="0.25">
      <c r="A2437" t="s">
        <v>2734</v>
      </c>
      <c r="B2437" t="s">
        <v>4595</v>
      </c>
      <c r="C2437" s="167">
        <v>260.23</v>
      </c>
      <c r="D2437" t="s">
        <v>671</v>
      </c>
      <c r="E2437" t="s">
        <v>1699</v>
      </c>
      <c r="F2437" t="s">
        <v>7344</v>
      </c>
      <c r="G2437" t="s">
        <v>7354</v>
      </c>
      <c r="I2437" t="s">
        <v>2809</v>
      </c>
    </row>
    <row r="2438" spans="1:9" x14ac:dyDescent="0.25">
      <c r="A2438" t="s">
        <v>2729</v>
      </c>
      <c r="B2438" t="s">
        <v>4590</v>
      </c>
      <c r="C2438" s="167">
        <v>260.23</v>
      </c>
      <c r="D2438" t="s">
        <v>21</v>
      </c>
      <c r="E2438" t="s">
        <v>1703</v>
      </c>
      <c r="F2438" t="s">
        <v>7344</v>
      </c>
      <c r="G2438" t="s">
        <v>7354</v>
      </c>
      <c r="I2438" t="s">
        <v>2809</v>
      </c>
    </row>
    <row r="2439" spans="1:9" x14ac:dyDescent="0.25">
      <c r="A2439" t="s">
        <v>2732</v>
      </c>
      <c r="B2439" t="s">
        <v>4593</v>
      </c>
      <c r="C2439" s="167">
        <v>260.23</v>
      </c>
      <c r="D2439" t="s">
        <v>563</v>
      </c>
      <c r="E2439" t="s">
        <v>1703</v>
      </c>
      <c r="F2439" t="s">
        <v>7344</v>
      </c>
      <c r="G2439" t="s">
        <v>7354</v>
      </c>
      <c r="I2439" t="s">
        <v>2809</v>
      </c>
    </row>
    <row r="2440" spans="1:9" x14ac:dyDescent="0.25">
      <c r="A2440" t="s">
        <v>2735</v>
      </c>
      <c r="B2440" t="s">
        <v>4596</v>
      </c>
      <c r="C2440" s="167">
        <v>260.23</v>
      </c>
      <c r="D2440" t="s">
        <v>671</v>
      </c>
      <c r="E2440" t="s">
        <v>1703</v>
      </c>
      <c r="F2440" t="s">
        <v>7344</v>
      </c>
      <c r="G2440" t="s">
        <v>7354</v>
      </c>
      <c r="I2440" t="s">
        <v>2809</v>
      </c>
    </row>
    <row r="2441" spans="1:9" x14ac:dyDescent="0.25">
      <c r="A2441" t="s">
        <v>2736</v>
      </c>
      <c r="B2441" t="s">
        <v>4597</v>
      </c>
      <c r="C2441" s="167">
        <v>280.06</v>
      </c>
      <c r="D2441" t="s">
        <v>21</v>
      </c>
      <c r="E2441" t="s">
        <v>1701</v>
      </c>
      <c r="F2441" t="s">
        <v>7343</v>
      </c>
      <c r="G2441" t="s">
        <v>7354</v>
      </c>
      <c r="I2441" t="s">
        <v>2809</v>
      </c>
    </row>
    <row r="2442" spans="1:9" x14ac:dyDescent="0.25">
      <c r="A2442" t="s">
        <v>2739</v>
      </c>
      <c r="B2442" t="s">
        <v>4600</v>
      </c>
      <c r="C2442" s="167">
        <v>280.06</v>
      </c>
      <c r="D2442" t="s">
        <v>563</v>
      </c>
      <c r="E2442" t="s">
        <v>1701</v>
      </c>
      <c r="F2442" t="s">
        <v>7343</v>
      </c>
      <c r="G2442" t="s">
        <v>7354</v>
      </c>
      <c r="I2442" t="s">
        <v>2809</v>
      </c>
    </row>
    <row r="2443" spans="1:9" x14ac:dyDescent="0.25">
      <c r="A2443" t="s">
        <v>2742</v>
      </c>
      <c r="B2443" t="s">
        <v>4603</v>
      </c>
      <c r="C2443" s="167">
        <v>280.06</v>
      </c>
      <c r="D2443" t="s">
        <v>671</v>
      </c>
      <c r="E2443" t="s">
        <v>1701</v>
      </c>
      <c r="F2443" t="s">
        <v>7343</v>
      </c>
      <c r="G2443" t="s">
        <v>7354</v>
      </c>
      <c r="I2443" t="s">
        <v>2809</v>
      </c>
    </row>
    <row r="2444" spans="1:9" x14ac:dyDescent="0.25">
      <c r="A2444" t="s">
        <v>2737</v>
      </c>
      <c r="B2444" t="s">
        <v>4598</v>
      </c>
      <c r="C2444" s="167">
        <v>280.06</v>
      </c>
      <c r="D2444" t="s">
        <v>21</v>
      </c>
      <c r="E2444" t="s">
        <v>1699</v>
      </c>
      <c r="F2444" t="s">
        <v>7343</v>
      </c>
      <c r="G2444" t="s">
        <v>7354</v>
      </c>
      <c r="I2444" t="s">
        <v>2809</v>
      </c>
    </row>
    <row r="2445" spans="1:9" x14ac:dyDescent="0.25">
      <c r="A2445" t="s">
        <v>2740</v>
      </c>
      <c r="B2445" t="s">
        <v>4601</v>
      </c>
      <c r="C2445" s="167">
        <v>280.06</v>
      </c>
      <c r="D2445" t="s">
        <v>563</v>
      </c>
      <c r="E2445" t="s">
        <v>1699</v>
      </c>
      <c r="F2445" t="s">
        <v>7343</v>
      </c>
      <c r="G2445" t="s">
        <v>7354</v>
      </c>
      <c r="I2445" t="s">
        <v>2809</v>
      </c>
    </row>
    <row r="2446" spans="1:9" x14ac:dyDescent="0.25">
      <c r="A2446" t="s">
        <v>2743</v>
      </c>
      <c r="B2446" t="s">
        <v>4604</v>
      </c>
      <c r="C2446" s="167">
        <v>280.06</v>
      </c>
      <c r="D2446" t="s">
        <v>671</v>
      </c>
      <c r="E2446" t="s">
        <v>1699</v>
      </c>
      <c r="F2446" t="s">
        <v>7343</v>
      </c>
      <c r="G2446" t="s">
        <v>7354</v>
      </c>
      <c r="I2446" t="s">
        <v>2809</v>
      </c>
    </row>
    <row r="2447" spans="1:9" x14ac:dyDescent="0.25">
      <c r="A2447" t="s">
        <v>2738</v>
      </c>
      <c r="B2447" t="s">
        <v>4599</v>
      </c>
      <c r="C2447" s="167">
        <v>280.06</v>
      </c>
      <c r="D2447" t="s">
        <v>21</v>
      </c>
      <c r="E2447" t="s">
        <v>1703</v>
      </c>
      <c r="F2447" t="s">
        <v>7343</v>
      </c>
      <c r="G2447" t="s">
        <v>7354</v>
      </c>
      <c r="I2447" t="s">
        <v>2809</v>
      </c>
    </row>
    <row r="2448" spans="1:9" x14ac:dyDescent="0.25">
      <c r="A2448" t="s">
        <v>2741</v>
      </c>
      <c r="B2448" t="s">
        <v>4602</v>
      </c>
      <c r="C2448" s="167">
        <v>280.06</v>
      </c>
      <c r="D2448" t="s">
        <v>563</v>
      </c>
      <c r="E2448" t="s">
        <v>1703</v>
      </c>
      <c r="F2448" t="s">
        <v>7343</v>
      </c>
      <c r="G2448" t="s">
        <v>7354</v>
      </c>
      <c r="I2448" t="s">
        <v>2809</v>
      </c>
    </row>
    <row r="2449" spans="1:9" x14ac:dyDescent="0.25">
      <c r="A2449" t="s">
        <v>2744</v>
      </c>
      <c r="B2449" t="s">
        <v>4605</v>
      </c>
      <c r="C2449" s="167">
        <v>280.06</v>
      </c>
      <c r="D2449" t="s">
        <v>671</v>
      </c>
      <c r="E2449" t="s">
        <v>1703</v>
      </c>
      <c r="F2449" t="s">
        <v>7343</v>
      </c>
      <c r="G2449" t="s">
        <v>7354</v>
      </c>
      <c r="I2449" t="s">
        <v>2809</v>
      </c>
    </row>
    <row r="2450" spans="1:9" x14ac:dyDescent="0.25">
      <c r="A2450" t="s">
        <v>2745</v>
      </c>
      <c r="B2450" t="s">
        <v>4606</v>
      </c>
      <c r="C2450" s="167">
        <v>147.84</v>
      </c>
      <c r="D2450" t="s">
        <v>21</v>
      </c>
      <c r="E2450" t="s">
        <v>2853</v>
      </c>
      <c r="F2450" t="s">
        <v>7339</v>
      </c>
      <c r="G2450" t="s">
        <v>7354</v>
      </c>
      <c r="I2450" t="s">
        <v>2809</v>
      </c>
    </row>
    <row r="2451" spans="1:9" x14ac:dyDescent="0.25">
      <c r="A2451" t="s">
        <v>2746</v>
      </c>
      <c r="B2451" t="s">
        <v>4607</v>
      </c>
      <c r="C2451" s="167">
        <v>147.84</v>
      </c>
      <c r="D2451" t="s">
        <v>563</v>
      </c>
      <c r="E2451" t="s">
        <v>2853</v>
      </c>
      <c r="F2451" t="s">
        <v>7339</v>
      </c>
      <c r="G2451" t="s">
        <v>7354</v>
      </c>
      <c r="I2451" t="s">
        <v>2809</v>
      </c>
    </row>
    <row r="2452" spans="1:9" x14ac:dyDescent="0.25">
      <c r="A2452" t="s">
        <v>2747</v>
      </c>
      <c r="B2452" t="s">
        <v>4608</v>
      </c>
      <c r="C2452" s="167">
        <v>147.84</v>
      </c>
      <c r="D2452" t="s">
        <v>671</v>
      </c>
      <c r="E2452" t="s">
        <v>2853</v>
      </c>
      <c r="F2452" t="s">
        <v>7339</v>
      </c>
      <c r="G2452" t="s">
        <v>7354</v>
      </c>
      <c r="I2452" t="s">
        <v>2809</v>
      </c>
    </row>
    <row r="2453" spans="1:9" x14ac:dyDescent="0.25">
      <c r="A2453" t="s">
        <v>2748</v>
      </c>
      <c r="B2453" t="s">
        <v>4609</v>
      </c>
      <c r="C2453" s="167">
        <v>161.07</v>
      </c>
      <c r="D2453" t="s">
        <v>21</v>
      </c>
      <c r="E2453" t="s">
        <v>2853</v>
      </c>
      <c r="F2453" t="s">
        <v>7341</v>
      </c>
      <c r="G2453" t="s">
        <v>7354</v>
      </c>
      <c r="I2453" t="s">
        <v>2809</v>
      </c>
    </row>
    <row r="2454" spans="1:9" x14ac:dyDescent="0.25">
      <c r="A2454" t="s">
        <v>2749</v>
      </c>
      <c r="B2454" t="s">
        <v>4610</v>
      </c>
      <c r="C2454" s="167">
        <v>161.07</v>
      </c>
      <c r="D2454" t="s">
        <v>563</v>
      </c>
      <c r="E2454" t="s">
        <v>2853</v>
      </c>
      <c r="F2454" t="s">
        <v>7341</v>
      </c>
      <c r="G2454" t="s">
        <v>7354</v>
      </c>
      <c r="I2454" t="s">
        <v>2809</v>
      </c>
    </row>
    <row r="2455" spans="1:9" x14ac:dyDescent="0.25">
      <c r="A2455" t="s">
        <v>2750</v>
      </c>
      <c r="B2455" t="s">
        <v>4611</v>
      </c>
      <c r="C2455" s="167">
        <v>161.07</v>
      </c>
      <c r="D2455" t="s">
        <v>671</v>
      </c>
      <c r="E2455" t="s">
        <v>2853</v>
      </c>
      <c r="F2455" t="s">
        <v>7341</v>
      </c>
      <c r="G2455" t="s">
        <v>7354</v>
      </c>
      <c r="I2455" t="s">
        <v>2809</v>
      </c>
    </row>
    <row r="2456" spans="1:9" x14ac:dyDescent="0.25">
      <c r="A2456" t="s">
        <v>2751</v>
      </c>
      <c r="B2456" t="s">
        <v>4612</v>
      </c>
      <c r="C2456" s="167">
        <v>180.89</v>
      </c>
      <c r="D2456" t="s">
        <v>21</v>
      </c>
      <c r="E2456" t="s">
        <v>2853</v>
      </c>
      <c r="F2456" t="s">
        <v>7344</v>
      </c>
      <c r="G2456" t="s">
        <v>7354</v>
      </c>
      <c r="I2456" t="s">
        <v>2809</v>
      </c>
    </row>
    <row r="2457" spans="1:9" x14ac:dyDescent="0.25">
      <c r="A2457" t="s">
        <v>2752</v>
      </c>
      <c r="B2457" t="s">
        <v>4613</v>
      </c>
      <c r="C2457" s="167">
        <v>180.89</v>
      </c>
      <c r="D2457" t="s">
        <v>563</v>
      </c>
      <c r="E2457" t="s">
        <v>2853</v>
      </c>
      <c r="F2457" t="s">
        <v>7344</v>
      </c>
      <c r="G2457" t="s">
        <v>7354</v>
      </c>
      <c r="I2457" t="s">
        <v>2809</v>
      </c>
    </row>
    <row r="2458" spans="1:9" x14ac:dyDescent="0.25">
      <c r="A2458" t="s">
        <v>2753</v>
      </c>
      <c r="B2458" t="s">
        <v>4614</v>
      </c>
      <c r="C2458" s="167">
        <v>180.89</v>
      </c>
      <c r="D2458" t="s">
        <v>671</v>
      </c>
      <c r="E2458" t="s">
        <v>2853</v>
      </c>
      <c r="F2458" t="s">
        <v>7344</v>
      </c>
      <c r="G2458" t="s">
        <v>7354</v>
      </c>
      <c r="I2458" t="s">
        <v>2809</v>
      </c>
    </row>
    <row r="2459" spans="1:9" x14ac:dyDescent="0.25">
      <c r="A2459" t="s">
        <v>2754</v>
      </c>
      <c r="B2459" t="s">
        <v>4615</v>
      </c>
      <c r="C2459" s="167">
        <v>200.73</v>
      </c>
      <c r="D2459" t="s">
        <v>21</v>
      </c>
      <c r="E2459" t="s">
        <v>2853</v>
      </c>
      <c r="F2459" t="s">
        <v>7343</v>
      </c>
      <c r="G2459" t="s">
        <v>7354</v>
      </c>
      <c r="I2459" t="s">
        <v>2809</v>
      </c>
    </row>
    <row r="2460" spans="1:9" x14ac:dyDescent="0.25">
      <c r="A2460" t="s">
        <v>2755</v>
      </c>
      <c r="B2460" t="s">
        <v>4616</v>
      </c>
      <c r="C2460" s="167">
        <v>200.73</v>
      </c>
      <c r="D2460" t="s">
        <v>563</v>
      </c>
      <c r="E2460" t="s">
        <v>2853</v>
      </c>
      <c r="F2460" t="s">
        <v>7343</v>
      </c>
      <c r="G2460" t="s">
        <v>7354</v>
      </c>
      <c r="I2460" t="s">
        <v>2809</v>
      </c>
    </row>
    <row r="2461" spans="1:9" x14ac:dyDescent="0.25">
      <c r="A2461" t="s">
        <v>2756</v>
      </c>
      <c r="B2461" t="s">
        <v>4617</v>
      </c>
      <c r="C2461" s="167">
        <v>200.73</v>
      </c>
      <c r="D2461" t="s">
        <v>671</v>
      </c>
      <c r="E2461" t="s">
        <v>2853</v>
      </c>
      <c r="F2461" t="s">
        <v>7343</v>
      </c>
      <c r="G2461" t="s">
        <v>7354</v>
      </c>
      <c r="I2461" t="s">
        <v>2809</v>
      </c>
    </row>
    <row r="2462" spans="1:9" x14ac:dyDescent="0.25">
      <c r="A2462" t="s">
        <v>2757</v>
      </c>
      <c r="B2462" t="s">
        <v>4618</v>
      </c>
      <c r="C2462" s="167">
        <v>147.84</v>
      </c>
      <c r="D2462" t="s">
        <v>21</v>
      </c>
      <c r="E2462" t="s">
        <v>2853</v>
      </c>
      <c r="F2462" t="s">
        <v>7339</v>
      </c>
      <c r="G2462" t="s">
        <v>7354</v>
      </c>
      <c r="I2462" t="s">
        <v>2809</v>
      </c>
    </row>
    <row r="2463" spans="1:9" x14ac:dyDescent="0.25">
      <c r="A2463" t="s">
        <v>2758</v>
      </c>
      <c r="B2463" t="s">
        <v>4619</v>
      </c>
      <c r="C2463" s="167">
        <v>147.84</v>
      </c>
      <c r="D2463" t="s">
        <v>563</v>
      </c>
      <c r="E2463" t="s">
        <v>2853</v>
      </c>
      <c r="F2463" t="s">
        <v>7339</v>
      </c>
      <c r="G2463" t="s">
        <v>7354</v>
      </c>
      <c r="I2463" t="s">
        <v>2809</v>
      </c>
    </row>
    <row r="2464" spans="1:9" x14ac:dyDescent="0.25">
      <c r="A2464" t="s">
        <v>2759</v>
      </c>
      <c r="B2464" t="s">
        <v>4620</v>
      </c>
      <c r="C2464" s="167">
        <v>147.84</v>
      </c>
      <c r="D2464" t="s">
        <v>671</v>
      </c>
      <c r="E2464" t="s">
        <v>2853</v>
      </c>
      <c r="F2464" t="s">
        <v>7339</v>
      </c>
      <c r="G2464" t="s">
        <v>7354</v>
      </c>
      <c r="I2464" t="s">
        <v>2809</v>
      </c>
    </row>
    <row r="2465" spans="1:9" x14ac:dyDescent="0.25">
      <c r="A2465" t="s">
        <v>2760</v>
      </c>
      <c r="B2465" t="s">
        <v>4621</v>
      </c>
      <c r="C2465" s="167">
        <v>174.29</v>
      </c>
      <c r="D2465" t="s">
        <v>21</v>
      </c>
      <c r="E2465" t="s">
        <v>2853</v>
      </c>
      <c r="F2465" t="s">
        <v>7341</v>
      </c>
      <c r="G2465" t="s">
        <v>7354</v>
      </c>
      <c r="I2465" t="s">
        <v>2809</v>
      </c>
    </row>
    <row r="2466" spans="1:9" x14ac:dyDescent="0.25">
      <c r="A2466" t="s">
        <v>2761</v>
      </c>
      <c r="B2466" t="s">
        <v>4622</v>
      </c>
      <c r="C2466" s="167">
        <v>174.29</v>
      </c>
      <c r="D2466" t="s">
        <v>563</v>
      </c>
      <c r="E2466" t="s">
        <v>2853</v>
      </c>
      <c r="F2466" t="s">
        <v>7341</v>
      </c>
      <c r="G2466" t="s">
        <v>7354</v>
      </c>
      <c r="I2466" t="s">
        <v>2809</v>
      </c>
    </row>
    <row r="2467" spans="1:9" x14ac:dyDescent="0.25">
      <c r="A2467" t="s">
        <v>2762</v>
      </c>
      <c r="B2467" t="s">
        <v>4623</v>
      </c>
      <c r="C2467" s="167">
        <v>174.29</v>
      </c>
      <c r="D2467" t="s">
        <v>671</v>
      </c>
      <c r="E2467" t="s">
        <v>2853</v>
      </c>
      <c r="F2467" t="s">
        <v>7341</v>
      </c>
      <c r="G2467" t="s">
        <v>7354</v>
      </c>
      <c r="I2467" t="s">
        <v>2809</v>
      </c>
    </row>
    <row r="2468" spans="1:9" x14ac:dyDescent="0.25">
      <c r="A2468" t="s">
        <v>2763</v>
      </c>
      <c r="B2468" t="s">
        <v>4624</v>
      </c>
      <c r="C2468" s="167">
        <v>200.73</v>
      </c>
      <c r="D2468" t="s">
        <v>21</v>
      </c>
      <c r="E2468" t="s">
        <v>2853</v>
      </c>
      <c r="F2468" t="s">
        <v>7344</v>
      </c>
      <c r="G2468" t="s">
        <v>7354</v>
      </c>
      <c r="I2468" t="s">
        <v>2809</v>
      </c>
    </row>
    <row r="2469" spans="1:9" x14ac:dyDescent="0.25">
      <c r="A2469" t="s">
        <v>2764</v>
      </c>
      <c r="B2469" t="s">
        <v>4625</v>
      </c>
      <c r="C2469" s="167">
        <v>200.73</v>
      </c>
      <c r="D2469" t="s">
        <v>563</v>
      </c>
      <c r="E2469" t="s">
        <v>2853</v>
      </c>
      <c r="F2469" t="s">
        <v>7344</v>
      </c>
      <c r="G2469" t="s">
        <v>7354</v>
      </c>
      <c r="I2469" t="s">
        <v>2809</v>
      </c>
    </row>
    <row r="2470" spans="1:9" x14ac:dyDescent="0.25">
      <c r="A2470" t="s">
        <v>2765</v>
      </c>
      <c r="B2470" t="s">
        <v>4626</v>
      </c>
      <c r="C2470" s="167">
        <v>200.73</v>
      </c>
      <c r="D2470" t="s">
        <v>671</v>
      </c>
      <c r="E2470" t="s">
        <v>2853</v>
      </c>
      <c r="F2470" t="s">
        <v>7344</v>
      </c>
      <c r="G2470" t="s">
        <v>7354</v>
      </c>
      <c r="I2470" t="s">
        <v>2809</v>
      </c>
    </row>
    <row r="2471" spans="1:9" x14ac:dyDescent="0.25">
      <c r="A2471" t="s">
        <v>2766</v>
      </c>
      <c r="B2471" t="s">
        <v>4627</v>
      </c>
      <c r="C2471" s="167">
        <v>227.18</v>
      </c>
      <c r="D2471" t="s">
        <v>21</v>
      </c>
      <c r="E2471" t="s">
        <v>2853</v>
      </c>
      <c r="F2471" t="s">
        <v>7343</v>
      </c>
      <c r="G2471" t="s">
        <v>7354</v>
      </c>
      <c r="I2471" t="s">
        <v>2809</v>
      </c>
    </row>
    <row r="2472" spans="1:9" x14ac:dyDescent="0.25">
      <c r="A2472" t="s">
        <v>2767</v>
      </c>
      <c r="B2472" t="s">
        <v>4628</v>
      </c>
      <c r="C2472" s="167">
        <v>227.18</v>
      </c>
      <c r="D2472" t="s">
        <v>563</v>
      </c>
      <c r="E2472" t="s">
        <v>2853</v>
      </c>
      <c r="F2472" t="s">
        <v>7343</v>
      </c>
      <c r="G2472" t="s">
        <v>7354</v>
      </c>
      <c r="I2472" t="s">
        <v>2809</v>
      </c>
    </row>
    <row r="2473" spans="1:9" x14ac:dyDescent="0.25">
      <c r="A2473" t="s">
        <v>2768</v>
      </c>
      <c r="B2473" t="s">
        <v>4629</v>
      </c>
      <c r="C2473" s="167">
        <v>227.18</v>
      </c>
      <c r="D2473" t="s">
        <v>671</v>
      </c>
      <c r="E2473" t="s">
        <v>2853</v>
      </c>
      <c r="F2473" t="s">
        <v>7343</v>
      </c>
      <c r="G2473" t="s">
        <v>7354</v>
      </c>
      <c r="I2473" t="s">
        <v>2809</v>
      </c>
    </row>
    <row r="2474" spans="1:9" x14ac:dyDescent="0.25">
      <c r="A2474" t="s">
        <v>7527</v>
      </c>
      <c r="B2474" t="s">
        <v>91</v>
      </c>
      <c r="C2474" s="167">
        <v>26.68</v>
      </c>
      <c r="D2474" t="s">
        <v>59</v>
      </c>
      <c r="E2474" t="s">
        <v>2853</v>
      </c>
      <c r="F2474" t="s">
        <v>7338</v>
      </c>
      <c r="G2474" t="s">
        <v>7342</v>
      </c>
      <c r="I2474" t="s">
        <v>2798</v>
      </c>
    </row>
    <row r="2475" spans="1:9" x14ac:dyDescent="0.25">
      <c r="A2475" t="s">
        <v>90</v>
      </c>
      <c r="B2475" t="s">
        <v>91</v>
      </c>
      <c r="C2475" s="167">
        <v>23.91</v>
      </c>
      <c r="D2475" t="s">
        <v>13</v>
      </c>
      <c r="E2475" t="s">
        <v>2853</v>
      </c>
      <c r="F2475" t="s">
        <v>7338</v>
      </c>
      <c r="G2475" t="s">
        <v>7342</v>
      </c>
      <c r="I2475" t="s">
        <v>2798</v>
      </c>
    </row>
    <row r="2476" spans="1:9" x14ac:dyDescent="0.25">
      <c r="A2476" t="s">
        <v>571</v>
      </c>
      <c r="B2476" t="s">
        <v>91</v>
      </c>
      <c r="C2476" s="167">
        <v>28.54</v>
      </c>
      <c r="D2476" t="s">
        <v>563</v>
      </c>
      <c r="E2476" t="s">
        <v>2853</v>
      </c>
      <c r="F2476" t="s">
        <v>7338</v>
      </c>
      <c r="G2476" t="s">
        <v>7342</v>
      </c>
      <c r="I2476" t="s">
        <v>2798</v>
      </c>
    </row>
    <row r="2477" spans="1:9" x14ac:dyDescent="0.25">
      <c r="A2477" t="s">
        <v>4644</v>
      </c>
      <c r="B2477" t="s">
        <v>91</v>
      </c>
      <c r="C2477" s="167">
        <v>25.11</v>
      </c>
      <c r="D2477" t="s">
        <v>4633</v>
      </c>
      <c r="E2477" t="s">
        <v>2853</v>
      </c>
      <c r="F2477" t="s">
        <v>7338</v>
      </c>
      <c r="G2477" t="s">
        <v>7342</v>
      </c>
      <c r="I2477" t="s">
        <v>2798</v>
      </c>
    </row>
    <row r="2478" spans="1:9" x14ac:dyDescent="0.25">
      <c r="A2478" t="s">
        <v>677</v>
      </c>
      <c r="B2478" t="s">
        <v>91</v>
      </c>
      <c r="C2478" s="167">
        <v>28.54</v>
      </c>
      <c r="D2478" t="s">
        <v>671</v>
      </c>
      <c r="E2478" t="s">
        <v>2853</v>
      </c>
      <c r="F2478" t="s">
        <v>7338</v>
      </c>
      <c r="G2478" t="s">
        <v>7342</v>
      </c>
      <c r="I2478" t="s">
        <v>2798</v>
      </c>
    </row>
    <row r="2479" spans="1:9" x14ac:dyDescent="0.25">
      <c r="A2479" t="s">
        <v>7531</v>
      </c>
      <c r="B2479" t="s">
        <v>99</v>
      </c>
      <c r="C2479" s="167">
        <v>30.61</v>
      </c>
      <c r="D2479" t="s">
        <v>59</v>
      </c>
      <c r="E2479" t="s">
        <v>2853</v>
      </c>
      <c r="F2479" t="s">
        <v>7338</v>
      </c>
      <c r="G2479" t="s">
        <v>7340</v>
      </c>
      <c r="I2479" t="s">
        <v>2798</v>
      </c>
    </row>
    <row r="2480" spans="1:9" x14ac:dyDescent="0.25">
      <c r="A2480" t="s">
        <v>98</v>
      </c>
      <c r="B2480" t="s">
        <v>99</v>
      </c>
      <c r="C2480" s="167">
        <v>27.43</v>
      </c>
      <c r="D2480" t="s">
        <v>13</v>
      </c>
      <c r="E2480" t="s">
        <v>2853</v>
      </c>
      <c r="F2480" t="s">
        <v>7338</v>
      </c>
      <c r="G2480" t="s">
        <v>7340</v>
      </c>
      <c r="I2480" t="s">
        <v>2798</v>
      </c>
    </row>
    <row r="2481" spans="1:9" x14ac:dyDescent="0.25">
      <c r="A2481" t="s">
        <v>575</v>
      </c>
      <c r="B2481" t="s">
        <v>99</v>
      </c>
      <c r="C2481" s="167">
        <v>32.82</v>
      </c>
      <c r="D2481" t="s">
        <v>563</v>
      </c>
      <c r="E2481" t="s">
        <v>2853</v>
      </c>
      <c r="F2481" t="s">
        <v>7338</v>
      </c>
      <c r="G2481" t="s">
        <v>7340</v>
      </c>
      <c r="I2481" t="s">
        <v>2798</v>
      </c>
    </row>
    <row r="2482" spans="1:9" x14ac:dyDescent="0.25">
      <c r="A2482" t="s">
        <v>4648</v>
      </c>
      <c r="B2482" t="s">
        <v>99</v>
      </c>
      <c r="C2482" s="167">
        <v>28.78</v>
      </c>
      <c r="D2482" t="s">
        <v>4633</v>
      </c>
      <c r="E2482" t="s">
        <v>2853</v>
      </c>
      <c r="F2482" t="s">
        <v>7338</v>
      </c>
      <c r="G2482" t="s">
        <v>7340</v>
      </c>
      <c r="I2482" t="s">
        <v>2798</v>
      </c>
    </row>
    <row r="2483" spans="1:9" x14ac:dyDescent="0.25">
      <c r="A2483" t="s">
        <v>681</v>
      </c>
      <c r="B2483" t="s">
        <v>99</v>
      </c>
      <c r="C2483" s="167">
        <v>32.82</v>
      </c>
      <c r="D2483" t="s">
        <v>671</v>
      </c>
      <c r="E2483" t="s">
        <v>2853</v>
      </c>
      <c r="F2483" t="s">
        <v>7338</v>
      </c>
      <c r="G2483" t="s">
        <v>7340</v>
      </c>
      <c r="I2483" t="s">
        <v>2798</v>
      </c>
    </row>
    <row r="2484" spans="1:9" x14ac:dyDescent="0.25">
      <c r="A2484" t="s">
        <v>7535</v>
      </c>
      <c r="B2484" t="s">
        <v>107</v>
      </c>
      <c r="C2484" s="167">
        <v>37.71</v>
      </c>
      <c r="D2484" t="s">
        <v>59</v>
      </c>
      <c r="E2484" t="s">
        <v>2853</v>
      </c>
      <c r="F2484" t="s">
        <v>7338</v>
      </c>
      <c r="G2484" t="s">
        <v>7339</v>
      </c>
      <c r="I2484" t="s">
        <v>2798</v>
      </c>
    </row>
    <row r="2485" spans="1:9" x14ac:dyDescent="0.25">
      <c r="A2485" t="s">
        <v>106</v>
      </c>
      <c r="B2485" t="s">
        <v>107</v>
      </c>
      <c r="C2485" s="167">
        <v>34.549999999999997</v>
      </c>
      <c r="D2485" t="s">
        <v>13</v>
      </c>
      <c r="E2485" t="s">
        <v>2853</v>
      </c>
      <c r="F2485" t="s">
        <v>7338</v>
      </c>
      <c r="G2485" t="s">
        <v>7339</v>
      </c>
      <c r="I2485" t="s">
        <v>2798</v>
      </c>
    </row>
    <row r="2486" spans="1:9" x14ac:dyDescent="0.25">
      <c r="A2486" t="s">
        <v>579</v>
      </c>
      <c r="B2486" t="s">
        <v>107</v>
      </c>
      <c r="C2486" s="167">
        <v>40.97</v>
      </c>
      <c r="D2486" t="s">
        <v>563</v>
      </c>
      <c r="E2486" t="s">
        <v>2853</v>
      </c>
      <c r="F2486" t="s">
        <v>7338</v>
      </c>
      <c r="G2486" t="s">
        <v>7339</v>
      </c>
      <c r="I2486" t="s">
        <v>2798</v>
      </c>
    </row>
    <row r="2487" spans="1:9" x14ac:dyDescent="0.25">
      <c r="A2487" t="s">
        <v>4652</v>
      </c>
      <c r="B2487" t="s">
        <v>107</v>
      </c>
      <c r="C2487" s="167">
        <v>36.28</v>
      </c>
      <c r="D2487" t="s">
        <v>4633</v>
      </c>
      <c r="E2487" t="s">
        <v>2853</v>
      </c>
      <c r="F2487" t="s">
        <v>7338</v>
      </c>
      <c r="G2487" t="s">
        <v>7339</v>
      </c>
      <c r="I2487" t="s">
        <v>2798</v>
      </c>
    </row>
    <row r="2488" spans="1:9" x14ac:dyDescent="0.25">
      <c r="A2488" t="s">
        <v>685</v>
      </c>
      <c r="B2488" t="s">
        <v>107</v>
      </c>
      <c r="C2488" s="167">
        <v>40.97</v>
      </c>
      <c r="D2488" t="s">
        <v>671</v>
      </c>
      <c r="E2488" t="s">
        <v>2853</v>
      </c>
      <c r="F2488" t="s">
        <v>7338</v>
      </c>
      <c r="G2488" t="s">
        <v>7339</v>
      </c>
      <c r="I2488" t="s">
        <v>2798</v>
      </c>
    </row>
    <row r="2489" spans="1:9" x14ac:dyDescent="0.25">
      <c r="A2489" t="s">
        <v>7528</v>
      </c>
      <c r="B2489" t="s">
        <v>93</v>
      </c>
      <c r="C2489" s="167">
        <v>24.9</v>
      </c>
      <c r="D2489" t="s">
        <v>59</v>
      </c>
      <c r="E2489" t="s">
        <v>2853</v>
      </c>
      <c r="F2489" t="s">
        <v>7338</v>
      </c>
      <c r="G2489" t="s">
        <v>7342</v>
      </c>
      <c r="I2489" t="s">
        <v>2798</v>
      </c>
    </row>
    <row r="2490" spans="1:9" x14ac:dyDescent="0.25">
      <c r="A2490" t="s">
        <v>92</v>
      </c>
      <c r="B2490" t="s">
        <v>93</v>
      </c>
      <c r="C2490" s="167">
        <v>22.42</v>
      </c>
      <c r="D2490" t="s">
        <v>13</v>
      </c>
      <c r="E2490" t="s">
        <v>2853</v>
      </c>
      <c r="F2490" t="s">
        <v>7338</v>
      </c>
      <c r="G2490" t="s">
        <v>7342</v>
      </c>
      <c r="I2490" t="s">
        <v>2798</v>
      </c>
    </row>
    <row r="2491" spans="1:9" x14ac:dyDescent="0.25">
      <c r="A2491" t="s">
        <v>572</v>
      </c>
      <c r="B2491" t="s">
        <v>93</v>
      </c>
      <c r="C2491" s="167">
        <v>26.86</v>
      </c>
      <c r="D2491" t="s">
        <v>563</v>
      </c>
      <c r="E2491" t="s">
        <v>2853</v>
      </c>
      <c r="F2491" t="s">
        <v>7338</v>
      </c>
      <c r="G2491" t="s">
        <v>7342</v>
      </c>
      <c r="I2491" t="s">
        <v>2798</v>
      </c>
    </row>
    <row r="2492" spans="1:9" x14ac:dyDescent="0.25">
      <c r="A2492" t="s">
        <v>4645</v>
      </c>
      <c r="B2492" t="s">
        <v>93</v>
      </c>
      <c r="C2492" s="167">
        <v>23.55</v>
      </c>
      <c r="D2492" t="s">
        <v>4633</v>
      </c>
      <c r="E2492" t="s">
        <v>2853</v>
      </c>
      <c r="F2492" t="s">
        <v>7338</v>
      </c>
      <c r="G2492" t="s">
        <v>7342</v>
      </c>
      <c r="I2492" t="s">
        <v>2798</v>
      </c>
    </row>
    <row r="2493" spans="1:9" x14ac:dyDescent="0.25">
      <c r="A2493" t="s">
        <v>678</v>
      </c>
      <c r="B2493" t="s">
        <v>93</v>
      </c>
      <c r="C2493" s="167">
        <v>26.86</v>
      </c>
      <c r="D2493" t="s">
        <v>671</v>
      </c>
      <c r="E2493" t="s">
        <v>2853</v>
      </c>
      <c r="F2493" t="s">
        <v>7338</v>
      </c>
      <c r="G2493" t="s">
        <v>7342</v>
      </c>
      <c r="I2493" t="s">
        <v>2798</v>
      </c>
    </row>
    <row r="2494" spans="1:9" x14ac:dyDescent="0.25">
      <c r="A2494" t="s">
        <v>7532</v>
      </c>
      <c r="B2494" t="s">
        <v>101</v>
      </c>
      <c r="C2494" s="167">
        <v>28.44</v>
      </c>
      <c r="D2494" t="s">
        <v>59</v>
      </c>
      <c r="E2494" t="s">
        <v>2853</v>
      </c>
      <c r="F2494" t="s">
        <v>7338</v>
      </c>
      <c r="G2494" t="s">
        <v>7340</v>
      </c>
      <c r="I2494" t="s">
        <v>2798</v>
      </c>
    </row>
    <row r="2495" spans="1:9" x14ac:dyDescent="0.25">
      <c r="A2495" t="s">
        <v>100</v>
      </c>
      <c r="B2495" t="s">
        <v>101</v>
      </c>
      <c r="C2495" s="167">
        <v>25.97</v>
      </c>
      <c r="D2495" t="s">
        <v>13</v>
      </c>
      <c r="E2495" t="s">
        <v>2853</v>
      </c>
      <c r="F2495" t="s">
        <v>7338</v>
      </c>
      <c r="G2495" t="s">
        <v>7340</v>
      </c>
      <c r="I2495" t="s">
        <v>2798</v>
      </c>
    </row>
    <row r="2496" spans="1:9" x14ac:dyDescent="0.25">
      <c r="A2496" t="s">
        <v>576</v>
      </c>
      <c r="B2496" t="s">
        <v>101</v>
      </c>
      <c r="C2496" s="167">
        <v>30.99</v>
      </c>
      <c r="D2496" t="s">
        <v>563</v>
      </c>
      <c r="E2496" t="s">
        <v>2853</v>
      </c>
      <c r="F2496" t="s">
        <v>7338</v>
      </c>
      <c r="G2496" t="s">
        <v>7340</v>
      </c>
      <c r="I2496" t="s">
        <v>2798</v>
      </c>
    </row>
    <row r="2497" spans="1:9" x14ac:dyDescent="0.25">
      <c r="A2497" t="s">
        <v>4649</v>
      </c>
      <c r="B2497" t="s">
        <v>101</v>
      </c>
      <c r="C2497" s="167">
        <v>27.28</v>
      </c>
      <c r="D2497" t="s">
        <v>4633</v>
      </c>
      <c r="E2497" t="s">
        <v>2853</v>
      </c>
      <c r="F2497" t="s">
        <v>7338</v>
      </c>
      <c r="G2497" t="s">
        <v>7340</v>
      </c>
      <c r="I2497" t="s">
        <v>2798</v>
      </c>
    </row>
    <row r="2498" spans="1:9" x14ac:dyDescent="0.25">
      <c r="A2498" t="s">
        <v>682</v>
      </c>
      <c r="B2498" t="s">
        <v>101</v>
      </c>
      <c r="C2498" s="167">
        <v>30.99</v>
      </c>
      <c r="D2498" t="s">
        <v>671</v>
      </c>
      <c r="E2498" t="s">
        <v>2853</v>
      </c>
      <c r="F2498" t="s">
        <v>7338</v>
      </c>
      <c r="G2498" t="s">
        <v>7340</v>
      </c>
      <c r="I2498" t="s">
        <v>2798</v>
      </c>
    </row>
    <row r="2499" spans="1:9" x14ac:dyDescent="0.25">
      <c r="A2499" t="s">
        <v>7536</v>
      </c>
      <c r="B2499" t="s">
        <v>109</v>
      </c>
      <c r="C2499" s="167">
        <v>34.869999999999997</v>
      </c>
      <c r="D2499" t="s">
        <v>59</v>
      </c>
      <c r="E2499" t="s">
        <v>2853</v>
      </c>
      <c r="F2499" t="s">
        <v>7338</v>
      </c>
      <c r="G2499" t="s">
        <v>7339</v>
      </c>
      <c r="I2499" t="s">
        <v>2798</v>
      </c>
    </row>
    <row r="2500" spans="1:9" x14ac:dyDescent="0.25">
      <c r="A2500" t="s">
        <v>108</v>
      </c>
      <c r="B2500" t="s">
        <v>109</v>
      </c>
      <c r="C2500" s="167">
        <v>32.380000000000003</v>
      </c>
      <c r="D2500" t="s">
        <v>13</v>
      </c>
      <c r="E2500" t="s">
        <v>2853</v>
      </c>
      <c r="F2500" t="s">
        <v>7338</v>
      </c>
      <c r="G2500" t="s">
        <v>7339</v>
      </c>
      <c r="I2500" t="s">
        <v>2798</v>
      </c>
    </row>
    <row r="2501" spans="1:9" x14ac:dyDescent="0.25">
      <c r="A2501" t="s">
        <v>580</v>
      </c>
      <c r="B2501" t="s">
        <v>109</v>
      </c>
      <c r="C2501" s="167">
        <v>38.4</v>
      </c>
      <c r="D2501" t="s">
        <v>563</v>
      </c>
      <c r="E2501" t="s">
        <v>2853</v>
      </c>
      <c r="F2501" t="s">
        <v>7338</v>
      </c>
      <c r="G2501" t="s">
        <v>7339</v>
      </c>
      <c r="I2501" t="s">
        <v>2798</v>
      </c>
    </row>
    <row r="2502" spans="1:9" x14ac:dyDescent="0.25">
      <c r="A2502" t="s">
        <v>4653</v>
      </c>
      <c r="B2502" t="s">
        <v>109</v>
      </c>
      <c r="C2502" s="167">
        <v>34</v>
      </c>
      <c r="D2502" t="s">
        <v>4633</v>
      </c>
      <c r="E2502" t="s">
        <v>2853</v>
      </c>
      <c r="F2502" t="s">
        <v>7338</v>
      </c>
      <c r="G2502" t="s">
        <v>7339</v>
      </c>
      <c r="I2502" t="s">
        <v>2798</v>
      </c>
    </row>
    <row r="2503" spans="1:9" x14ac:dyDescent="0.25">
      <c r="A2503" t="s">
        <v>686</v>
      </c>
      <c r="B2503" t="s">
        <v>109</v>
      </c>
      <c r="C2503" s="167">
        <v>38.4</v>
      </c>
      <c r="D2503" t="s">
        <v>671</v>
      </c>
      <c r="E2503" t="s">
        <v>2853</v>
      </c>
      <c r="F2503" t="s">
        <v>7338</v>
      </c>
      <c r="G2503" t="s">
        <v>7339</v>
      </c>
      <c r="I2503" t="s">
        <v>2798</v>
      </c>
    </row>
    <row r="2504" spans="1:9" x14ac:dyDescent="0.25">
      <c r="A2504" t="s">
        <v>7529</v>
      </c>
      <c r="B2504" t="s">
        <v>95</v>
      </c>
      <c r="C2504" s="167">
        <v>21.33</v>
      </c>
      <c r="D2504" t="s">
        <v>59</v>
      </c>
      <c r="E2504" t="s">
        <v>2853</v>
      </c>
      <c r="F2504" t="s">
        <v>7338</v>
      </c>
      <c r="G2504" t="s">
        <v>7342</v>
      </c>
      <c r="I2504" t="s">
        <v>2798</v>
      </c>
    </row>
    <row r="2505" spans="1:9" x14ac:dyDescent="0.25">
      <c r="A2505" t="s">
        <v>94</v>
      </c>
      <c r="B2505" t="s">
        <v>95</v>
      </c>
      <c r="C2505" s="167">
        <v>19.649999999999999</v>
      </c>
      <c r="D2505" t="s">
        <v>13</v>
      </c>
      <c r="E2505" t="s">
        <v>2853</v>
      </c>
      <c r="F2505" t="s">
        <v>7338</v>
      </c>
      <c r="G2505" t="s">
        <v>7342</v>
      </c>
      <c r="I2505" t="s">
        <v>2798</v>
      </c>
    </row>
    <row r="2506" spans="1:9" x14ac:dyDescent="0.25">
      <c r="A2506" t="s">
        <v>573</v>
      </c>
      <c r="B2506" t="s">
        <v>95</v>
      </c>
      <c r="C2506" s="167">
        <v>23.59</v>
      </c>
      <c r="D2506" t="s">
        <v>563</v>
      </c>
      <c r="E2506" t="s">
        <v>2853</v>
      </c>
      <c r="F2506" t="s">
        <v>7338</v>
      </c>
      <c r="G2506" t="s">
        <v>7342</v>
      </c>
      <c r="I2506" t="s">
        <v>2798</v>
      </c>
    </row>
    <row r="2507" spans="1:9" x14ac:dyDescent="0.25">
      <c r="A2507" t="s">
        <v>4646</v>
      </c>
      <c r="B2507" t="s">
        <v>95</v>
      </c>
      <c r="C2507" s="167">
        <v>20.65</v>
      </c>
      <c r="D2507" t="s">
        <v>4633</v>
      </c>
      <c r="E2507" t="s">
        <v>2853</v>
      </c>
      <c r="F2507" t="s">
        <v>7338</v>
      </c>
      <c r="G2507" t="s">
        <v>7342</v>
      </c>
      <c r="I2507" t="s">
        <v>2798</v>
      </c>
    </row>
    <row r="2508" spans="1:9" x14ac:dyDescent="0.25">
      <c r="A2508" t="s">
        <v>679</v>
      </c>
      <c r="B2508" t="s">
        <v>95</v>
      </c>
      <c r="C2508" s="167">
        <v>23.59</v>
      </c>
      <c r="D2508" t="s">
        <v>671</v>
      </c>
      <c r="E2508" t="s">
        <v>2853</v>
      </c>
      <c r="F2508" t="s">
        <v>7338</v>
      </c>
      <c r="G2508" t="s">
        <v>7342</v>
      </c>
      <c r="I2508" t="s">
        <v>2798</v>
      </c>
    </row>
    <row r="2509" spans="1:9" x14ac:dyDescent="0.25">
      <c r="A2509" t="s">
        <v>7533</v>
      </c>
      <c r="B2509" t="s">
        <v>103</v>
      </c>
      <c r="C2509" s="167">
        <v>21.99</v>
      </c>
      <c r="D2509" t="s">
        <v>59</v>
      </c>
      <c r="E2509" t="s">
        <v>2853</v>
      </c>
      <c r="F2509" t="s">
        <v>7338</v>
      </c>
      <c r="G2509" t="s">
        <v>7340</v>
      </c>
      <c r="I2509" t="s">
        <v>2798</v>
      </c>
    </row>
    <row r="2510" spans="1:9" x14ac:dyDescent="0.25">
      <c r="A2510" t="s">
        <v>102</v>
      </c>
      <c r="B2510" t="s">
        <v>103</v>
      </c>
      <c r="C2510" s="167">
        <v>19.62</v>
      </c>
      <c r="D2510" t="s">
        <v>13</v>
      </c>
      <c r="E2510" t="s">
        <v>2853</v>
      </c>
      <c r="F2510" t="s">
        <v>7338</v>
      </c>
      <c r="G2510" t="s">
        <v>7340</v>
      </c>
      <c r="I2510" t="s">
        <v>2798</v>
      </c>
    </row>
    <row r="2511" spans="1:9" x14ac:dyDescent="0.25">
      <c r="A2511" t="s">
        <v>577</v>
      </c>
      <c r="B2511" t="s">
        <v>103</v>
      </c>
      <c r="C2511" s="167">
        <v>24.08</v>
      </c>
      <c r="D2511" t="s">
        <v>563</v>
      </c>
      <c r="E2511" t="s">
        <v>2853</v>
      </c>
      <c r="F2511" t="s">
        <v>7338</v>
      </c>
      <c r="G2511" t="s">
        <v>7340</v>
      </c>
      <c r="I2511" t="s">
        <v>2798</v>
      </c>
    </row>
    <row r="2512" spans="1:9" x14ac:dyDescent="0.25">
      <c r="A2512" t="s">
        <v>4650</v>
      </c>
      <c r="B2512" t="s">
        <v>103</v>
      </c>
      <c r="C2512" s="167">
        <v>20.62</v>
      </c>
      <c r="D2512" t="s">
        <v>4633</v>
      </c>
      <c r="E2512" t="s">
        <v>2853</v>
      </c>
      <c r="F2512" t="s">
        <v>7338</v>
      </c>
      <c r="G2512" t="s">
        <v>7340</v>
      </c>
      <c r="I2512" t="s">
        <v>2798</v>
      </c>
    </row>
    <row r="2513" spans="1:9" x14ac:dyDescent="0.25">
      <c r="A2513" t="s">
        <v>683</v>
      </c>
      <c r="B2513" t="s">
        <v>103</v>
      </c>
      <c r="C2513" s="167">
        <v>24.08</v>
      </c>
      <c r="D2513" t="s">
        <v>671</v>
      </c>
      <c r="E2513" t="s">
        <v>2853</v>
      </c>
      <c r="F2513" t="s">
        <v>7338</v>
      </c>
      <c r="G2513" t="s">
        <v>7340</v>
      </c>
      <c r="I2513" t="s">
        <v>2798</v>
      </c>
    </row>
    <row r="2514" spans="1:9" x14ac:dyDescent="0.25">
      <c r="A2514" t="s">
        <v>7530</v>
      </c>
      <c r="B2514" t="s">
        <v>97</v>
      </c>
      <c r="C2514" s="167">
        <v>30.52</v>
      </c>
      <c r="D2514" t="s">
        <v>59</v>
      </c>
      <c r="E2514" t="s">
        <v>2853</v>
      </c>
      <c r="F2514" t="s">
        <v>7338</v>
      </c>
      <c r="G2514" t="s">
        <v>7342</v>
      </c>
      <c r="I2514" t="s">
        <v>2798</v>
      </c>
    </row>
    <row r="2515" spans="1:9" x14ac:dyDescent="0.25">
      <c r="A2515" t="s">
        <v>96</v>
      </c>
      <c r="B2515" t="s">
        <v>97</v>
      </c>
      <c r="C2515" s="167">
        <v>26.62</v>
      </c>
      <c r="D2515" t="s">
        <v>13</v>
      </c>
      <c r="E2515" t="s">
        <v>2853</v>
      </c>
      <c r="F2515" t="s">
        <v>7338</v>
      </c>
      <c r="G2515" t="s">
        <v>7342</v>
      </c>
      <c r="I2515" t="s">
        <v>2798</v>
      </c>
    </row>
    <row r="2516" spans="1:9" x14ac:dyDescent="0.25">
      <c r="A2516" t="s">
        <v>574</v>
      </c>
      <c r="B2516" t="s">
        <v>97</v>
      </c>
      <c r="C2516" s="167">
        <v>31.83</v>
      </c>
      <c r="D2516" t="s">
        <v>563</v>
      </c>
      <c r="E2516" t="s">
        <v>2853</v>
      </c>
      <c r="F2516" t="s">
        <v>7338</v>
      </c>
      <c r="G2516" t="s">
        <v>7342</v>
      </c>
      <c r="I2516" t="s">
        <v>2798</v>
      </c>
    </row>
    <row r="2517" spans="1:9" x14ac:dyDescent="0.25">
      <c r="A2517" t="s">
        <v>4647</v>
      </c>
      <c r="B2517" t="s">
        <v>97</v>
      </c>
      <c r="C2517" s="167">
        <v>27.97</v>
      </c>
      <c r="D2517" t="s">
        <v>4633</v>
      </c>
      <c r="E2517" t="s">
        <v>2853</v>
      </c>
      <c r="F2517" t="s">
        <v>7338</v>
      </c>
      <c r="G2517" t="s">
        <v>7342</v>
      </c>
      <c r="I2517" t="s">
        <v>2798</v>
      </c>
    </row>
    <row r="2518" spans="1:9" x14ac:dyDescent="0.25">
      <c r="A2518" t="s">
        <v>680</v>
      </c>
      <c r="B2518" t="s">
        <v>97</v>
      </c>
      <c r="C2518" s="167">
        <v>31.83</v>
      </c>
      <c r="D2518" t="s">
        <v>671</v>
      </c>
      <c r="E2518" t="s">
        <v>2853</v>
      </c>
      <c r="F2518" t="s">
        <v>7338</v>
      </c>
      <c r="G2518" t="s">
        <v>7342</v>
      </c>
      <c r="I2518" t="s">
        <v>2798</v>
      </c>
    </row>
    <row r="2519" spans="1:9" x14ac:dyDescent="0.25">
      <c r="A2519" t="s">
        <v>7534</v>
      </c>
      <c r="B2519" t="s">
        <v>105</v>
      </c>
      <c r="C2519" s="167">
        <v>34.06</v>
      </c>
      <c r="D2519" t="s">
        <v>59</v>
      </c>
      <c r="E2519" t="s">
        <v>2853</v>
      </c>
      <c r="F2519" t="s">
        <v>7338</v>
      </c>
      <c r="G2519" t="s">
        <v>7340</v>
      </c>
      <c r="I2519" t="s">
        <v>2798</v>
      </c>
    </row>
    <row r="2520" spans="1:9" x14ac:dyDescent="0.25">
      <c r="A2520" t="s">
        <v>104</v>
      </c>
      <c r="B2520" t="s">
        <v>105</v>
      </c>
      <c r="C2520" s="167">
        <v>30.2</v>
      </c>
      <c r="D2520" t="s">
        <v>13</v>
      </c>
      <c r="E2520" t="s">
        <v>2853</v>
      </c>
      <c r="F2520" t="s">
        <v>7338</v>
      </c>
      <c r="G2520" t="s">
        <v>7340</v>
      </c>
      <c r="I2520" t="s">
        <v>2798</v>
      </c>
    </row>
    <row r="2521" spans="1:9" x14ac:dyDescent="0.25">
      <c r="A2521" t="s">
        <v>578</v>
      </c>
      <c r="B2521" t="s">
        <v>105</v>
      </c>
      <c r="C2521" s="167">
        <v>35.909999999999997</v>
      </c>
      <c r="D2521" t="s">
        <v>563</v>
      </c>
      <c r="E2521" t="s">
        <v>2853</v>
      </c>
      <c r="F2521" t="s">
        <v>7338</v>
      </c>
      <c r="G2521" t="s">
        <v>7340</v>
      </c>
      <c r="I2521" t="s">
        <v>2798</v>
      </c>
    </row>
    <row r="2522" spans="1:9" x14ac:dyDescent="0.25">
      <c r="A2522" t="s">
        <v>4651</v>
      </c>
      <c r="B2522" t="s">
        <v>105</v>
      </c>
      <c r="C2522" s="167">
        <v>31.7</v>
      </c>
      <c r="D2522" t="s">
        <v>4633</v>
      </c>
      <c r="E2522" t="s">
        <v>2853</v>
      </c>
      <c r="F2522" t="s">
        <v>7338</v>
      </c>
      <c r="G2522" t="s">
        <v>7340</v>
      </c>
      <c r="I2522" t="s">
        <v>2798</v>
      </c>
    </row>
    <row r="2523" spans="1:9" x14ac:dyDescent="0.25">
      <c r="A2523" t="s">
        <v>684</v>
      </c>
      <c r="B2523" t="s">
        <v>105</v>
      </c>
      <c r="C2523" s="167">
        <v>35.909999999999997</v>
      </c>
      <c r="D2523" t="s">
        <v>671</v>
      </c>
      <c r="E2523" t="s">
        <v>2853</v>
      </c>
      <c r="F2523" t="s">
        <v>7338</v>
      </c>
      <c r="G2523" t="s">
        <v>7340</v>
      </c>
      <c r="I2523" t="s">
        <v>2798</v>
      </c>
    </row>
    <row r="2524" spans="1:9" x14ac:dyDescent="0.25">
      <c r="A2524" t="s">
        <v>7537</v>
      </c>
      <c r="B2524" t="s">
        <v>112</v>
      </c>
      <c r="C2524" s="167">
        <v>41.16</v>
      </c>
      <c r="D2524" t="s">
        <v>59</v>
      </c>
      <c r="E2524" t="s">
        <v>2853</v>
      </c>
      <c r="F2524" t="s">
        <v>7338</v>
      </c>
      <c r="G2524" t="s">
        <v>7339</v>
      </c>
      <c r="I2524" t="s">
        <v>2798</v>
      </c>
    </row>
    <row r="2525" spans="1:9" x14ac:dyDescent="0.25">
      <c r="A2525" t="s">
        <v>111</v>
      </c>
      <c r="B2525" t="s">
        <v>112</v>
      </c>
      <c r="C2525" s="167">
        <v>37.299999999999997</v>
      </c>
      <c r="D2525" t="s">
        <v>13</v>
      </c>
      <c r="E2525" t="s">
        <v>2853</v>
      </c>
      <c r="F2525" t="s">
        <v>7338</v>
      </c>
      <c r="G2525" t="s">
        <v>7339</v>
      </c>
      <c r="I2525" t="s">
        <v>2798</v>
      </c>
    </row>
    <row r="2526" spans="1:9" x14ac:dyDescent="0.25">
      <c r="A2526" t="s">
        <v>581</v>
      </c>
      <c r="B2526" t="s">
        <v>112</v>
      </c>
      <c r="C2526" s="167">
        <v>44.3</v>
      </c>
      <c r="D2526" t="s">
        <v>563</v>
      </c>
      <c r="E2526" t="s">
        <v>2853</v>
      </c>
      <c r="F2526" t="s">
        <v>7338</v>
      </c>
      <c r="G2526" t="s">
        <v>7339</v>
      </c>
      <c r="I2526" t="s">
        <v>2798</v>
      </c>
    </row>
    <row r="2527" spans="1:9" x14ac:dyDescent="0.25">
      <c r="A2527" t="s">
        <v>4654</v>
      </c>
      <c r="B2527" t="s">
        <v>112</v>
      </c>
      <c r="C2527" s="167">
        <v>39.18</v>
      </c>
      <c r="D2527" t="s">
        <v>4633</v>
      </c>
      <c r="E2527" t="s">
        <v>2853</v>
      </c>
      <c r="F2527" t="s">
        <v>7338</v>
      </c>
      <c r="G2527" t="s">
        <v>7339</v>
      </c>
      <c r="I2527" t="s">
        <v>2798</v>
      </c>
    </row>
    <row r="2528" spans="1:9" x14ac:dyDescent="0.25">
      <c r="A2528" t="s">
        <v>687</v>
      </c>
      <c r="B2528" t="s">
        <v>112</v>
      </c>
      <c r="C2528" s="167">
        <v>44.3</v>
      </c>
      <c r="D2528" t="s">
        <v>671</v>
      </c>
      <c r="E2528" t="s">
        <v>2853</v>
      </c>
      <c r="F2528" t="s">
        <v>7338</v>
      </c>
      <c r="G2528" t="s">
        <v>7339</v>
      </c>
      <c r="I2528" t="s">
        <v>2798</v>
      </c>
    </row>
    <row r="2529" spans="1:9" x14ac:dyDescent="0.25">
      <c r="A2529" t="s">
        <v>479</v>
      </c>
      <c r="B2529" t="s">
        <v>480</v>
      </c>
      <c r="C2529" s="167">
        <v>26.32</v>
      </c>
      <c r="D2529" t="s">
        <v>2853</v>
      </c>
      <c r="E2529" t="s">
        <v>471</v>
      </c>
      <c r="F2529" t="s">
        <v>7355</v>
      </c>
      <c r="G2529" t="s">
        <v>7340</v>
      </c>
      <c r="H2529">
        <v>7.5</v>
      </c>
      <c r="I2529" t="s">
        <v>2811</v>
      </c>
    </row>
    <row r="2530" spans="1:9" x14ac:dyDescent="0.25">
      <c r="A2530" t="s">
        <v>452</v>
      </c>
      <c r="B2530" t="s">
        <v>480</v>
      </c>
      <c r="C2530" s="167">
        <v>26.32</v>
      </c>
      <c r="D2530" t="s">
        <v>2853</v>
      </c>
      <c r="E2530" t="s">
        <v>473</v>
      </c>
      <c r="F2530" t="s">
        <v>7355</v>
      </c>
      <c r="G2530" t="s">
        <v>7340</v>
      </c>
      <c r="H2530">
        <v>7.5</v>
      </c>
      <c r="I2530" t="s">
        <v>2811</v>
      </c>
    </row>
    <row r="2531" spans="1:9" x14ac:dyDescent="0.25">
      <c r="A2531" t="s">
        <v>454</v>
      </c>
      <c r="B2531" t="s">
        <v>482</v>
      </c>
      <c r="C2531" s="167">
        <v>32.19</v>
      </c>
      <c r="D2531" t="s">
        <v>2853</v>
      </c>
      <c r="E2531" t="s">
        <v>471</v>
      </c>
      <c r="F2531" t="s">
        <v>7339</v>
      </c>
      <c r="G2531" t="s">
        <v>7340</v>
      </c>
      <c r="H2531">
        <v>7.5</v>
      </c>
      <c r="I2531" t="s">
        <v>2811</v>
      </c>
    </row>
    <row r="2532" spans="1:9" x14ac:dyDescent="0.25">
      <c r="A2532" t="s">
        <v>458</v>
      </c>
      <c r="B2532" t="s">
        <v>482</v>
      </c>
      <c r="C2532" s="167">
        <v>32.19</v>
      </c>
      <c r="D2532" t="s">
        <v>2853</v>
      </c>
      <c r="E2532" t="s">
        <v>473</v>
      </c>
      <c r="F2532" t="s">
        <v>7339</v>
      </c>
      <c r="G2532" t="s">
        <v>7340</v>
      </c>
      <c r="H2532">
        <v>7.5</v>
      </c>
      <c r="I2532" t="s">
        <v>2811</v>
      </c>
    </row>
    <row r="2533" spans="1:9" x14ac:dyDescent="0.25">
      <c r="A2533" t="s">
        <v>459</v>
      </c>
      <c r="B2533" t="s">
        <v>483</v>
      </c>
      <c r="C2533" s="167">
        <v>37.799999999999997</v>
      </c>
      <c r="D2533" t="s">
        <v>2853</v>
      </c>
      <c r="E2533" t="s">
        <v>471</v>
      </c>
      <c r="F2533" t="s">
        <v>7341</v>
      </c>
      <c r="G2533" t="s">
        <v>7340</v>
      </c>
      <c r="H2533">
        <v>7.5</v>
      </c>
      <c r="I2533" t="s">
        <v>2811</v>
      </c>
    </row>
    <row r="2534" spans="1:9" x14ac:dyDescent="0.25">
      <c r="A2534" t="s">
        <v>466</v>
      </c>
      <c r="B2534" t="s">
        <v>483</v>
      </c>
      <c r="C2534" s="167">
        <v>37.799999999999997</v>
      </c>
      <c r="D2534" t="s">
        <v>2853</v>
      </c>
      <c r="E2534" t="s">
        <v>473</v>
      </c>
      <c r="F2534" t="s">
        <v>7341</v>
      </c>
      <c r="G2534" t="s">
        <v>7340</v>
      </c>
      <c r="H2534">
        <v>7.5</v>
      </c>
      <c r="I2534" t="s">
        <v>2811</v>
      </c>
    </row>
    <row r="2535" spans="1:9" x14ac:dyDescent="0.25">
      <c r="A2535" t="s">
        <v>7587</v>
      </c>
      <c r="B2535" t="s">
        <v>490</v>
      </c>
      <c r="C2535" s="167">
        <v>73.94</v>
      </c>
      <c r="D2535" t="s">
        <v>59</v>
      </c>
      <c r="E2535" t="s">
        <v>471</v>
      </c>
      <c r="F2535" t="s">
        <v>7339</v>
      </c>
      <c r="G2535" t="s">
        <v>7340</v>
      </c>
      <c r="I2535" t="s">
        <v>2810</v>
      </c>
    </row>
    <row r="2536" spans="1:9" x14ac:dyDescent="0.25">
      <c r="A2536" t="s">
        <v>489</v>
      </c>
      <c r="B2536" t="s">
        <v>490</v>
      </c>
      <c r="C2536" s="167">
        <v>71.39</v>
      </c>
      <c r="D2536" t="s">
        <v>21</v>
      </c>
      <c r="E2536" t="s">
        <v>471</v>
      </c>
      <c r="F2536" t="s">
        <v>7339</v>
      </c>
      <c r="G2536" t="s">
        <v>7340</v>
      </c>
      <c r="I2536" t="s">
        <v>2810</v>
      </c>
    </row>
    <row r="2537" spans="1:9" x14ac:dyDescent="0.25">
      <c r="A2537" t="s">
        <v>632</v>
      </c>
      <c r="B2537" t="s">
        <v>490</v>
      </c>
      <c r="C2537" s="167">
        <v>79.069999999999993</v>
      </c>
      <c r="D2537" t="s">
        <v>563</v>
      </c>
      <c r="E2537" t="s">
        <v>471</v>
      </c>
      <c r="F2537" t="s">
        <v>7339</v>
      </c>
      <c r="G2537" t="s">
        <v>7340</v>
      </c>
      <c r="I2537" t="s">
        <v>2810</v>
      </c>
    </row>
    <row r="2538" spans="1:9" x14ac:dyDescent="0.25">
      <c r="A2538" t="s">
        <v>4696</v>
      </c>
      <c r="B2538" t="s">
        <v>490</v>
      </c>
      <c r="C2538" s="167">
        <v>73.94</v>
      </c>
      <c r="D2538" t="s">
        <v>4633</v>
      </c>
      <c r="E2538" t="s">
        <v>471</v>
      </c>
      <c r="F2538" t="s">
        <v>7339</v>
      </c>
      <c r="G2538" t="s">
        <v>7340</v>
      </c>
      <c r="I2538" t="s">
        <v>2810</v>
      </c>
    </row>
    <row r="2539" spans="1:9" x14ac:dyDescent="0.25">
      <c r="A2539" t="s">
        <v>730</v>
      </c>
      <c r="B2539" t="s">
        <v>490</v>
      </c>
      <c r="C2539" s="167">
        <v>79.069999999999993</v>
      </c>
      <c r="D2539" t="s">
        <v>671</v>
      </c>
      <c r="E2539" t="s">
        <v>471</v>
      </c>
      <c r="F2539" t="s">
        <v>7339</v>
      </c>
      <c r="G2539" t="s">
        <v>7340</v>
      </c>
      <c r="I2539" t="s">
        <v>2810</v>
      </c>
    </row>
    <row r="2540" spans="1:9" x14ac:dyDescent="0.25">
      <c r="A2540" t="s">
        <v>7588</v>
      </c>
      <c r="B2540" t="s">
        <v>490</v>
      </c>
      <c r="C2540" s="167">
        <v>73.94</v>
      </c>
      <c r="D2540" t="s">
        <v>59</v>
      </c>
      <c r="E2540" t="s">
        <v>473</v>
      </c>
      <c r="F2540" t="s">
        <v>7339</v>
      </c>
      <c r="G2540" t="s">
        <v>7340</v>
      </c>
      <c r="I2540" t="s">
        <v>2810</v>
      </c>
    </row>
    <row r="2541" spans="1:9" x14ac:dyDescent="0.25">
      <c r="A2541" t="s">
        <v>492</v>
      </c>
      <c r="B2541" t="s">
        <v>490</v>
      </c>
      <c r="C2541" s="167">
        <v>71.39</v>
      </c>
      <c r="D2541" t="s">
        <v>21</v>
      </c>
      <c r="E2541" t="s">
        <v>473</v>
      </c>
      <c r="F2541" t="s">
        <v>7339</v>
      </c>
      <c r="G2541" t="s">
        <v>7340</v>
      </c>
      <c r="I2541" t="s">
        <v>2810</v>
      </c>
    </row>
    <row r="2542" spans="1:9" x14ac:dyDescent="0.25">
      <c r="A2542" t="s">
        <v>633</v>
      </c>
      <c r="B2542" t="s">
        <v>490</v>
      </c>
      <c r="C2542" s="167">
        <v>79.069999999999993</v>
      </c>
      <c r="D2542" t="s">
        <v>563</v>
      </c>
      <c r="E2542" t="s">
        <v>473</v>
      </c>
      <c r="F2542" t="s">
        <v>7339</v>
      </c>
      <c r="G2542" t="s">
        <v>7340</v>
      </c>
      <c r="I2542" t="s">
        <v>2810</v>
      </c>
    </row>
    <row r="2543" spans="1:9" x14ac:dyDescent="0.25">
      <c r="A2543" t="s">
        <v>4700</v>
      </c>
      <c r="B2543" t="s">
        <v>490</v>
      </c>
      <c r="C2543" s="167">
        <v>73.94</v>
      </c>
      <c r="D2543" t="s">
        <v>4633</v>
      </c>
      <c r="E2543" t="s">
        <v>473</v>
      </c>
      <c r="F2543" t="s">
        <v>7339</v>
      </c>
      <c r="G2543" t="s">
        <v>7340</v>
      </c>
      <c r="I2543" t="s">
        <v>2810</v>
      </c>
    </row>
    <row r="2544" spans="1:9" x14ac:dyDescent="0.25">
      <c r="A2544" t="s">
        <v>731</v>
      </c>
      <c r="B2544" t="s">
        <v>490</v>
      </c>
      <c r="C2544" s="167">
        <v>79.069999999999993</v>
      </c>
      <c r="D2544" t="s">
        <v>671</v>
      </c>
      <c r="E2544" t="s">
        <v>473</v>
      </c>
      <c r="F2544" t="s">
        <v>7339</v>
      </c>
      <c r="G2544" t="s">
        <v>7340</v>
      </c>
      <c r="I2544" t="s">
        <v>2810</v>
      </c>
    </row>
    <row r="2545" spans="1:9" x14ac:dyDescent="0.25">
      <c r="A2545" t="s">
        <v>7589</v>
      </c>
      <c r="B2545" t="s">
        <v>494</v>
      </c>
      <c r="C2545" s="167">
        <v>80.430000000000007</v>
      </c>
      <c r="D2545" t="s">
        <v>59</v>
      </c>
      <c r="E2545" t="s">
        <v>471</v>
      </c>
      <c r="F2545" t="s">
        <v>7341</v>
      </c>
      <c r="G2545" t="s">
        <v>7340</v>
      </c>
      <c r="I2545" t="s">
        <v>2810</v>
      </c>
    </row>
    <row r="2546" spans="1:9" x14ac:dyDescent="0.25">
      <c r="A2546" t="s">
        <v>478</v>
      </c>
      <c r="B2546" t="s">
        <v>494</v>
      </c>
      <c r="C2546" s="167">
        <v>77.87</v>
      </c>
      <c r="D2546" t="s">
        <v>21</v>
      </c>
      <c r="E2546" t="s">
        <v>471</v>
      </c>
      <c r="F2546" t="s">
        <v>7341</v>
      </c>
      <c r="G2546" t="s">
        <v>7340</v>
      </c>
      <c r="I2546" t="s">
        <v>2810</v>
      </c>
    </row>
    <row r="2547" spans="1:9" x14ac:dyDescent="0.25">
      <c r="A2547" t="s">
        <v>634</v>
      </c>
      <c r="B2547" t="s">
        <v>494</v>
      </c>
      <c r="C2547" s="167">
        <v>85.52</v>
      </c>
      <c r="D2547" t="s">
        <v>563</v>
      </c>
      <c r="E2547" t="s">
        <v>471</v>
      </c>
      <c r="F2547" t="s">
        <v>7341</v>
      </c>
      <c r="G2547" t="s">
        <v>7340</v>
      </c>
      <c r="I2547" t="s">
        <v>2810</v>
      </c>
    </row>
    <row r="2548" spans="1:9" x14ac:dyDescent="0.25">
      <c r="A2548" t="s">
        <v>4697</v>
      </c>
      <c r="B2548" t="s">
        <v>494</v>
      </c>
      <c r="C2548" s="167">
        <v>80.430000000000007</v>
      </c>
      <c r="D2548" t="s">
        <v>4633</v>
      </c>
      <c r="E2548" t="s">
        <v>471</v>
      </c>
      <c r="F2548" t="s">
        <v>7341</v>
      </c>
      <c r="G2548" t="s">
        <v>7340</v>
      </c>
      <c r="I2548" t="s">
        <v>2810</v>
      </c>
    </row>
    <row r="2549" spans="1:9" x14ac:dyDescent="0.25">
      <c r="A2549" t="s">
        <v>732</v>
      </c>
      <c r="B2549" t="s">
        <v>494</v>
      </c>
      <c r="C2549" s="167">
        <v>85.52</v>
      </c>
      <c r="D2549" t="s">
        <v>671</v>
      </c>
      <c r="E2549" t="s">
        <v>471</v>
      </c>
      <c r="F2549" t="s">
        <v>7341</v>
      </c>
      <c r="G2549" t="s">
        <v>7340</v>
      </c>
      <c r="I2549" t="s">
        <v>2810</v>
      </c>
    </row>
    <row r="2550" spans="1:9" x14ac:dyDescent="0.25">
      <c r="A2550" t="s">
        <v>7590</v>
      </c>
      <c r="B2550" t="s">
        <v>494</v>
      </c>
      <c r="C2550" s="167">
        <v>80.430000000000007</v>
      </c>
      <c r="D2550" t="s">
        <v>59</v>
      </c>
      <c r="E2550" t="s">
        <v>473</v>
      </c>
      <c r="F2550" t="s">
        <v>7341</v>
      </c>
      <c r="G2550" t="s">
        <v>7340</v>
      </c>
      <c r="I2550" t="s">
        <v>2810</v>
      </c>
    </row>
    <row r="2551" spans="1:9" x14ac:dyDescent="0.25">
      <c r="A2551" t="s">
        <v>481</v>
      </c>
      <c r="B2551" t="s">
        <v>494</v>
      </c>
      <c r="C2551" s="167">
        <v>77.87</v>
      </c>
      <c r="D2551" t="s">
        <v>21</v>
      </c>
      <c r="E2551" t="s">
        <v>473</v>
      </c>
      <c r="F2551" t="s">
        <v>7341</v>
      </c>
      <c r="G2551" t="s">
        <v>7340</v>
      </c>
      <c r="I2551" t="s">
        <v>2810</v>
      </c>
    </row>
    <row r="2552" spans="1:9" x14ac:dyDescent="0.25">
      <c r="A2552" t="s">
        <v>635</v>
      </c>
      <c r="B2552" t="s">
        <v>494</v>
      </c>
      <c r="C2552" s="167">
        <v>85.52</v>
      </c>
      <c r="D2552" t="s">
        <v>563</v>
      </c>
      <c r="E2552" t="s">
        <v>473</v>
      </c>
      <c r="F2552" t="s">
        <v>7341</v>
      </c>
      <c r="G2552" t="s">
        <v>7340</v>
      </c>
      <c r="I2552" t="s">
        <v>2810</v>
      </c>
    </row>
    <row r="2553" spans="1:9" x14ac:dyDescent="0.25">
      <c r="A2553" t="s">
        <v>4701</v>
      </c>
      <c r="B2553" t="s">
        <v>494</v>
      </c>
      <c r="C2553" s="167">
        <v>80.430000000000007</v>
      </c>
      <c r="D2553" t="s">
        <v>4633</v>
      </c>
      <c r="E2553" t="s">
        <v>473</v>
      </c>
      <c r="F2553" t="s">
        <v>7341</v>
      </c>
      <c r="G2553" t="s">
        <v>7340</v>
      </c>
      <c r="I2553" t="s">
        <v>2810</v>
      </c>
    </row>
    <row r="2554" spans="1:9" x14ac:dyDescent="0.25">
      <c r="A2554" t="s">
        <v>733</v>
      </c>
      <c r="B2554" t="s">
        <v>494</v>
      </c>
      <c r="C2554" s="167">
        <v>85.52</v>
      </c>
      <c r="D2554" t="s">
        <v>671</v>
      </c>
      <c r="E2554" t="s">
        <v>473</v>
      </c>
      <c r="F2554" t="s">
        <v>7341</v>
      </c>
      <c r="G2554" t="s">
        <v>7340</v>
      </c>
      <c r="I2554" t="s">
        <v>2810</v>
      </c>
    </row>
    <row r="2555" spans="1:9" x14ac:dyDescent="0.25">
      <c r="A2555" t="s">
        <v>7591</v>
      </c>
      <c r="B2555" t="s">
        <v>497</v>
      </c>
      <c r="C2555" s="167">
        <v>86.93</v>
      </c>
      <c r="D2555" t="s">
        <v>59</v>
      </c>
      <c r="E2555" t="s">
        <v>471</v>
      </c>
      <c r="F2555" t="s">
        <v>7344</v>
      </c>
      <c r="G2555" t="s">
        <v>7340</v>
      </c>
      <c r="I2555" t="s">
        <v>2810</v>
      </c>
    </row>
    <row r="2556" spans="1:9" x14ac:dyDescent="0.25">
      <c r="A2556" t="s">
        <v>484</v>
      </c>
      <c r="B2556" t="s">
        <v>497</v>
      </c>
      <c r="C2556" s="167">
        <v>84.33</v>
      </c>
      <c r="D2556" t="s">
        <v>21</v>
      </c>
      <c r="E2556" t="s">
        <v>471</v>
      </c>
      <c r="F2556" t="s">
        <v>7344</v>
      </c>
      <c r="G2556" t="s">
        <v>7340</v>
      </c>
      <c r="I2556" t="s">
        <v>2810</v>
      </c>
    </row>
    <row r="2557" spans="1:9" x14ac:dyDescent="0.25">
      <c r="A2557" t="s">
        <v>636</v>
      </c>
      <c r="B2557" t="s">
        <v>497</v>
      </c>
      <c r="C2557" s="167">
        <v>92.03</v>
      </c>
      <c r="D2557" t="s">
        <v>563</v>
      </c>
      <c r="E2557" t="s">
        <v>471</v>
      </c>
      <c r="F2557" t="s">
        <v>7344</v>
      </c>
      <c r="G2557" t="s">
        <v>7340</v>
      </c>
      <c r="I2557" t="s">
        <v>2810</v>
      </c>
    </row>
    <row r="2558" spans="1:9" x14ac:dyDescent="0.25">
      <c r="A2558" t="s">
        <v>4698</v>
      </c>
      <c r="B2558" t="s">
        <v>497</v>
      </c>
      <c r="C2558" s="167">
        <v>86.93</v>
      </c>
      <c r="D2558" t="s">
        <v>4633</v>
      </c>
      <c r="E2558" t="s">
        <v>471</v>
      </c>
      <c r="F2558" t="s">
        <v>7344</v>
      </c>
      <c r="G2558" t="s">
        <v>7340</v>
      </c>
      <c r="I2558" t="s">
        <v>2810</v>
      </c>
    </row>
    <row r="2559" spans="1:9" x14ac:dyDescent="0.25">
      <c r="A2559" t="s">
        <v>734</v>
      </c>
      <c r="B2559" t="s">
        <v>497</v>
      </c>
      <c r="C2559" s="167">
        <v>92.03</v>
      </c>
      <c r="D2559" t="s">
        <v>671</v>
      </c>
      <c r="E2559" t="s">
        <v>471</v>
      </c>
      <c r="F2559" t="s">
        <v>7344</v>
      </c>
      <c r="G2559" t="s">
        <v>7340</v>
      </c>
      <c r="I2559" t="s">
        <v>2810</v>
      </c>
    </row>
    <row r="2560" spans="1:9" x14ac:dyDescent="0.25">
      <c r="A2560" t="s">
        <v>7592</v>
      </c>
      <c r="B2560" t="s">
        <v>497</v>
      </c>
      <c r="C2560" s="167">
        <v>86.93</v>
      </c>
      <c r="D2560" t="s">
        <v>59</v>
      </c>
      <c r="E2560" t="s">
        <v>473</v>
      </c>
      <c r="F2560" t="s">
        <v>7344</v>
      </c>
      <c r="G2560" t="s">
        <v>7340</v>
      </c>
      <c r="I2560" t="s">
        <v>2810</v>
      </c>
    </row>
    <row r="2561" spans="1:9" x14ac:dyDescent="0.25">
      <c r="A2561" t="s">
        <v>485</v>
      </c>
      <c r="B2561" t="s">
        <v>497</v>
      </c>
      <c r="C2561" s="167">
        <v>84.33</v>
      </c>
      <c r="D2561" t="s">
        <v>21</v>
      </c>
      <c r="E2561" t="s">
        <v>473</v>
      </c>
      <c r="F2561" t="s">
        <v>7344</v>
      </c>
      <c r="G2561" t="s">
        <v>7340</v>
      </c>
      <c r="I2561" t="s">
        <v>2810</v>
      </c>
    </row>
    <row r="2562" spans="1:9" x14ac:dyDescent="0.25">
      <c r="A2562" t="s">
        <v>637</v>
      </c>
      <c r="B2562" t="s">
        <v>497</v>
      </c>
      <c r="C2562" s="167">
        <v>92.03</v>
      </c>
      <c r="D2562" t="s">
        <v>563</v>
      </c>
      <c r="E2562" t="s">
        <v>473</v>
      </c>
      <c r="F2562" t="s">
        <v>7344</v>
      </c>
      <c r="G2562" t="s">
        <v>7340</v>
      </c>
      <c r="I2562" t="s">
        <v>2810</v>
      </c>
    </row>
    <row r="2563" spans="1:9" x14ac:dyDescent="0.25">
      <c r="A2563" t="s">
        <v>4702</v>
      </c>
      <c r="B2563" t="s">
        <v>497</v>
      </c>
      <c r="C2563" s="167">
        <v>86.93</v>
      </c>
      <c r="D2563" t="s">
        <v>4633</v>
      </c>
      <c r="E2563" t="s">
        <v>473</v>
      </c>
      <c r="F2563" t="s">
        <v>7344</v>
      </c>
      <c r="G2563" t="s">
        <v>7340</v>
      </c>
      <c r="I2563" t="s">
        <v>2810</v>
      </c>
    </row>
    <row r="2564" spans="1:9" x14ac:dyDescent="0.25">
      <c r="A2564" t="s">
        <v>735</v>
      </c>
      <c r="B2564" t="s">
        <v>497</v>
      </c>
      <c r="C2564" s="167">
        <v>92.03</v>
      </c>
      <c r="D2564" t="s">
        <v>671</v>
      </c>
      <c r="E2564" t="s">
        <v>473</v>
      </c>
      <c r="F2564" t="s">
        <v>7344</v>
      </c>
      <c r="G2564" t="s">
        <v>7340</v>
      </c>
      <c r="I2564" t="s">
        <v>2810</v>
      </c>
    </row>
    <row r="2565" spans="1:9" x14ac:dyDescent="0.25">
      <c r="A2565" t="s">
        <v>7593</v>
      </c>
      <c r="B2565" t="s">
        <v>498</v>
      </c>
      <c r="C2565" s="167">
        <v>93.41</v>
      </c>
      <c r="D2565" t="s">
        <v>59</v>
      </c>
      <c r="E2565" t="s">
        <v>471</v>
      </c>
      <c r="F2565" t="s">
        <v>7343</v>
      </c>
      <c r="G2565" t="s">
        <v>7340</v>
      </c>
      <c r="I2565" t="s">
        <v>2810</v>
      </c>
    </row>
    <row r="2566" spans="1:9" x14ac:dyDescent="0.25">
      <c r="A2566" t="s">
        <v>486</v>
      </c>
      <c r="B2566" t="s">
        <v>498</v>
      </c>
      <c r="C2566" s="167">
        <v>90.83</v>
      </c>
      <c r="D2566" t="s">
        <v>21</v>
      </c>
      <c r="E2566" t="s">
        <v>471</v>
      </c>
      <c r="F2566" t="s">
        <v>7343</v>
      </c>
      <c r="G2566" t="s">
        <v>7340</v>
      </c>
      <c r="I2566" t="s">
        <v>2810</v>
      </c>
    </row>
    <row r="2567" spans="1:9" x14ac:dyDescent="0.25">
      <c r="A2567" t="s">
        <v>638</v>
      </c>
      <c r="B2567" t="s">
        <v>498</v>
      </c>
      <c r="C2567" s="167">
        <v>98.51</v>
      </c>
      <c r="D2567" t="s">
        <v>563</v>
      </c>
      <c r="E2567" t="s">
        <v>471</v>
      </c>
      <c r="F2567" t="s">
        <v>7343</v>
      </c>
      <c r="G2567" t="s">
        <v>7340</v>
      </c>
      <c r="I2567" t="s">
        <v>2810</v>
      </c>
    </row>
    <row r="2568" spans="1:9" x14ac:dyDescent="0.25">
      <c r="A2568" t="s">
        <v>4699</v>
      </c>
      <c r="B2568" t="s">
        <v>498</v>
      </c>
      <c r="C2568" s="167">
        <v>93.41</v>
      </c>
      <c r="D2568" t="s">
        <v>4633</v>
      </c>
      <c r="E2568" t="s">
        <v>471</v>
      </c>
      <c r="F2568" t="s">
        <v>7343</v>
      </c>
      <c r="G2568" t="s">
        <v>7340</v>
      </c>
      <c r="I2568" t="s">
        <v>2810</v>
      </c>
    </row>
    <row r="2569" spans="1:9" x14ac:dyDescent="0.25">
      <c r="A2569" t="s">
        <v>736</v>
      </c>
      <c r="B2569" t="s">
        <v>498</v>
      </c>
      <c r="C2569" s="167">
        <v>98.51</v>
      </c>
      <c r="D2569" t="s">
        <v>671</v>
      </c>
      <c r="E2569" t="s">
        <v>471</v>
      </c>
      <c r="F2569" t="s">
        <v>7343</v>
      </c>
      <c r="G2569" t="s">
        <v>7340</v>
      </c>
      <c r="I2569" t="s">
        <v>2810</v>
      </c>
    </row>
    <row r="2570" spans="1:9" x14ac:dyDescent="0.25">
      <c r="A2570" t="s">
        <v>7594</v>
      </c>
      <c r="B2570" t="s">
        <v>498</v>
      </c>
      <c r="C2570" s="167">
        <v>93.41</v>
      </c>
      <c r="D2570" t="s">
        <v>59</v>
      </c>
      <c r="E2570" t="s">
        <v>473</v>
      </c>
      <c r="F2570" t="s">
        <v>7343</v>
      </c>
      <c r="G2570" t="s">
        <v>7340</v>
      </c>
      <c r="I2570" t="s">
        <v>2810</v>
      </c>
    </row>
    <row r="2571" spans="1:9" x14ac:dyDescent="0.25">
      <c r="A2571" t="s">
        <v>488</v>
      </c>
      <c r="B2571" t="s">
        <v>498</v>
      </c>
      <c r="C2571" s="167">
        <v>90.83</v>
      </c>
      <c r="D2571" t="s">
        <v>21</v>
      </c>
      <c r="E2571" t="s">
        <v>473</v>
      </c>
      <c r="F2571" t="s">
        <v>7343</v>
      </c>
      <c r="G2571" t="s">
        <v>7340</v>
      </c>
      <c r="I2571" t="s">
        <v>2810</v>
      </c>
    </row>
    <row r="2572" spans="1:9" x14ac:dyDescent="0.25">
      <c r="A2572" t="s">
        <v>639</v>
      </c>
      <c r="B2572" t="s">
        <v>498</v>
      </c>
      <c r="C2572" s="167">
        <v>98.51</v>
      </c>
      <c r="D2572" t="s">
        <v>563</v>
      </c>
      <c r="E2572" t="s">
        <v>473</v>
      </c>
      <c r="F2572" t="s">
        <v>7343</v>
      </c>
      <c r="G2572" t="s">
        <v>7340</v>
      </c>
      <c r="I2572" t="s">
        <v>2810</v>
      </c>
    </row>
    <row r="2573" spans="1:9" x14ac:dyDescent="0.25">
      <c r="A2573" t="s">
        <v>4703</v>
      </c>
      <c r="B2573" t="s">
        <v>498</v>
      </c>
      <c r="C2573" s="167">
        <v>93.41</v>
      </c>
      <c r="D2573" t="s">
        <v>4633</v>
      </c>
      <c r="E2573" t="s">
        <v>473</v>
      </c>
      <c r="F2573" t="s">
        <v>7343</v>
      </c>
      <c r="G2573" t="s">
        <v>7340</v>
      </c>
      <c r="I2573" t="s">
        <v>2810</v>
      </c>
    </row>
    <row r="2574" spans="1:9" x14ac:dyDescent="0.25">
      <c r="A2574" t="s">
        <v>737</v>
      </c>
      <c r="B2574" t="s">
        <v>498</v>
      </c>
      <c r="C2574" s="167">
        <v>98.51</v>
      </c>
      <c r="D2574" t="s">
        <v>671</v>
      </c>
      <c r="E2574" t="s">
        <v>473</v>
      </c>
      <c r="F2574" t="s">
        <v>7343</v>
      </c>
      <c r="G2574" t="s">
        <v>7340</v>
      </c>
      <c r="I2574" t="s">
        <v>2810</v>
      </c>
    </row>
    <row r="2575" spans="1:9" x14ac:dyDescent="0.25">
      <c r="A2575" t="s">
        <v>7595</v>
      </c>
      <c r="B2575" t="s">
        <v>500</v>
      </c>
      <c r="C2575" s="167">
        <v>23.3</v>
      </c>
      <c r="D2575" t="s">
        <v>59</v>
      </c>
      <c r="E2575" t="s">
        <v>2853</v>
      </c>
      <c r="F2575" t="s">
        <v>7339</v>
      </c>
      <c r="G2575" t="s">
        <v>7340</v>
      </c>
      <c r="I2575" t="s">
        <v>2810</v>
      </c>
    </row>
    <row r="2576" spans="1:9" x14ac:dyDescent="0.25">
      <c r="A2576" t="s">
        <v>491</v>
      </c>
      <c r="B2576" t="s">
        <v>500</v>
      </c>
      <c r="C2576" s="167">
        <v>21.83</v>
      </c>
      <c r="D2576" t="s">
        <v>21</v>
      </c>
      <c r="E2576" t="s">
        <v>2853</v>
      </c>
      <c r="F2576" t="s">
        <v>7339</v>
      </c>
      <c r="G2576" t="s">
        <v>7340</v>
      </c>
      <c r="I2576" t="s">
        <v>2810</v>
      </c>
    </row>
    <row r="2577" spans="1:9" x14ac:dyDescent="0.25">
      <c r="A2577" t="s">
        <v>640</v>
      </c>
      <c r="B2577" t="s">
        <v>500</v>
      </c>
      <c r="C2577" s="167">
        <v>28.94</v>
      </c>
      <c r="D2577" t="s">
        <v>563</v>
      </c>
      <c r="E2577" t="s">
        <v>2853</v>
      </c>
      <c r="F2577" t="s">
        <v>7339</v>
      </c>
      <c r="G2577" t="s">
        <v>7340</v>
      </c>
      <c r="I2577" t="s">
        <v>2810</v>
      </c>
    </row>
    <row r="2578" spans="1:9" x14ac:dyDescent="0.25">
      <c r="A2578" t="s">
        <v>4704</v>
      </c>
      <c r="B2578" t="s">
        <v>500</v>
      </c>
      <c r="C2578" s="167">
        <v>23.3</v>
      </c>
      <c r="D2578" t="s">
        <v>4633</v>
      </c>
      <c r="E2578" t="s">
        <v>2853</v>
      </c>
      <c r="F2578" t="s">
        <v>7339</v>
      </c>
      <c r="G2578" t="s">
        <v>7340</v>
      </c>
      <c r="I2578" t="s">
        <v>2810</v>
      </c>
    </row>
    <row r="2579" spans="1:9" x14ac:dyDescent="0.25">
      <c r="A2579" t="s">
        <v>738</v>
      </c>
      <c r="B2579" t="s">
        <v>500</v>
      </c>
      <c r="C2579" s="167">
        <v>28.94</v>
      </c>
      <c r="D2579" t="s">
        <v>671</v>
      </c>
      <c r="E2579" t="s">
        <v>2853</v>
      </c>
      <c r="F2579" t="s">
        <v>7339</v>
      </c>
      <c r="G2579" t="s">
        <v>7340</v>
      </c>
      <c r="I2579" t="s">
        <v>2810</v>
      </c>
    </row>
    <row r="2580" spans="1:9" x14ac:dyDescent="0.25">
      <c r="A2580" t="s">
        <v>7596</v>
      </c>
      <c r="B2580" t="s">
        <v>501</v>
      </c>
      <c r="C2580" s="167">
        <v>32.090000000000003</v>
      </c>
      <c r="D2580" t="s">
        <v>59</v>
      </c>
      <c r="E2580" t="s">
        <v>2853</v>
      </c>
      <c r="F2580" t="s">
        <v>7341</v>
      </c>
      <c r="G2580" t="s">
        <v>7340</v>
      </c>
      <c r="I2580" t="s">
        <v>2810</v>
      </c>
    </row>
    <row r="2581" spans="1:9" x14ac:dyDescent="0.25">
      <c r="A2581" t="s">
        <v>493</v>
      </c>
      <c r="B2581" t="s">
        <v>501</v>
      </c>
      <c r="C2581" s="167">
        <v>30.59</v>
      </c>
      <c r="D2581" t="s">
        <v>21</v>
      </c>
      <c r="E2581" t="s">
        <v>2853</v>
      </c>
      <c r="F2581" t="s">
        <v>7341</v>
      </c>
      <c r="G2581" t="s">
        <v>7340</v>
      </c>
      <c r="I2581" t="s">
        <v>2810</v>
      </c>
    </row>
    <row r="2582" spans="1:9" x14ac:dyDescent="0.25">
      <c r="A2582" t="s">
        <v>641</v>
      </c>
      <c r="B2582" t="s">
        <v>501</v>
      </c>
      <c r="C2582" s="167">
        <v>37.75</v>
      </c>
      <c r="D2582" t="s">
        <v>563</v>
      </c>
      <c r="E2582" t="s">
        <v>2853</v>
      </c>
      <c r="F2582" t="s">
        <v>7341</v>
      </c>
      <c r="G2582" t="s">
        <v>7340</v>
      </c>
      <c r="I2582" t="s">
        <v>2810</v>
      </c>
    </row>
    <row r="2583" spans="1:9" x14ac:dyDescent="0.25">
      <c r="A2583" t="s">
        <v>4705</v>
      </c>
      <c r="B2583" t="s">
        <v>501</v>
      </c>
      <c r="C2583" s="167">
        <v>32.090000000000003</v>
      </c>
      <c r="D2583" t="s">
        <v>4633</v>
      </c>
      <c r="E2583" t="s">
        <v>2853</v>
      </c>
      <c r="F2583" t="s">
        <v>7341</v>
      </c>
      <c r="G2583" t="s">
        <v>7340</v>
      </c>
      <c r="I2583" t="s">
        <v>2810</v>
      </c>
    </row>
    <row r="2584" spans="1:9" x14ac:dyDescent="0.25">
      <c r="A2584" t="s">
        <v>739</v>
      </c>
      <c r="B2584" t="s">
        <v>501</v>
      </c>
      <c r="C2584" s="167">
        <v>37.75</v>
      </c>
      <c r="D2584" t="s">
        <v>671</v>
      </c>
      <c r="E2584" t="s">
        <v>2853</v>
      </c>
      <c r="F2584" t="s">
        <v>7341</v>
      </c>
      <c r="G2584" t="s">
        <v>7340</v>
      </c>
      <c r="I2584" t="s">
        <v>2810</v>
      </c>
    </row>
    <row r="2585" spans="1:9" x14ac:dyDescent="0.25">
      <c r="A2585" t="s">
        <v>7597</v>
      </c>
      <c r="B2585" t="s">
        <v>502</v>
      </c>
      <c r="C2585" s="167">
        <v>40.82</v>
      </c>
      <c r="D2585" t="s">
        <v>59</v>
      </c>
      <c r="E2585" t="s">
        <v>2853</v>
      </c>
      <c r="F2585" t="s">
        <v>7344</v>
      </c>
      <c r="G2585" t="s">
        <v>7340</v>
      </c>
      <c r="I2585" t="s">
        <v>2810</v>
      </c>
    </row>
    <row r="2586" spans="1:9" x14ac:dyDescent="0.25">
      <c r="A2586" t="s">
        <v>495</v>
      </c>
      <c r="B2586" t="s">
        <v>502</v>
      </c>
      <c r="C2586" s="167">
        <v>39.31</v>
      </c>
      <c r="D2586" t="s">
        <v>21</v>
      </c>
      <c r="E2586" t="s">
        <v>2853</v>
      </c>
      <c r="F2586" t="s">
        <v>7344</v>
      </c>
      <c r="G2586" t="s">
        <v>7340</v>
      </c>
      <c r="I2586" t="s">
        <v>2810</v>
      </c>
    </row>
    <row r="2587" spans="1:9" x14ac:dyDescent="0.25">
      <c r="A2587" t="s">
        <v>642</v>
      </c>
      <c r="B2587" t="s">
        <v>502</v>
      </c>
      <c r="C2587" s="167">
        <v>46.48</v>
      </c>
      <c r="D2587" t="s">
        <v>563</v>
      </c>
      <c r="E2587" t="s">
        <v>2853</v>
      </c>
      <c r="F2587" t="s">
        <v>7344</v>
      </c>
      <c r="G2587" t="s">
        <v>7340</v>
      </c>
      <c r="I2587" t="s">
        <v>2810</v>
      </c>
    </row>
    <row r="2588" spans="1:9" x14ac:dyDescent="0.25">
      <c r="A2588" t="s">
        <v>4706</v>
      </c>
      <c r="B2588" t="s">
        <v>502</v>
      </c>
      <c r="C2588" s="167">
        <v>40.82</v>
      </c>
      <c r="D2588" t="s">
        <v>4633</v>
      </c>
      <c r="E2588" t="s">
        <v>2853</v>
      </c>
      <c r="F2588" t="s">
        <v>7344</v>
      </c>
      <c r="G2588" t="s">
        <v>7340</v>
      </c>
      <c r="I2588" t="s">
        <v>2810</v>
      </c>
    </row>
    <row r="2589" spans="1:9" x14ac:dyDescent="0.25">
      <c r="A2589" t="s">
        <v>740</v>
      </c>
      <c r="B2589" t="s">
        <v>502</v>
      </c>
      <c r="C2589" s="167">
        <v>46.48</v>
      </c>
      <c r="D2589" t="s">
        <v>671</v>
      </c>
      <c r="E2589" t="s">
        <v>2853</v>
      </c>
      <c r="F2589" t="s">
        <v>7344</v>
      </c>
      <c r="G2589" t="s">
        <v>7340</v>
      </c>
      <c r="I2589" t="s">
        <v>2810</v>
      </c>
    </row>
    <row r="2590" spans="1:9" x14ac:dyDescent="0.25">
      <c r="A2590" t="s">
        <v>7598</v>
      </c>
      <c r="B2590" t="s">
        <v>503</v>
      </c>
      <c r="C2590" s="167">
        <v>49.59</v>
      </c>
      <c r="D2590" t="s">
        <v>59</v>
      </c>
      <c r="E2590" t="s">
        <v>2853</v>
      </c>
      <c r="F2590" t="s">
        <v>7343</v>
      </c>
      <c r="G2590" t="s">
        <v>7340</v>
      </c>
      <c r="I2590" t="s">
        <v>2810</v>
      </c>
    </row>
    <row r="2591" spans="1:9" x14ac:dyDescent="0.25">
      <c r="A2591" t="s">
        <v>496</v>
      </c>
      <c r="B2591" t="s">
        <v>503</v>
      </c>
      <c r="C2591" s="167">
        <v>48.05</v>
      </c>
      <c r="D2591" t="s">
        <v>21</v>
      </c>
      <c r="E2591" t="s">
        <v>2853</v>
      </c>
      <c r="F2591" t="s">
        <v>7343</v>
      </c>
      <c r="G2591" t="s">
        <v>7340</v>
      </c>
      <c r="I2591" t="s">
        <v>2810</v>
      </c>
    </row>
    <row r="2592" spans="1:9" x14ac:dyDescent="0.25">
      <c r="A2592" t="s">
        <v>643</v>
      </c>
      <c r="B2592" t="s">
        <v>503</v>
      </c>
      <c r="C2592" s="167">
        <v>55.21</v>
      </c>
      <c r="D2592" t="s">
        <v>563</v>
      </c>
      <c r="E2592" t="s">
        <v>2853</v>
      </c>
      <c r="F2592" t="s">
        <v>7343</v>
      </c>
      <c r="G2592" t="s">
        <v>7340</v>
      </c>
      <c r="I2592" t="s">
        <v>2810</v>
      </c>
    </row>
    <row r="2593" spans="1:9" x14ac:dyDescent="0.25">
      <c r="A2593" t="s">
        <v>4707</v>
      </c>
      <c r="B2593" t="s">
        <v>503</v>
      </c>
      <c r="C2593" s="167">
        <v>49.59</v>
      </c>
      <c r="D2593" t="s">
        <v>4633</v>
      </c>
      <c r="E2593" t="s">
        <v>2853</v>
      </c>
      <c r="F2593" t="s">
        <v>7343</v>
      </c>
      <c r="G2593" t="s">
        <v>7340</v>
      </c>
      <c r="I2593" t="s">
        <v>2810</v>
      </c>
    </row>
    <row r="2594" spans="1:9" x14ac:dyDescent="0.25">
      <c r="A2594" t="s">
        <v>741</v>
      </c>
      <c r="B2594" t="s">
        <v>503</v>
      </c>
      <c r="C2594" s="167">
        <v>55.21</v>
      </c>
      <c r="D2594" t="s">
        <v>671</v>
      </c>
      <c r="E2594" t="s">
        <v>2853</v>
      </c>
      <c r="F2594" t="s">
        <v>7343</v>
      </c>
      <c r="G2594" t="s">
        <v>7340</v>
      </c>
      <c r="I2594" t="s">
        <v>2810</v>
      </c>
    </row>
    <row r="2595" spans="1:9" x14ac:dyDescent="0.25">
      <c r="A2595" t="s">
        <v>7599</v>
      </c>
      <c r="B2595" t="s">
        <v>504</v>
      </c>
      <c r="C2595" s="167">
        <v>10.61</v>
      </c>
      <c r="D2595" t="s">
        <v>59</v>
      </c>
      <c r="E2595" t="s">
        <v>2853</v>
      </c>
      <c r="F2595" t="s">
        <v>7338</v>
      </c>
      <c r="G2595" t="s">
        <v>7340</v>
      </c>
      <c r="I2595" t="s">
        <v>2810</v>
      </c>
    </row>
    <row r="2596" spans="1:9" x14ac:dyDescent="0.25">
      <c r="A2596" t="s">
        <v>499</v>
      </c>
      <c r="B2596" t="s">
        <v>504</v>
      </c>
      <c r="C2596" s="167">
        <v>10.11</v>
      </c>
      <c r="D2596" t="s">
        <v>21</v>
      </c>
      <c r="E2596" t="s">
        <v>2853</v>
      </c>
      <c r="F2596" t="s">
        <v>7338</v>
      </c>
      <c r="G2596" t="s">
        <v>7340</v>
      </c>
      <c r="I2596" t="s">
        <v>2810</v>
      </c>
    </row>
    <row r="2597" spans="1:9" x14ac:dyDescent="0.25">
      <c r="A2597" t="s">
        <v>644</v>
      </c>
      <c r="B2597" t="s">
        <v>504</v>
      </c>
      <c r="C2597" s="167">
        <v>12.68</v>
      </c>
      <c r="D2597" t="s">
        <v>563</v>
      </c>
      <c r="E2597" t="s">
        <v>2853</v>
      </c>
      <c r="F2597" t="s">
        <v>7338</v>
      </c>
      <c r="G2597" t="s">
        <v>7340</v>
      </c>
      <c r="I2597" t="s">
        <v>2810</v>
      </c>
    </row>
    <row r="2598" spans="1:9" x14ac:dyDescent="0.25">
      <c r="A2598" t="s">
        <v>4708</v>
      </c>
      <c r="B2598" t="s">
        <v>504</v>
      </c>
      <c r="C2598" s="167">
        <v>10.61</v>
      </c>
      <c r="D2598" t="s">
        <v>4633</v>
      </c>
      <c r="E2598" t="s">
        <v>2853</v>
      </c>
      <c r="F2598" t="s">
        <v>7338</v>
      </c>
      <c r="G2598" t="s">
        <v>7340</v>
      </c>
      <c r="I2598" t="s">
        <v>2810</v>
      </c>
    </row>
    <row r="2599" spans="1:9" x14ac:dyDescent="0.25">
      <c r="A2599" t="s">
        <v>742</v>
      </c>
      <c r="B2599" t="s">
        <v>504</v>
      </c>
      <c r="C2599" s="167">
        <v>12.68</v>
      </c>
      <c r="D2599" t="s">
        <v>671</v>
      </c>
      <c r="E2599" t="s">
        <v>2853</v>
      </c>
      <c r="F2599" t="s">
        <v>7338</v>
      </c>
      <c r="G2599" t="s">
        <v>7340</v>
      </c>
      <c r="I2599" t="s">
        <v>2810</v>
      </c>
    </row>
    <row r="2600" spans="1:9" x14ac:dyDescent="0.25">
      <c r="A2600" t="s">
        <v>7600</v>
      </c>
      <c r="B2600" t="s">
        <v>507</v>
      </c>
      <c r="C2600" s="167">
        <v>93.03</v>
      </c>
      <c r="D2600" t="s">
        <v>59</v>
      </c>
      <c r="E2600" t="s">
        <v>471</v>
      </c>
      <c r="F2600" t="s">
        <v>7339</v>
      </c>
      <c r="G2600" t="s">
        <v>7340</v>
      </c>
      <c r="I2600" t="s">
        <v>2810</v>
      </c>
    </row>
    <row r="2601" spans="1:9" x14ac:dyDescent="0.25">
      <c r="A2601" t="s">
        <v>506</v>
      </c>
      <c r="B2601" t="s">
        <v>507</v>
      </c>
      <c r="C2601" s="167">
        <v>90.46</v>
      </c>
      <c r="D2601" t="s">
        <v>21</v>
      </c>
      <c r="E2601" t="s">
        <v>471</v>
      </c>
      <c r="F2601" t="s">
        <v>7339</v>
      </c>
      <c r="G2601" t="s">
        <v>7340</v>
      </c>
      <c r="I2601" t="s">
        <v>2810</v>
      </c>
    </row>
    <row r="2602" spans="1:9" x14ac:dyDescent="0.25">
      <c r="A2602" t="s">
        <v>645</v>
      </c>
      <c r="B2602" t="s">
        <v>507</v>
      </c>
      <c r="C2602" s="167">
        <v>98.13</v>
      </c>
      <c r="D2602" t="s">
        <v>563</v>
      </c>
      <c r="E2602" t="s">
        <v>471</v>
      </c>
      <c r="F2602" t="s">
        <v>7339</v>
      </c>
      <c r="G2602" t="s">
        <v>7340</v>
      </c>
      <c r="I2602" t="s">
        <v>2810</v>
      </c>
    </row>
    <row r="2603" spans="1:9" x14ac:dyDescent="0.25">
      <c r="A2603" t="s">
        <v>4709</v>
      </c>
      <c r="B2603" t="s">
        <v>507</v>
      </c>
      <c r="C2603" s="167">
        <v>93.03</v>
      </c>
      <c r="D2603" t="s">
        <v>4633</v>
      </c>
      <c r="E2603" t="s">
        <v>471</v>
      </c>
      <c r="F2603" t="s">
        <v>7339</v>
      </c>
      <c r="G2603" t="s">
        <v>7340</v>
      </c>
      <c r="I2603" t="s">
        <v>2810</v>
      </c>
    </row>
    <row r="2604" spans="1:9" x14ac:dyDescent="0.25">
      <c r="A2604" t="s">
        <v>743</v>
      </c>
      <c r="B2604" t="s">
        <v>507</v>
      </c>
      <c r="C2604" s="167">
        <v>98.13</v>
      </c>
      <c r="D2604" t="s">
        <v>671</v>
      </c>
      <c r="E2604" t="s">
        <v>471</v>
      </c>
      <c r="F2604" t="s">
        <v>7339</v>
      </c>
      <c r="G2604" t="s">
        <v>7340</v>
      </c>
      <c r="I2604" t="s">
        <v>2810</v>
      </c>
    </row>
    <row r="2605" spans="1:9" x14ac:dyDescent="0.25">
      <c r="A2605" t="s">
        <v>7601</v>
      </c>
      <c r="B2605" t="s">
        <v>507</v>
      </c>
      <c r="C2605" s="167">
        <v>93.03</v>
      </c>
      <c r="D2605" t="s">
        <v>59</v>
      </c>
      <c r="E2605" t="s">
        <v>473</v>
      </c>
      <c r="F2605" t="s">
        <v>7339</v>
      </c>
      <c r="G2605" t="s">
        <v>7340</v>
      </c>
      <c r="I2605" t="s">
        <v>2810</v>
      </c>
    </row>
    <row r="2606" spans="1:9" x14ac:dyDescent="0.25">
      <c r="A2606" t="s">
        <v>508</v>
      </c>
      <c r="B2606" t="s">
        <v>507</v>
      </c>
      <c r="C2606" s="167">
        <v>90.46</v>
      </c>
      <c r="D2606" t="s">
        <v>21</v>
      </c>
      <c r="E2606" t="s">
        <v>473</v>
      </c>
      <c r="F2606" t="s">
        <v>7339</v>
      </c>
      <c r="G2606" t="s">
        <v>7340</v>
      </c>
      <c r="I2606" t="s">
        <v>2810</v>
      </c>
    </row>
    <row r="2607" spans="1:9" x14ac:dyDescent="0.25">
      <c r="A2607" t="s">
        <v>646</v>
      </c>
      <c r="B2607" t="s">
        <v>507</v>
      </c>
      <c r="C2607" s="167">
        <v>98.13</v>
      </c>
      <c r="D2607" t="s">
        <v>563</v>
      </c>
      <c r="E2607" t="s">
        <v>473</v>
      </c>
      <c r="F2607" t="s">
        <v>7339</v>
      </c>
      <c r="G2607" t="s">
        <v>7340</v>
      </c>
      <c r="I2607" t="s">
        <v>2810</v>
      </c>
    </row>
    <row r="2608" spans="1:9" x14ac:dyDescent="0.25">
      <c r="A2608" t="s">
        <v>4729</v>
      </c>
      <c r="B2608" t="s">
        <v>507</v>
      </c>
      <c r="C2608" s="167">
        <v>93.03</v>
      </c>
      <c r="D2608" t="s">
        <v>4633</v>
      </c>
      <c r="E2608" t="s">
        <v>473</v>
      </c>
      <c r="F2608" t="s">
        <v>7339</v>
      </c>
      <c r="G2608" t="s">
        <v>7340</v>
      </c>
      <c r="I2608" t="s">
        <v>2810</v>
      </c>
    </row>
    <row r="2609" spans="1:9" x14ac:dyDescent="0.25">
      <c r="A2609" t="s">
        <v>744</v>
      </c>
      <c r="B2609" t="s">
        <v>507</v>
      </c>
      <c r="C2609" s="167">
        <v>98.13</v>
      </c>
      <c r="D2609" t="s">
        <v>671</v>
      </c>
      <c r="E2609" t="s">
        <v>473</v>
      </c>
      <c r="F2609" t="s">
        <v>7339</v>
      </c>
      <c r="G2609" t="s">
        <v>7340</v>
      </c>
      <c r="I2609" t="s">
        <v>2810</v>
      </c>
    </row>
    <row r="2610" spans="1:9" x14ac:dyDescent="0.25">
      <c r="A2610" t="s">
        <v>7602</v>
      </c>
      <c r="B2610" t="s">
        <v>510</v>
      </c>
      <c r="C2610" s="167">
        <v>103.31</v>
      </c>
      <c r="D2610" t="s">
        <v>59</v>
      </c>
      <c r="E2610" t="s">
        <v>471</v>
      </c>
      <c r="F2610" t="s">
        <v>7341</v>
      </c>
      <c r="G2610" t="s">
        <v>7340</v>
      </c>
      <c r="I2610" t="s">
        <v>2810</v>
      </c>
    </row>
    <row r="2611" spans="1:9" x14ac:dyDescent="0.25">
      <c r="A2611" t="s">
        <v>509</v>
      </c>
      <c r="B2611" t="s">
        <v>510</v>
      </c>
      <c r="C2611" s="167">
        <v>100.74</v>
      </c>
      <c r="D2611" t="s">
        <v>21</v>
      </c>
      <c r="E2611" t="s">
        <v>471</v>
      </c>
      <c r="F2611" t="s">
        <v>7341</v>
      </c>
      <c r="G2611" t="s">
        <v>7340</v>
      </c>
      <c r="I2611" t="s">
        <v>2810</v>
      </c>
    </row>
    <row r="2612" spans="1:9" x14ac:dyDescent="0.25">
      <c r="A2612" t="s">
        <v>647</v>
      </c>
      <c r="B2612" t="s">
        <v>510</v>
      </c>
      <c r="C2612" s="167">
        <v>108.43</v>
      </c>
      <c r="D2612" t="s">
        <v>563</v>
      </c>
      <c r="E2612" t="s">
        <v>471</v>
      </c>
      <c r="F2612" t="s">
        <v>7341</v>
      </c>
      <c r="G2612" t="s">
        <v>7340</v>
      </c>
      <c r="I2612" t="s">
        <v>2810</v>
      </c>
    </row>
    <row r="2613" spans="1:9" x14ac:dyDescent="0.25">
      <c r="A2613" t="s">
        <v>4710</v>
      </c>
      <c r="B2613" t="s">
        <v>510</v>
      </c>
      <c r="C2613" s="167">
        <v>103.31</v>
      </c>
      <c r="D2613" t="s">
        <v>4633</v>
      </c>
      <c r="E2613" t="s">
        <v>471</v>
      </c>
      <c r="F2613" t="s">
        <v>7341</v>
      </c>
      <c r="G2613" t="s">
        <v>7340</v>
      </c>
      <c r="I2613" t="s">
        <v>2810</v>
      </c>
    </row>
    <row r="2614" spans="1:9" x14ac:dyDescent="0.25">
      <c r="A2614" t="s">
        <v>745</v>
      </c>
      <c r="B2614" t="s">
        <v>510</v>
      </c>
      <c r="C2614" s="167">
        <v>108.43</v>
      </c>
      <c r="D2614" t="s">
        <v>671</v>
      </c>
      <c r="E2614" t="s">
        <v>471</v>
      </c>
      <c r="F2614" t="s">
        <v>7341</v>
      </c>
      <c r="G2614" t="s">
        <v>7340</v>
      </c>
      <c r="I2614" t="s">
        <v>2810</v>
      </c>
    </row>
    <row r="2615" spans="1:9" x14ac:dyDescent="0.25">
      <c r="A2615" t="s">
        <v>7603</v>
      </c>
      <c r="B2615" t="s">
        <v>510</v>
      </c>
      <c r="C2615" s="167">
        <v>103.31</v>
      </c>
      <c r="D2615" t="s">
        <v>59</v>
      </c>
      <c r="E2615" t="s">
        <v>473</v>
      </c>
      <c r="F2615" t="s">
        <v>7341</v>
      </c>
      <c r="G2615" t="s">
        <v>7340</v>
      </c>
      <c r="I2615" t="s">
        <v>2810</v>
      </c>
    </row>
    <row r="2616" spans="1:9" x14ac:dyDescent="0.25">
      <c r="A2616" t="s">
        <v>511</v>
      </c>
      <c r="B2616" t="s">
        <v>510</v>
      </c>
      <c r="C2616" s="167">
        <v>100.74</v>
      </c>
      <c r="D2616" t="s">
        <v>21</v>
      </c>
      <c r="E2616" t="s">
        <v>473</v>
      </c>
      <c r="F2616" t="s">
        <v>7341</v>
      </c>
      <c r="G2616" t="s">
        <v>7340</v>
      </c>
      <c r="I2616" t="s">
        <v>2810</v>
      </c>
    </row>
    <row r="2617" spans="1:9" x14ac:dyDescent="0.25">
      <c r="A2617" t="s">
        <v>648</v>
      </c>
      <c r="B2617" t="s">
        <v>510</v>
      </c>
      <c r="C2617" s="167">
        <v>108.43</v>
      </c>
      <c r="D2617" t="s">
        <v>563</v>
      </c>
      <c r="E2617" t="s">
        <v>473</v>
      </c>
      <c r="F2617" t="s">
        <v>7341</v>
      </c>
      <c r="G2617" t="s">
        <v>7340</v>
      </c>
      <c r="I2617" t="s">
        <v>2810</v>
      </c>
    </row>
    <row r="2618" spans="1:9" x14ac:dyDescent="0.25">
      <c r="A2618" t="s">
        <v>4730</v>
      </c>
      <c r="B2618" t="s">
        <v>510</v>
      </c>
      <c r="C2618" s="167">
        <v>103.31</v>
      </c>
      <c r="D2618" t="s">
        <v>4633</v>
      </c>
      <c r="E2618" t="s">
        <v>473</v>
      </c>
      <c r="F2618" t="s">
        <v>7341</v>
      </c>
      <c r="G2618" t="s">
        <v>7340</v>
      </c>
      <c r="I2618" t="s">
        <v>2810</v>
      </c>
    </row>
    <row r="2619" spans="1:9" x14ac:dyDescent="0.25">
      <c r="A2619" t="s">
        <v>746</v>
      </c>
      <c r="B2619" t="s">
        <v>510</v>
      </c>
      <c r="C2619" s="167">
        <v>108.43</v>
      </c>
      <c r="D2619" t="s">
        <v>671</v>
      </c>
      <c r="E2619" t="s">
        <v>473</v>
      </c>
      <c r="F2619" t="s">
        <v>7341</v>
      </c>
      <c r="G2619" t="s">
        <v>7340</v>
      </c>
      <c r="I2619" t="s">
        <v>2810</v>
      </c>
    </row>
    <row r="2620" spans="1:9" x14ac:dyDescent="0.25">
      <c r="A2620" t="s">
        <v>7604</v>
      </c>
      <c r="B2620" t="s">
        <v>513</v>
      </c>
      <c r="C2620" s="167">
        <v>113.62</v>
      </c>
      <c r="D2620" t="s">
        <v>59</v>
      </c>
      <c r="E2620" t="s">
        <v>471</v>
      </c>
      <c r="F2620" t="s">
        <v>7344</v>
      </c>
      <c r="G2620" t="s">
        <v>7340</v>
      </c>
      <c r="I2620" t="s">
        <v>2810</v>
      </c>
    </row>
    <row r="2621" spans="1:9" x14ac:dyDescent="0.25">
      <c r="A2621" t="s">
        <v>512</v>
      </c>
      <c r="B2621" t="s">
        <v>513</v>
      </c>
      <c r="C2621" s="167">
        <v>111.05</v>
      </c>
      <c r="D2621" t="s">
        <v>21</v>
      </c>
      <c r="E2621" t="s">
        <v>471</v>
      </c>
      <c r="F2621" t="s">
        <v>7344</v>
      </c>
      <c r="G2621" t="s">
        <v>7340</v>
      </c>
      <c r="I2621" t="s">
        <v>2810</v>
      </c>
    </row>
    <row r="2622" spans="1:9" x14ac:dyDescent="0.25">
      <c r="A2622" t="s">
        <v>649</v>
      </c>
      <c r="B2622" t="s">
        <v>513</v>
      </c>
      <c r="C2622" s="167">
        <v>118.72</v>
      </c>
      <c r="D2622" t="s">
        <v>563</v>
      </c>
      <c r="E2622" t="s">
        <v>471</v>
      </c>
      <c r="F2622" t="s">
        <v>7344</v>
      </c>
      <c r="G2622" t="s">
        <v>7340</v>
      </c>
      <c r="I2622" t="s">
        <v>2810</v>
      </c>
    </row>
    <row r="2623" spans="1:9" x14ac:dyDescent="0.25">
      <c r="A2623" t="s">
        <v>4711</v>
      </c>
      <c r="B2623" t="s">
        <v>513</v>
      </c>
      <c r="C2623" s="167">
        <v>113.61</v>
      </c>
      <c r="D2623" t="s">
        <v>4633</v>
      </c>
      <c r="E2623" t="s">
        <v>471</v>
      </c>
      <c r="F2623" t="s">
        <v>7344</v>
      </c>
      <c r="G2623" t="s">
        <v>7340</v>
      </c>
      <c r="I2623" t="s">
        <v>2810</v>
      </c>
    </row>
    <row r="2624" spans="1:9" x14ac:dyDescent="0.25">
      <c r="A2624" t="s">
        <v>747</v>
      </c>
      <c r="B2624" t="s">
        <v>513</v>
      </c>
      <c r="C2624" s="167">
        <v>118.72</v>
      </c>
      <c r="D2624" t="s">
        <v>671</v>
      </c>
      <c r="E2624" t="s">
        <v>471</v>
      </c>
      <c r="F2624" t="s">
        <v>7344</v>
      </c>
      <c r="G2624" t="s">
        <v>7340</v>
      </c>
      <c r="I2624" t="s">
        <v>2810</v>
      </c>
    </row>
    <row r="2625" spans="1:9" x14ac:dyDescent="0.25">
      <c r="A2625" t="s">
        <v>7605</v>
      </c>
      <c r="B2625" t="s">
        <v>513</v>
      </c>
      <c r="C2625" s="167">
        <v>113.61</v>
      </c>
      <c r="D2625" t="s">
        <v>59</v>
      </c>
      <c r="E2625" t="s">
        <v>473</v>
      </c>
      <c r="F2625" t="s">
        <v>7344</v>
      </c>
      <c r="G2625" t="s">
        <v>7340</v>
      </c>
      <c r="I2625" t="s">
        <v>2810</v>
      </c>
    </row>
    <row r="2626" spans="1:9" x14ac:dyDescent="0.25">
      <c r="A2626" t="s">
        <v>514</v>
      </c>
      <c r="B2626" t="s">
        <v>513</v>
      </c>
      <c r="C2626" s="167">
        <v>111.05</v>
      </c>
      <c r="D2626" t="s">
        <v>21</v>
      </c>
      <c r="E2626" t="s">
        <v>473</v>
      </c>
      <c r="F2626" t="s">
        <v>7344</v>
      </c>
      <c r="G2626" t="s">
        <v>7340</v>
      </c>
      <c r="I2626" t="s">
        <v>2810</v>
      </c>
    </row>
    <row r="2627" spans="1:9" x14ac:dyDescent="0.25">
      <c r="A2627" t="s">
        <v>650</v>
      </c>
      <c r="B2627" t="s">
        <v>513</v>
      </c>
      <c r="C2627" s="167">
        <v>118.72</v>
      </c>
      <c r="D2627" t="s">
        <v>563</v>
      </c>
      <c r="E2627" t="s">
        <v>473</v>
      </c>
      <c r="F2627" t="s">
        <v>7344</v>
      </c>
      <c r="G2627" t="s">
        <v>7340</v>
      </c>
      <c r="I2627" t="s">
        <v>2810</v>
      </c>
    </row>
    <row r="2628" spans="1:9" x14ac:dyDescent="0.25">
      <c r="A2628" t="s">
        <v>4731</v>
      </c>
      <c r="B2628" t="s">
        <v>513</v>
      </c>
      <c r="C2628" s="167">
        <v>113.61</v>
      </c>
      <c r="D2628" t="s">
        <v>4633</v>
      </c>
      <c r="E2628" t="s">
        <v>473</v>
      </c>
      <c r="F2628" t="s">
        <v>7344</v>
      </c>
      <c r="G2628" t="s">
        <v>7340</v>
      </c>
      <c r="I2628" t="s">
        <v>2810</v>
      </c>
    </row>
    <row r="2629" spans="1:9" x14ac:dyDescent="0.25">
      <c r="A2629" t="s">
        <v>748</v>
      </c>
      <c r="B2629" t="s">
        <v>513</v>
      </c>
      <c r="C2629" s="167">
        <v>118.72</v>
      </c>
      <c r="D2629" t="s">
        <v>671</v>
      </c>
      <c r="E2629" t="s">
        <v>473</v>
      </c>
      <c r="F2629" t="s">
        <v>7344</v>
      </c>
      <c r="G2629" t="s">
        <v>7340</v>
      </c>
      <c r="I2629" t="s">
        <v>2810</v>
      </c>
    </row>
    <row r="2630" spans="1:9" x14ac:dyDescent="0.25">
      <c r="A2630" t="s">
        <v>7606</v>
      </c>
      <c r="B2630" t="s">
        <v>516</v>
      </c>
      <c r="C2630" s="167">
        <v>123.91</v>
      </c>
      <c r="D2630" t="s">
        <v>59</v>
      </c>
      <c r="E2630" t="s">
        <v>471</v>
      </c>
      <c r="F2630" t="s">
        <v>7343</v>
      </c>
      <c r="G2630" t="s">
        <v>7340</v>
      </c>
      <c r="I2630" t="s">
        <v>2810</v>
      </c>
    </row>
    <row r="2631" spans="1:9" x14ac:dyDescent="0.25">
      <c r="A2631" t="s">
        <v>515</v>
      </c>
      <c r="B2631" t="s">
        <v>516</v>
      </c>
      <c r="C2631" s="167">
        <v>121.32</v>
      </c>
      <c r="D2631" t="s">
        <v>21</v>
      </c>
      <c r="E2631" t="s">
        <v>471</v>
      </c>
      <c r="F2631" t="s">
        <v>7343</v>
      </c>
      <c r="G2631" t="s">
        <v>7340</v>
      </c>
      <c r="I2631" t="s">
        <v>2810</v>
      </c>
    </row>
    <row r="2632" spans="1:9" x14ac:dyDescent="0.25">
      <c r="A2632" t="s">
        <v>651</v>
      </c>
      <c r="B2632" t="s">
        <v>516</v>
      </c>
      <c r="C2632" s="167">
        <v>129.01</v>
      </c>
      <c r="D2632" t="s">
        <v>563</v>
      </c>
      <c r="E2632" t="s">
        <v>471</v>
      </c>
      <c r="F2632" t="s">
        <v>7343</v>
      </c>
      <c r="G2632" t="s">
        <v>7340</v>
      </c>
      <c r="I2632" t="s">
        <v>2810</v>
      </c>
    </row>
    <row r="2633" spans="1:9" x14ac:dyDescent="0.25">
      <c r="A2633" t="s">
        <v>4712</v>
      </c>
      <c r="B2633" t="s">
        <v>516</v>
      </c>
      <c r="C2633" s="167">
        <v>123.91</v>
      </c>
      <c r="D2633" t="s">
        <v>4633</v>
      </c>
      <c r="E2633" t="s">
        <v>471</v>
      </c>
      <c r="F2633" t="s">
        <v>7343</v>
      </c>
      <c r="G2633" t="s">
        <v>7340</v>
      </c>
      <c r="I2633" t="s">
        <v>2810</v>
      </c>
    </row>
    <row r="2634" spans="1:9" x14ac:dyDescent="0.25">
      <c r="A2634" t="s">
        <v>749</v>
      </c>
      <c r="B2634" t="s">
        <v>516</v>
      </c>
      <c r="C2634" s="167">
        <v>129.01</v>
      </c>
      <c r="D2634" t="s">
        <v>671</v>
      </c>
      <c r="E2634" t="s">
        <v>471</v>
      </c>
      <c r="F2634" t="s">
        <v>7343</v>
      </c>
      <c r="G2634" t="s">
        <v>7340</v>
      </c>
      <c r="I2634" t="s">
        <v>2810</v>
      </c>
    </row>
    <row r="2635" spans="1:9" x14ac:dyDescent="0.25">
      <c r="A2635" t="s">
        <v>7607</v>
      </c>
      <c r="B2635" t="s">
        <v>516</v>
      </c>
      <c r="C2635" s="167">
        <v>123.91</v>
      </c>
      <c r="D2635" t="s">
        <v>59</v>
      </c>
      <c r="E2635" t="s">
        <v>473</v>
      </c>
      <c r="F2635" t="s">
        <v>7343</v>
      </c>
      <c r="G2635" t="s">
        <v>7340</v>
      </c>
      <c r="I2635" t="s">
        <v>2810</v>
      </c>
    </row>
    <row r="2636" spans="1:9" x14ac:dyDescent="0.25">
      <c r="A2636" t="s">
        <v>517</v>
      </c>
      <c r="B2636" t="s">
        <v>516</v>
      </c>
      <c r="C2636" s="167">
        <v>121.32</v>
      </c>
      <c r="D2636" t="s">
        <v>21</v>
      </c>
      <c r="E2636" t="s">
        <v>473</v>
      </c>
      <c r="F2636" t="s">
        <v>7343</v>
      </c>
      <c r="G2636" t="s">
        <v>7340</v>
      </c>
      <c r="I2636" t="s">
        <v>2810</v>
      </c>
    </row>
    <row r="2637" spans="1:9" x14ac:dyDescent="0.25">
      <c r="A2637" t="s">
        <v>652</v>
      </c>
      <c r="B2637" t="s">
        <v>516</v>
      </c>
      <c r="C2637" s="167">
        <v>129.01</v>
      </c>
      <c r="D2637" t="s">
        <v>563</v>
      </c>
      <c r="E2637" t="s">
        <v>473</v>
      </c>
      <c r="F2637" t="s">
        <v>7343</v>
      </c>
      <c r="G2637" t="s">
        <v>7340</v>
      </c>
      <c r="I2637" t="s">
        <v>2810</v>
      </c>
    </row>
    <row r="2638" spans="1:9" x14ac:dyDescent="0.25">
      <c r="A2638" t="s">
        <v>4732</v>
      </c>
      <c r="B2638" t="s">
        <v>516</v>
      </c>
      <c r="C2638" s="167">
        <v>123.91</v>
      </c>
      <c r="D2638" t="s">
        <v>4633</v>
      </c>
      <c r="E2638" t="s">
        <v>473</v>
      </c>
      <c r="F2638" t="s">
        <v>7343</v>
      </c>
      <c r="G2638" t="s">
        <v>7340</v>
      </c>
      <c r="I2638" t="s">
        <v>2810</v>
      </c>
    </row>
    <row r="2639" spans="1:9" x14ac:dyDescent="0.25">
      <c r="A2639" t="s">
        <v>750</v>
      </c>
      <c r="B2639" t="s">
        <v>516</v>
      </c>
      <c r="C2639" s="167">
        <v>129.01</v>
      </c>
      <c r="D2639" t="s">
        <v>671</v>
      </c>
      <c r="E2639" t="s">
        <v>473</v>
      </c>
      <c r="F2639" t="s">
        <v>7343</v>
      </c>
      <c r="G2639" t="s">
        <v>7340</v>
      </c>
      <c r="I2639" t="s">
        <v>2810</v>
      </c>
    </row>
    <row r="2640" spans="1:9" x14ac:dyDescent="0.25">
      <c r="A2640" t="s">
        <v>520</v>
      </c>
      <c r="B2640" t="s">
        <v>532</v>
      </c>
      <c r="C2640" s="167">
        <v>5.57</v>
      </c>
      <c r="D2640" t="s">
        <v>2853</v>
      </c>
      <c r="E2640" t="s">
        <v>471</v>
      </c>
      <c r="F2640" t="s">
        <v>7338</v>
      </c>
      <c r="G2640" t="s">
        <v>7340</v>
      </c>
      <c r="I2640" t="s">
        <v>2810</v>
      </c>
    </row>
    <row r="2641" spans="1:9" x14ac:dyDescent="0.25">
      <c r="A2641" t="s">
        <v>522</v>
      </c>
      <c r="B2641" t="s">
        <v>532</v>
      </c>
      <c r="C2641" s="167">
        <v>5.57</v>
      </c>
      <c r="D2641" t="s">
        <v>2853</v>
      </c>
      <c r="E2641" t="s">
        <v>473</v>
      </c>
      <c r="F2641" t="s">
        <v>7338</v>
      </c>
      <c r="G2641" t="s">
        <v>7340</v>
      </c>
      <c r="I2641" t="s">
        <v>2810</v>
      </c>
    </row>
    <row r="2642" spans="1:9" x14ac:dyDescent="0.25">
      <c r="A2642" t="s">
        <v>474</v>
      </c>
      <c r="B2642" t="s">
        <v>475</v>
      </c>
      <c r="C2642" s="167">
        <v>0.61</v>
      </c>
      <c r="D2642" t="s">
        <v>2853</v>
      </c>
      <c r="E2642" t="s">
        <v>471</v>
      </c>
      <c r="F2642" t="s">
        <v>7338</v>
      </c>
      <c r="G2642" t="s">
        <v>7338</v>
      </c>
      <c r="I2642" t="s">
        <v>2810</v>
      </c>
    </row>
    <row r="2643" spans="1:9" x14ac:dyDescent="0.25">
      <c r="A2643" t="s">
        <v>476</v>
      </c>
      <c r="B2643" t="s">
        <v>475</v>
      </c>
      <c r="C2643" s="167">
        <v>0.61</v>
      </c>
      <c r="D2643" t="s">
        <v>2853</v>
      </c>
      <c r="E2643" t="s">
        <v>473</v>
      </c>
      <c r="F2643" t="s">
        <v>7338</v>
      </c>
      <c r="G2643" t="s">
        <v>7338</v>
      </c>
      <c r="I2643" t="s">
        <v>2810</v>
      </c>
    </row>
    <row r="2644" spans="1:9" x14ac:dyDescent="0.25">
      <c r="A2644" t="s">
        <v>7608</v>
      </c>
      <c r="B2644" t="s">
        <v>519</v>
      </c>
      <c r="C2644" s="167">
        <v>91.75</v>
      </c>
      <c r="D2644" t="s">
        <v>59</v>
      </c>
      <c r="E2644" t="s">
        <v>471</v>
      </c>
      <c r="F2644" t="s">
        <v>7339</v>
      </c>
      <c r="G2644" t="s">
        <v>7340</v>
      </c>
      <c r="I2644" t="s">
        <v>2810</v>
      </c>
    </row>
    <row r="2645" spans="1:9" x14ac:dyDescent="0.25">
      <c r="A2645" t="s">
        <v>518</v>
      </c>
      <c r="B2645" t="s">
        <v>519</v>
      </c>
      <c r="C2645" s="167">
        <v>89.18</v>
      </c>
      <c r="D2645" t="s">
        <v>21</v>
      </c>
      <c r="E2645" t="s">
        <v>471</v>
      </c>
      <c r="F2645" t="s">
        <v>7339</v>
      </c>
      <c r="G2645" t="s">
        <v>7340</v>
      </c>
      <c r="I2645" t="s">
        <v>2810</v>
      </c>
    </row>
    <row r="2646" spans="1:9" x14ac:dyDescent="0.25">
      <c r="A2646" t="s">
        <v>653</v>
      </c>
      <c r="B2646" t="s">
        <v>519</v>
      </c>
      <c r="C2646" s="167">
        <v>96.87</v>
      </c>
      <c r="D2646" t="s">
        <v>563</v>
      </c>
      <c r="E2646" t="s">
        <v>471</v>
      </c>
      <c r="F2646" t="s">
        <v>7339</v>
      </c>
      <c r="G2646" t="s">
        <v>7340</v>
      </c>
      <c r="I2646" t="s">
        <v>2810</v>
      </c>
    </row>
    <row r="2647" spans="1:9" x14ac:dyDescent="0.25">
      <c r="A2647" t="s">
        <v>4713</v>
      </c>
      <c r="B2647" t="s">
        <v>519</v>
      </c>
      <c r="C2647" s="167">
        <v>91.75</v>
      </c>
      <c r="D2647" t="s">
        <v>4633</v>
      </c>
      <c r="E2647" t="s">
        <v>471</v>
      </c>
      <c r="F2647" t="s">
        <v>7339</v>
      </c>
      <c r="G2647" t="s">
        <v>7340</v>
      </c>
      <c r="I2647" t="s">
        <v>2810</v>
      </c>
    </row>
    <row r="2648" spans="1:9" x14ac:dyDescent="0.25">
      <c r="A2648" t="s">
        <v>751</v>
      </c>
      <c r="B2648" t="s">
        <v>519</v>
      </c>
      <c r="C2648" s="167">
        <v>96.87</v>
      </c>
      <c r="D2648" t="s">
        <v>671</v>
      </c>
      <c r="E2648" t="s">
        <v>471</v>
      </c>
      <c r="F2648" t="s">
        <v>7339</v>
      </c>
      <c r="G2648" t="s">
        <v>7340</v>
      </c>
      <c r="I2648" t="s">
        <v>2810</v>
      </c>
    </row>
    <row r="2649" spans="1:9" x14ac:dyDescent="0.25">
      <c r="A2649" t="s">
        <v>7609</v>
      </c>
      <c r="B2649" t="s">
        <v>519</v>
      </c>
      <c r="C2649" s="167">
        <v>91.75</v>
      </c>
      <c r="D2649" t="s">
        <v>59</v>
      </c>
      <c r="E2649" t="s">
        <v>473</v>
      </c>
      <c r="F2649" t="s">
        <v>7339</v>
      </c>
      <c r="G2649" t="s">
        <v>7340</v>
      </c>
      <c r="I2649" t="s">
        <v>2810</v>
      </c>
    </row>
    <row r="2650" spans="1:9" x14ac:dyDescent="0.25">
      <c r="A2650" t="s">
        <v>521</v>
      </c>
      <c r="B2650" t="s">
        <v>519</v>
      </c>
      <c r="C2650" s="167">
        <v>89.18</v>
      </c>
      <c r="D2650" t="s">
        <v>21</v>
      </c>
      <c r="E2650" t="s">
        <v>473</v>
      </c>
      <c r="F2650" t="s">
        <v>7339</v>
      </c>
      <c r="G2650" t="s">
        <v>7340</v>
      </c>
      <c r="I2650" t="s">
        <v>2810</v>
      </c>
    </row>
    <row r="2651" spans="1:9" x14ac:dyDescent="0.25">
      <c r="A2651" t="s">
        <v>654</v>
      </c>
      <c r="B2651" t="s">
        <v>519</v>
      </c>
      <c r="C2651" s="167">
        <v>96.87</v>
      </c>
      <c r="D2651" t="s">
        <v>563</v>
      </c>
      <c r="E2651" t="s">
        <v>473</v>
      </c>
      <c r="F2651" t="s">
        <v>7339</v>
      </c>
      <c r="G2651" t="s">
        <v>7340</v>
      </c>
      <c r="I2651" t="s">
        <v>2810</v>
      </c>
    </row>
    <row r="2652" spans="1:9" x14ac:dyDescent="0.25">
      <c r="A2652" t="s">
        <v>4733</v>
      </c>
      <c r="B2652" t="s">
        <v>519</v>
      </c>
      <c r="C2652" s="167">
        <v>91.75</v>
      </c>
      <c r="D2652" t="s">
        <v>4633</v>
      </c>
      <c r="E2652" t="s">
        <v>473</v>
      </c>
      <c r="F2652" t="s">
        <v>7339</v>
      </c>
      <c r="G2652" t="s">
        <v>7340</v>
      </c>
      <c r="I2652" t="s">
        <v>2810</v>
      </c>
    </row>
    <row r="2653" spans="1:9" x14ac:dyDescent="0.25">
      <c r="A2653" t="s">
        <v>752</v>
      </c>
      <c r="B2653" t="s">
        <v>519</v>
      </c>
      <c r="C2653" s="167">
        <v>96.87</v>
      </c>
      <c r="D2653" t="s">
        <v>671</v>
      </c>
      <c r="E2653" t="s">
        <v>473</v>
      </c>
      <c r="F2653" t="s">
        <v>7339</v>
      </c>
      <c r="G2653" t="s">
        <v>7340</v>
      </c>
      <c r="I2653" t="s">
        <v>2810</v>
      </c>
    </row>
    <row r="2654" spans="1:9" x14ac:dyDescent="0.25">
      <c r="A2654" t="s">
        <v>7610</v>
      </c>
      <c r="B2654" t="s">
        <v>524</v>
      </c>
      <c r="C2654" s="167">
        <v>105.87</v>
      </c>
      <c r="D2654" t="s">
        <v>59</v>
      </c>
      <c r="E2654" t="s">
        <v>471</v>
      </c>
      <c r="F2654" t="s">
        <v>7341</v>
      </c>
      <c r="G2654" t="s">
        <v>7340</v>
      </c>
      <c r="I2654" t="s">
        <v>2810</v>
      </c>
    </row>
    <row r="2655" spans="1:9" x14ac:dyDescent="0.25">
      <c r="A2655" t="s">
        <v>523</v>
      </c>
      <c r="B2655" t="s">
        <v>524</v>
      </c>
      <c r="C2655" s="167">
        <v>103.27</v>
      </c>
      <c r="D2655" t="s">
        <v>21</v>
      </c>
      <c r="E2655" t="s">
        <v>471</v>
      </c>
      <c r="F2655" t="s">
        <v>7341</v>
      </c>
      <c r="G2655" t="s">
        <v>7340</v>
      </c>
      <c r="I2655" t="s">
        <v>2810</v>
      </c>
    </row>
    <row r="2656" spans="1:9" x14ac:dyDescent="0.25">
      <c r="A2656" t="s">
        <v>655</v>
      </c>
      <c r="B2656" t="s">
        <v>524</v>
      </c>
      <c r="C2656" s="167">
        <v>110.96</v>
      </c>
      <c r="D2656" t="s">
        <v>563</v>
      </c>
      <c r="E2656" t="s">
        <v>471</v>
      </c>
      <c r="F2656" t="s">
        <v>7341</v>
      </c>
      <c r="G2656" t="s">
        <v>7340</v>
      </c>
      <c r="I2656" t="s">
        <v>2810</v>
      </c>
    </row>
    <row r="2657" spans="1:9" x14ac:dyDescent="0.25">
      <c r="A2657" t="s">
        <v>4714</v>
      </c>
      <c r="B2657" t="s">
        <v>524</v>
      </c>
      <c r="C2657" s="167">
        <v>105.87</v>
      </c>
      <c r="D2657" t="s">
        <v>4633</v>
      </c>
      <c r="E2657" t="s">
        <v>471</v>
      </c>
      <c r="F2657" t="s">
        <v>7341</v>
      </c>
      <c r="G2657" t="s">
        <v>7340</v>
      </c>
      <c r="I2657" t="s">
        <v>2810</v>
      </c>
    </row>
    <row r="2658" spans="1:9" x14ac:dyDescent="0.25">
      <c r="A2658" t="s">
        <v>753</v>
      </c>
      <c r="B2658" t="s">
        <v>524</v>
      </c>
      <c r="C2658" s="167">
        <v>110.96</v>
      </c>
      <c r="D2658" t="s">
        <v>671</v>
      </c>
      <c r="E2658" t="s">
        <v>471</v>
      </c>
      <c r="F2658" t="s">
        <v>7341</v>
      </c>
      <c r="G2658" t="s">
        <v>7340</v>
      </c>
      <c r="I2658" t="s">
        <v>2810</v>
      </c>
    </row>
    <row r="2659" spans="1:9" x14ac:dyDescent="0.25">
      <c r="A2659" t="s">
        <v>7611</v>
      </c>
      <c r="B2659" t="s">
        <v>524</v>
      </c>
      <c r="C2659" s="167">
        <v>105.87</v>
      </c>
      <c r="D2659" t="s">
        <v>59</v>
      </c>
      <c r="E2659" t="s">
        <v>473</v>
      </c>
      <c r="F2659" t="s">
        <v>7341</v>
      </c>
      <c r="G2659" t="s">
        <v>7340</v>
      </c>
      <c r="I2659" t="s">
        <v>2810</v>
      </c>
    </row>
    <row r="2660" spans="1:9" x14ac:dyDescent="0.25">
      <c r="A2660" t="s">
        <v>525</v>
      </c>
      <c r="B2660" t="s">
        <v>524</v>
      </c>
      <c r="C2660" s="167">
        <v>103.27</v>
      </c>
      <c r="D2660" t="s">
        <v>21</v>
      </c>
      <c r="E2660" t="s">
        <v>473</v>
      </c>
      <c r="F2660" t="s">
        <v>7341</v>
      </c>
      <c r="G2660" t="s">
        <v>7340</v>
      </c>
      <c r="I2660" t="s">
        <v>2810</v>
      </c>
    </row>
    <row r="2661" spans="1:9" x14ac:dyDescent="0.25">
      <c r="A2661" t="s">
        <v>656</v>
      </c>
      <c r="B2661" t="s">
        <v>524</v>
      </c>
      <c r="C2661" s="167">
        <v>110.96</v>
      </c>
      <c r="D2661" t="s">
        <v>563</v>
      </c>
      <c r="E2661" t="s">
        <v>473</v>
      </c>
      <c r="F2661" t="s">
        <v>7341</v>
      </c>
      <c r="G2661" t="s">
        <v>7340</v>
      </c>
      <c r="I2661" t="s">
        <v>2810</v>
      </c>
    </row>
    <row r="2662" spans="1:9" x14ac:dyDescent="0.25">
      <c r="A2662" t="s">
        <v>4734</v>
      </c>
      <c r="B2662" t="s">
        <v>524</v>
      </c>
      <c r="C2662" s="167">
        <v>105.87</v>
      </c>
      <c r="D2662" t="s">
        <v>4633</v>
      </c>
      <c r="E2662" t="s">
        <v>473</v>
      </c>
      <c r="F2662" t="s">
        <v>7341</v>
      </c>
      <c r="G2662" t="s">
        <v>7340</v>
      </c>
      <c r="I2662" t="s">
        <v>2810</v>
      </c>
    </row>
    <row r="2663" spans="1:9" x14ac:dyDescent="0.25">
      <c r="A2663" t="s">
        <v>754</v>
      </c>
      <c r="B2663" t="s">
        <v>524</v>
      </c>
      <c r="C2663" s="167">
        <v>110.96</v>
      </c>
      <c r="D2663" t="s">
        <v>671</v>
      </c>
      <c r="E2663" t="s">
        <v>473</v>
      </c>
      <c r="F2663" t="s">
        <v>7341</v>
      </c>
      <c r="G2663" t="s">
        <v>7340</v>
      </c>
      <c r="I2663" t="s">
        <v>2810</v>
      </c>
    </row>
    <row r="2664" spans="1:9" x14ac:dyDescent="0.25">
      <c r="A2664" t="s">
        <v>7612</v>
      </c>
      <c r="B2664" t="s">
        <v>527</v>
      </c>
      <c r="C2664" s="167">
        <v>113.61</v>
      </c>
      <c r="D2664" t="s">
        <v>59</v>
      </c>
      <c r="E2664" t="s">
        <v>471</v>
      </c>
      <c r="F2664" t="s">
        <v>7344</v>
      </c>
      <c r="G2664" t="s">
        <v>7340</v>
      </c>
      <c r="I2664" t="s">
        <v>2810</v>
      </c>
    </row>
    <row r="2665" spans="1:9" x14ac:dyDescent="0.25">
      <c r="A2665" t="s">
        <v>526</v>
      </c>
      <c r="B2665" t="s">
        <v>527</v>
      </c>
      <c r="C2665" s="167">
        <v>111.05</v>
      </c>
      <c r="D2665" t="s">
        <v>21</v>
      </c>
      <c r="E2665" t="s">
        <v>471</v>
      </c>
      <c r="F2665" t="s">
        <v>7344</v>
      </c>
      <c r="G2665" t="s">
        <v>7340</v>
      </c>
      <c r="I2665" t="s">
        <v>2810</v>
      </c>
    </row>
    <row r="2666" spans="1:9" x14ac:dyDescent="0.25">
      <c r="A2666" t="s">
        <v>657</v>
      </c>
      <c r="B2666" t="s">
        <v>527</v>
      </c>
      <c r="C2666" s="167">
        <v>118.72</v>
      </c>
      <c r="D2666" t="s">
        <v>563</v>
      </c>
      <c r="E2666" t="s">
        <v>471</v>
      </c>
      <c r="F2666" t="s">
        <v>7344</v>
      </c>
      <c r="G2666" t="s">
        <v>7340</v>
      </c>
      <c r="I2666" t="s">
        <v>2810</v>
      </c>
    </row>
    <row r="2667" spans="1:9" x14ac:dyDescent="0.25">
      <c r="A2667" t="s">
        <v>4715</v>
      </c>
      <c r="B2667" t="s">
        <v>527</v>
      </c>
      <c r="C2667" s="167">
        <v>113.61</v>
      </c>
      <c r="D2667" t="s">
        <v>4633</v>
      </c>
      <c r="E2667" t="s">
        <v>471</v>
      </c>
      <c r="F2667" t="s">
        <v>7344</v>
      </c>
      <c r="G2667" t="s">
        <v>7340</v>
      </c>
      <c r="I2667" t="s">
        <v>2810</v>
      </c>
    </row>
    <row r="2668" spans="1:9" x14ac:dyDescent="0.25">
      <c r="A2668" t="s">
        <v>755</v>
      </c>
      <c r="B2668" t="s">
        <v>527</v>
      </c>
      <c r="C2668" s="167">
        <v>118.72</v>
      </c>
      <c r="D2668" t="s">
        <v>671</v>
      </c>
      <c r="E2668" t="s">
        <v>471</v>
      </c>
      <c r="F2668" t="s">
        <v>7344</v>
      </c>
      <c r="G2668" t="s">
        <v>7340</v>
      </c>
      <c r="I2668" t="s">
        <v>2810</v>
      </c>
    </row>
    <row r="2669" spans="1:9" x14ac:dyDescent="0.25">
      <c r="A2669" t="s">
        <v>7613</v>
      </c>
      <c r="B2669" t="s">
        <v>527</v>
      </c>
      <c r="C2669" s="167">
        <v>113.61</v>
      </c>
      <c r="D2669" t="s">
        <v>59</v>
      </c>
      <c r="E2669" t="s">
        <v>473</v>
      </c>
      <c r="F2669" t="s">
        <v>7344</v>
      </c>
      <c r="G2669" t="s">
        <v>7340</v>
      </c>
      <c r="I2669" t="s">
        <v>2810</v>
      </c>
    </row>
    <row r="2670" spans="1:9" x14ac:dyDescent="0.25">
      <c r="A2670" t="s">
        <v>528</v>
      </c>
      <c r="B2670" t="s">
        <v>527</v>
      </c>
      <c r="C2670" s="167">
        <v>111.05</v>
      </c>
      <c r="D2670" t="s">
        <v>21</v>
      </c>
      <c r="E2670" t="s">
        <v>473</v>
      </c>
      <c r="F2670" t="s">
        <v>7344</v>
      </c>
      <c r="G2670" t="s">
        <v>7340</v>
      </c>
      <c r="I2670" t="s">
        <v>2810</v>
      </c>
    </row>
    <row r="2671" spans="1:9" x14ac:dyDescent="0.25">
      <c r="A2671" t="s">
        <v>658</v>
      </c>
      <c r="B2671" t="s">
        <v>527</v>
      </c>
      <c r="C2671" s="167">
        <v>118.72</v>
      </c>
      <c r="D2671" t="s">
        <v>563</v>
      </c>
      <c r="E2671" t="s">
        <v>473</v>
      </c>
      <c r="F2671" t="s">
        <v>7344</v>
      </c>
      <c r="G2671" t="s">
        <v>7340</v>
      </c>
      <c r="I2671" t="s">
        <v>2810</v>
      </c>
    </row>
    <row r="2672" spans="1:9" x14ac:dyDescent="0.25">
      <c r="A2672" t="s">
        <v>4735</v>
      </c>
      <c r="B2672" t="s">
        <v>527</v>
      </c>
      <c r="C2672" s="167">
        <v>113.61</v>
      </c>
      <c r="D2672" t="s">
        <v>4633</v>
      </c>
      <c r="E2672" t="s">
        <v>473</v>
      </c>
      <c r="F2672" t="s">
        <v>7344</v>
      </c>
      <c r="G2672" t="s">
        <v>7340</v>
      </c>
      <c r="I2672" t="s">
        <v>2810</v>
      </c>
    </row>
    <row r="2673" spans="1:9" x14ac:dyDescent="0.25">
      <c r="A2673" t="s">
        <v>756</v>
      </c>
      <c r="B2673" t="s">
        <v>527</v>
      </c>
      <c r="C2673" s="167">
        <v>118.72</v>
      </c>
      <c r="D2673" t="s">
        <v>671</v>
      </c>
      <c r="E2673" t="s">
        <v>473</v>
      </c>
      <c r="F2673" t="s">
        <v>7344</v>
      </c>
      <c r="G2673" t="s">
        <v>7340</v>
      </c>
      <c r="I2673" t="s">
        <v>2810</v>
      </c>
    </row>
    <row r="2674" spans="1:9" x14ac:dyDescent="0.25">
      <c r="A2674" t="s">
        <v>7614</v>
      </c>
      <c r="B2674" t="s">
        <v>530</v>
      </c>
      <c r="C2674" s="167">
        <v>121.36</v>
      </c>
      <c r="D2674" t="s">
        <v>59</v>
      </c>
      <c r="E2674" t="s">
        <v>471</v>
      </c>
      <c r="F2674" t="s">
        <v>7343</v>
      </c>
      <c r="G2674" t="s">
        <v>7340</v>
      </c>
      <c r="I2674" t="s">
        <v>2810</v>
      </c>
    </row>
    <row r="2675" spans="1:9" x14ac:dyDescent="0.25">
      <c r="A2675" t="s">
        <v>529</v>
      </c>
      <c r="B2675" t="s">
        <v>530</v>
      </c>
      <c r="C2675" s="167">
        <v>118.79</v>
      </c>
      <c r="D2675" t="s">
        <v>21</v>
      </c>
      <c r="E2675" t="s">
        <v>471</v>
      </c>
      <c r="F2675" t="s">
        <v>7343</v>
      </c>
      <c r="G2675" t="s">
        <v>7340</v>
      </c>
      <c r="I2675" t="s">
        <v>2810</v>
      </c>
    </row>
    <row r="2676" spans="1:9" x14ac:dyDescent="0.25">
      <c r="A2676" t="s">
        <v>659</v>
      </c>
      <c r="B2676" t="s">
        <v>530</v>
      </c>
      <c r="C2676" s="167">
        <v>126.47</v>
      </c>
      <c r="D2676" t="s">
        <v>563</v>
      </c>
      <c r="E2676" t="s">
        <v>471</v>
      </c>
      <c r="F2676" t="s">
        <v>7343</v>
      </c>
      <c r="G2676" t="s">
        <v>7340</v>
      </c>
      <c r="I2676" t="s">
        <v>2810</v>
      </c>
    </row>
    <row r="2677" spans="1:9" x14ac:dyDescent="0.25">
      <c r="A2677" t="s">
        <v>4716</v>
      </c>
      <c r="B2677" t="s">
        <v>530</v>
      </c>
      <c r="C2677" s="167">
        <v>121.36</v>
      </c>
      <c r="D2677" t="s">
        <v>4633</v>
      </c>
      <c r="E2677" t="s">
        <v>471</v>
      </c>
      <c r="F2677" t="s">
        <v>7343</v>
      </c>
      <c r="G2677" t="s">
        <v>7340</v>
      </c>
      <c r="I2677" t="s">
        <v>2810</v>
      </c>
    </row>
    <row r="2678" spans="1:9" x14ac:dyDescent="0.25">
      <c r="A2678" t="s">
        <v>757</v>
      </c>
      <c r="B2678" t="s">
        <v>530</v>
      </c>
      <c r="C2678" s="167">
        <v>126.47</v>
      </c>
      <c r="D2678" t="s">
        <v>671</v>
      </c>
      <c r="E2678" t="s">
        <v>471</v>
      </c>
      <c r="F2678" t="s">
        <v>7343</v>
      </c>
      <c r="G2678" t="s">
        <v>7340</v>
      </c>
      <c r="I2678" t="s">
        <v>2810</v>
      </c>
    </row>
    <row r="2679" spans="1:9" x14ac:dyDescent="0.25">
      <c r="A2679" t="s">
        <v>7615</v>
      </c>
      <c r="B2679" t="s">
        <v>530</v>
      </c>
      <c r="C2679" s="167">
        <v>121.36</v>
      </c>
      <c r="D2679" t="s">
        <v>59</v>
      </c>
      <c r="E2679" t="s">
        <v>473</v>
      </c>
      <c r="F2679" t="s">
        <v>7343</v>
      </c>
      <c r="G2679" t="s">
        <v>7340</v>
      </c>
      <c r="I2679" t="s">
        <v>2810</v>
      </c>
    </row>
    <row r="2680" spans="1:9" x14ac:dyDescent="0.25">
      <c r="A2680" t="s">
        <v>531</v>
      </c>
      <c r="B2680" t="s">
        <v>530</v>
      </c>
      <c r="C2680" s="167">
        <v>118.79</v>
      </c>
      <c r="D2680" t="s">
        <v>21</v>
      </c>
      <c r="E2680" t="s">
        <v>473</v>
      </c>
      <c r="F2680" t="s">
        <v>7343</v>
      </c>
      <c r="G2680" t="s">
        <v>7340</v>
      </c>
      <c r="I2680" t="s">
        <v>2810</v>
      </c>
    </row>
    <row r="2681" spans="1:9" x14ac:dyDescent="0.25">
      <c r="A2681" t="s">
        <v>660</v>
      </c>
      <c r="B2681" t="s">
        <v>530</v>
      </c>
      <c r="C2681" s="167">
        <v>126.47</v>
      </c>
      <c r="D2681" t="s">
        <v>563</v>
      </c>
      <c r="E2681" t="s">
        <v>473</v>
      </c>
      <c r="F2681" t="s">
        <v>7343</v>
      </c>
      <c r="G2681" t="s">
        <v>7340</v>
      </c>
      <c r="I2681" t="s">
        <v>2810</v>
      </c>
    </row>
    <row r="2682" spans="1:9" x14ac:dyDescent="0.25">
      <c r="A2682" t="s">
        <v>4736</v>
      </c>
      <c r="B2682" t="s">
        <v>530</v>
      </c>
      <c r="C2682" s="167">
        <v>121.36</v>
      </c>
      <c r="D2682" t="s">
        <v>4633</v>
      </c>
      <c r="E2682" t="s">
        <v>473</v>
      </c>
      <c r="F2682" t="s">
        <v>7343</v>
      </c>
      <c r="G2682" t="s">
        <v>7340</v>
      </c>
      <c r="I2682" t="s">
        <v>2810</v>
      </c>
    </row>
    <row r="2683" spans="1:9" x14ac:dyDescent="0.25">
      <c r="A2683" t="s">
        <v>758</v>
      </c>
      <c r="B2683" t="s">
        <v>530</v>
      </c>
      <c r="C2683" s="167">
        <v>126.47</v>
      </c>
      <c r="D2683" t="s">
        <v>671</v>
      </c>
      <c r="E2683" t="s">
        <v>473</v>
      </c>
      <c r="F2683" t="s">
        <v>7343</v>
      </c>
      <c r="G2683" t="s">
        <v>7340</v>
      </c>
      <c r="I2683" t="s">
        <v>2810</v>
      </c>
    </row>
    <row r="2684" spans="1:9" x14ac:dyDescent="0.25">
      <c r="A2684" t="s">
        <v>535</v>
      </c>
      <c r="B2684" t="s">
        <v>536</v>
      </c>
      <c r="C2684" s="167">
        <v>7.96</v>
      </c>
      <c r="D2684" t="s">
        <v>2853</v>
      </c>
      <c r="E2684" t="s">
        <v>471</v>
      </c>
      <c r="F2684" t="s">
        <v>7338</v>
      </c>
      <c r="G2684" t="s">
        <v>7340</v>
      </c>
      <c r="I2684" t="s">
        <v>2810</v>
      </c>
    </row>
    <row r="2685" spans="1:9" x14ac:dyDescent="0.25">
      <c r="A2685" t="s">
        <v>537</v>
      </c>
      <c r="B2685" t="s">
        <v>536</v>
      </c>
      <c r="C2685" s="167">
        <v>7.96</v>
      </c>
      <c r="D2685" t="s">
        <v>2853</v>
      </c>
      <c r="E2685" t="s">
        <v>473</v>
      </c>
      <c r="F2685" t="s">
        <v>7338</v>
      </c>
      <c r="G2685" t="s">
        <v>7340</v>
      </c>
      <c r="I2685" t="s">
        <v>2810</v>
      </c>
    </row>
    <row r="2686" spans="1:9" x14ac:dyDescent="0.25">
      <c r="A2686" t="s">
        <v>7616</v>
      </c>
      <c r="B2686" t="s">
        <v>540</v>
      </c>
      <c r="C2686" s="167">
        <v>102.38</v>
      </c>
      <c r="D2686" t="s">
        <v>59</v>
      </c>
      <c r="E2686" t="s">
        <v>471</v>
      </c>
      <c r="F2686" t="s">
        <v>7339</v>
      </c>
      <c r="G2686" t="s">
        <v>7340</v>
      </c>
      <c r="I2686" t="s">
        <v>2810</v>
      </c>
    </row>
    <row r="2687" spans="1:9" x14ac:dyDescent="0.25">
      <c r="A2687" t="s">
        <v>539</v>
      </c>
      <c r="B2687" t="s">
        <v>540</v>
      </c>
      <c r="C2687" s="167">
        <v>99.74</v>
      </c>
      <c r="D2687" t="s">
        <v>21</v>
      </c>
      <c r="E2687" t="s">
        <v>471</v>
      </c>
      <c r="F2687" t="s">
        <v>7339</v>
      </c>
      <c r="G2687" t="s">
        <v>7340</v>
      </c>
      <c r="I2687" t="s">
        <v>2810</v>
      </c>
    </row>
    <row r="2688" spans="1:9" x14ac:dyDescent="0.25">
      <c r="A2688" t="s">
        <v>661</v>
      </c>
      <c r="B2688" t="s">
        <v>540</v>
      </c>
      <c r="C2688" s="167">
        <v>107.64</v>
      </c>
      <c r="D2688" t="s">
        <v>563</v>
      </c>
      <c r="E2688" t="s">
        <v>471</v>
      </c>
      <c r="F2688" t="s">
        <v>7339</v>
      </c>
      <c r="G2688" t="s">
        <v>7340</v>
      </c>
      <c r="I2688" t="s">
        <v>2810</v>
      </c>
    </row>
    <row r="2689" spans="1:9" x14ac:dyDescent="0.25">
      <c r="A2689" t="s">
        <v>4717</v>
      </c>
      <c r="B2689" t="s">
        <v>540</v>
      </c>
      <c r="C2689" s="167">
        <v>102.24</v>
      </c>
      <c r="D2689" t="s">
        <v>4633</v>
      </c>
      <c r="E2689" t="s">
        <v>471</v>
      </c>
      <c r="F2689" t="s">
        <v>7339</v>
      </c>
      <c r="G2689" t="s">
        <v>7340</v>
      </c>
      <c r="I2689" t="s">
        <v>2810</v>
      </c>
    </row>
    <row r="2690" spans="1:9" x14ac:dyDescent="0.25">
      <c r="A2690" t="s">
        <v>759</v>
      </c>
      <c r="B2690" t="s">
        <v>540</v>
      </c>
      <c r="C2690" s="167">
        <v>107.64</v>
      </c>
      <c r="D2690" t="s">
        <v>671</v>
      </c>
      <c r="E2690" t="s">
        <v>471</v>
      </c>
      <c r="F2690" t="s">
        <v>7339</v>
      </c>
      <c r="G2690" t="s">
        <v>7340</v>
      </c>
      <c r="I2690" t="s">
        <v>2810</v>
      </c>
    </row>
    <row r="2691" spans="1:9" x14ac:dyDescent="0.25">
      <c r="A2691" t="s">
        <v>7617</v>
      </c>
      <c r="B2691" t="s">
        <v>540</v>
      </c>
      <c r="C2691" s="167">
        <v>102.24</v>
      </c>
      <c r="D2691" t="s">
        <v>59</v>
      </c>
      <c r="E2691" t="s">
        <v>473</v>
      </c>
      <c r="F2691" t="s">
        <v>7339</v>
      </c>
      <c r="G2691" t="s">
        <v>7340</v>
      </c>
      <c r="I2691" t="s">
        <v>2810</v>
      </c>
    </row>
    <row r="2692" spans="1:9" x14ac:dyDescent="0.25">
      <c r="A2692" t="s">
        <v>541</v>
      </c>
      <c r="B2692" t="s">
        <v>540</v>
      </c>
      <c r="C2692" s="167">
        <v>99.74</v>
      </c>
      <c r="D2692" t="s">
        <v>21</v>
      </c>
      <c r="E2692" t="s">
        <v>473</v>
      </c>
      <c r="F2692" t="s">
        <v>7339</v>
      </c>
      <c r="G2692" t="s">
        <v>7340</v>
      </c>
      <c r="I2692" t="s">
        <v>2810</v>
      </c>
    </row>
    <row r="2693" spans="1:9" x14ac:dyDescent="0.25">
      <c r="A2693" t="s">
        <v>662</v>
      </c>
      <c r="B2693" t="s">
        <v>540</v>
      </c>
      <c r="C2693" s="167">
        <v>107.64</v>
      </c>
      <c r="D2693" t="s">
        <v>563</v>
      </c>
      <c r="E2693" t="s">
        <v>473</v>
      </c>
      <c r="F2693" t="s">
        <v>7339</v>
      </c>
      <c r="G2693" t="s">
        <v>7340</v>
      </c>
      <c r="I2693" t="s">
        <v>2810</v>
      </c>
    </row>
    <row r="2694" spans="1:9" x14ac:dyDescent="0.25">
      <c r="A2694" t="s">
        <v>4737</v>
      </c>
      <c r="B2694" t="s">
        <v>540</v>
      </c>
      <c r="C2694" s="167">
        <v>102.24</v>
      </c>
      <c r="D2694" t="s">
        <v>4633</v>
      </c>
      <c r="E2694" t="s">
        <v>473</v>
      </c>
      <c r="F2694" t="s">
        <v>7339</v>
      </c>
      <c r="G2694" t="s">
        <v>7340</v>
      </c>
      <c r="I2694" t="s">
        <v>2810</v>
      </c>
    </row>
    <row r="2695" spans="1:9" x14ac:dyDescent="0.25">
      <c r="A2695" t="s">
        <v>760</v>
      </c>
      <c r="B2695" t="s">
        <v>540</v>
      </c>
      <c r="C2695" s="167">
        <v>107.64</v>
      </c>
      <c r="D2695" t="s">
        <v>671</v>
      </c>
      <c r="E2695" t="s">
        <v>473</v>
      </c>
      <c r="F2695" t="s">
        <v>7339</v>
      </c>
      <c r="G2695" t="s">
        <v>7340</v>
      </c>
      <c r="I2695" t="s">
        <v>2810</v>
      </c>
    </row>
    <row r="2696" spans="1:9" x14ac:dyDescent="0.25">
      <c r="A2696" t="s">
        <v>7618</v>
      </c>
      <c r="B2696" t="s">
        <v>543</v>
      </c>
      <c r="C2696" s="167">
        <v>115.66</v>
      </c>
      <c r="D2696" t="s">
        <v>59</v>
      </c>
      <c r="E2696" t="s">
        <v>471</v>
      </c>
      <c r="F2696" t="s">
        <v>7341</v>
      </c>
      <c r="G2696" t="s">
        <v>7340</v>
      </c>
      <c r="I2696" t="s">
        <v>2810</v>
      </c>
    </row>
    <row r="2697" spans="1:9" x14ac:dyDescent="0.25">
      <c r="A2697" t="s">
        <v>542</v>
      </c>
      <c r="B2697" t="s">
        <v>543</v>
      </c>
      <c r="C2697" s="167">
        <v>112.99</v>
      </c>
      <c r="D2697" t="s">
        <v>21</v>
      </c>
      <c r="E2697" t="s">
        <v>471</v>
      </c>
      <c r="F2697" t="s">
        <v>7341</v>
      </c>
      <c r="G2697" t="s">
        <v>7340</v>
      </c>
      <c r="I2697" t="s">
        <v>2810</v>
      </c>
    </row>
    <row r="2698" spans="1:9" x14ac:dyDescent="0.25">
      <c r="A2698" t="s">
        <v>663</v>
      </c>
      <c r="B2698" t="s">
        <v>543</v>
      </c>
      <c r="C2698" s="167">
        <v>120.91</v>
      </c>
      <c r="D2698" t="s">
        <v>563</v>
      </c>
      <c r="E2698" t="s">
        <v>471</v>
      </c>
      <c r="F2698" t="s">
        <v>7341</v>
      </c>
      <c r="G2698" t="s">
        <v>7340</v>
      </c>
      <c r="I2698" t="s">
        <v>2810</v>
      </c>
    </row>
    <row r="2699" spans="1:9" x14ac:dyDescent="0.25">
      <c r="A2699" t="s">
        <v>4718</v>
      </c>
      <c r="B2699" t="s">
        <v>543</v>
      </c>
      <c r="C2699" s="167">
        <v>115.66</v>
      </c>
      <c r="D2699" t="s">
        <v>4633</v>
      </c>
      <c r="E2699" t="s">
        <v>471</v>
      </c>
      <c r="F2699" t="s">
        <v>7341</v>
      </c>
      <c r="G2699" t="s">
        <v>7340</v>
      </c>
      <c r="I2699" t="s">
        <v>2810</v>
      </c>
    </row>
    <row r="2700" spans="1:9" x14ac:dyDescent="0.25">
      <c r="A2700" t="s">
        <v>761</v>
      </c>
      <c r="B2700" t="s">
        <v>543</v>
      </c>
      <c r="C2700" s="167">
        <v>120.91</v>
      </c>
      <c r="D2700" t="s">
        <v>671</v>
      </c>
      <c r="E2700" t="s">
        <v>471</v>
      </c>
      <c r="F2700" t="s">
        <v>7341</v>
      </c>
      <c r="G2700" t="s">
        <v>7340</v>
      </c>
      <c r="I2700" t="s">
        <v>2810</v>
      </c>
    </row>
    <row r="2701" spans="1:9" x14ac:dyDescent="0.25">
      <c r="A2701" t="s">
        <v>7619</v>
      </c>
      <c r="B2701" t="s">
        <v>543</v>
      </c>
      <c r="C2701" s="167">
        <v>115.66</v>
      </c>
      <c r="D2701" t="s">
        <v>59</v>
      </c>
      <c r="E2701" t="s">
        <v>473</v>
      </c>
      <c r="F2701" t="s">
        <v>7341</v>
      </c>
      <c r="G2701" t="s">
        <v>7340</v>
      </c>
      <c r="I2701" t="s">
        <v>2810</v>
      </c>
    </row>
    <row r="2702" spans="1:9" x14ac:dyDescent="0.25">
      <c r="A2702" t="s">
        <v>544</v>
      </c>
      <c r="B2702" t="s">
        <v>543</v>
      </c>
      <c r="C2702" s="167">
        <v>112.99</v>
      </c>
      <c r="D2702" t="s">
        <v>21</v>
      </c>
      <c r="E2702" t="s">
        <v>473</v>
      </c>
      <c r="F2702" t="s">
        <v>7341</v>
      </c>
      <c r="G2702" t="s">
        <v>7340</v>
      </c>
      <c r="I2702" t="s">
        <v>2810</v>
      </c>
    </row>
    <row r="2703" spans="1:9" x14ac:dyDescent="0.25">
      <c r="A2703" t="s">
        <v>664</v>
      </c>
      <c r="B2703" t="s">
        <v>543</v>
      </c>
      <c r="C2703" s="167">
        <v>120.91</v>
      </c>
      <c r="D2703" t="s">
        <v>563</v>
      </c>
      <c r="E2703" t="s">
        <v>473</v>
      </c>
      <c r="F2703" t="s">
        <v>7341</v>
      </c>
      <c r="G2703" t="s">
        <v>7340</v>
      </c>
      <c r="I2703" t="s">
        <v>2810</v>
      </c>
    </row>
    <row r="2704" spans="1:9" x14ac:dyDescent="0.25">
      <c r="A2704" t="s">
        <v>4738</v>
      </c>
      <c r="B2704" t="s">
        <v>543</v>
      </c>
      <c r="C2704" s="167">
        <v>115.66</v>
      </c>
      <c r="D2704" t="s">
        <v>4633</v>
      </c>
      <c r="E2704" t="s">
        <v>473</v>
      </c>
      <c r="F2704" t="s">
        <v>7341</v>
      </c>
      <c r="G2704" t="s">
        <v>7340</v>
      </c>
      <c r="I2704" t="s">
        <v>2810</v>
      </c>
    </row>
    <row r="2705" spans="1:9" x14ac:dyDescent="0.25">
      <c r="A2705" t="s">
        <v>762</v>
      </c>
      <c r="B2705" t="s">
        <v>543</v>
      </c>
      <c r="C2705" s="167">
        <v>120.91</v>
      </c>
      <c r="D2705" t="s">
        <v>671</v>
      </c>
      <c r="E2705" t="s">
        <v>473</v>
      </c>
      <c r="F2705" t="s">
        <v>7341</v>
      </c>
      <c r="G2705" t="s">
        <v>7340</v>
      </c>
      <c r="I2705" t="s">
        <v>2810</v>
      </c>
    </row>
    <row r="2706" spans="1:9" x14ac:dyDescent="0.25">
      <c r="A2706" t="s">
        <v>7620</v>
      </c>
      <c r="B2706" t="s">
        <v>546</v>
      </c>
      <c r="C2706" s="167">
        <v>128.91</v>
      </c>
      <c r="D2706" t="s">
        <v>59</v>
      </c>
      <c r="E2706" t="s">
        <v>471</v>
      </c>
      <c r="F2706" t="s">
        <v>7344</v>
      </c>
      <c r="G2706" t="s">
        <v>7340</v>
      </c>
      <c r="I2706" t="s">
        <v>2810</v>
      </c>
    </row>
    <row r="2707" spans="1:9" x14ac:dyDescent="0.25">
      <c r="A2707" t="s">
        <v>545</v>
      </c>
      <c r="B2707" t="s">
        <v>546</v>
      </c>
      <c r="C2707" s="167">
        <v>126.22</v>
      </c>
      <c r="D2707" t="s">
        <v>21</v>
      </c>
      <c r="E2707" t="s">
        <v>471</v>
      </c>
      <c r="F2707" t="s">
        <v>7344</v>
      </c>
      <c r="G2707" t="s">
        <v>7340</v>
      </c>
      <c r="I2707" t="s">
        <v>2810</v>
      </c>
    </row>
    <row r="2708" spans="1:9" x14ac:dyDescent="0.25">
      <c r="A2708" t="s">
        <v>665</v>
      </c>
      <c r="B2708" t="s">
        <v>546</v>
      </c>
      <c r="C2708" s="167">
        <v>134.13999999999999</v>
      </c>
      <c r="D2708" t="s">
        <v>563</v>
      </c>
      <c r="E2708" t="s">
        <v>471</v>
      </c>
      <c r="F2708" t="s">
        <v>7344</v>
      </c>
      <c r="G2708" t="s">
        <v>7340</v>
      </c>
      <c r="I2708" t="s">
        <v>2810</v>
      </c>
    </row>
    <row r="2709" spans="1:9" x14ac:dyDescent="0.25">
      <c r="A2709" t="s">
        <v>4719</v>
      </c>
      <c r="B2709" t="s">
        <v>546</v>
      </c>
      <c r="C2709" s="167">
        <v>128.91</v>
      </c>
      <c r="D2709" t="s">
        <v>4633</v>
      </c>
      <c r="E2709" t="s">
        <v>471</v>
      </c>
      <c r="F2709" t="s">
        <v>7344</v>
      </c>
      <c r="G2709" t="s">
        <v>7340</v>
      </c>
      <c r="I2709" t="s">
        <v>2810</v>
      </c>
    </row>
    <row r="2710" spans="1:9" x14ac:dyDescent="0.25">
      <c r="A2710" t="s">
        <v>763</v>
      </c>
      <c r="B2710" t="s">
        <v>546</v>
      </c>
      <c r="C2710" s="167">
        <v>134.13999999999999</v>
      </c>
      <c r="D2710" t="s">
        <v>671</v>
      </c>
      <c r="E2710" t="s">
        <v>471</v>
      </c>
      <c r="F2710" t="s">
        <v>7344</v>
      </c>
      <c r="G2710" t="s">
        <v>7340</v>
      </c>
      <c r="I2710" t="s">
        <v>2810</v>
      </c>
    </row>
    <row r="2711" spans="1:9" x14ac:dyDescent="0.25">
      <c r="A2711" t="s">
        <v>7621</v>
      </c>
      <c r="B2711" t="s">
        <v>546</v>
      </c>
      <c r="C2711" s="167">
        <v>128.91</v>
      </c>
      <c r="D2711" t="s">
        <v>59</v>
      </c>
      <c r="E2711" t="s">
        <v>473</v>
      </c>
      <c r="F2711" t="s">
        <v>7344</v>
      </c>
      <c r="G2711" t="s">
        <v>7340</v>
      </c>
      <c r="I2711" t="s">
        <v>2810</v>
      </c>
    </row>
    <row r="2712" spans="1:9" x14ac:dyDescent="0.25">
      <c r="A2712" t="s">
        <v>547</v>
      </c>
      <c r="B2712" t="s">
        <v>546</v>
      </c>
      <c r="C2712" s="167">
        <v>126.22</v>
      </c>
      <c r="D2712" t="s">
        <v>21</v>
      </c>
      <c r="E2712" t="s">
        <v>473</v>
      </c>
      <c r="F2712" t="s">
        <v>7344</v>
      </c>
      <c r="G2712" t="s">
        <v>7340</v>
      </c>
      <c r="I2712" t="s">
        <v>2810</v>
      </c>
    </row>
    <row r="2713" spans="1:9" x14ac:dyDescent="0.25">
      <c r="A2713" t="s">
        <v>666</v>
      </c>
      <c r="B2713" t="s">
        <v>546</v>
      </c>
      <c r="C2713" s="167">
        <v>134.13999999999999</v>
      </c>
      <c r="D2713" t="s">
        <v>563</v>
      </c>
      <c r="E2713" t="s">
        <v>473</v>
      </c>
      <c r="F2713" t="s">
        <v>7344</v>
      </c>
      <c r="G2713" t="s">
        <v>7340</v>
      </c>
      <c r="I2713" t="s">
        <v>2810</v>
      </c>
    </row>
    <row r="2714" spans="1:9" x14ac:dyDescent="0.25">
      <c r="A2714" t="s">
        <v>4739</v>
      </c>
      <c r="B2714" t="s">
        <v>546</v>
      </c>
      <c r="C2714" s="167">
        <v>128.91</v>
      </c>
      <c r="D2714" t="s">
        <v>4633</v>
      </c>
      <c r="E2714" t="s">
        <v>473</v>
      </c>
      <c r="F2714" t="s">
        <v>7344</v>
      </c>
      <c r="G2714" t="s">
        <v>7340</v>
      </c>
      <c r="I2714" t="s">
        <v>2810</v>
      </c>
    </row>
    <row r="2715" spans="1:9" x14ac:dyDescent="0.25">
      <c r="A2715" t="s">
        <v>764</v>
      </c>
      <c r="B2715" t="s">
        <v>546</v>
      </c>
      <c r="C2715" s="167">
        <v>134.13999999999999</v>
      </c>
      <c r="D2715" t="s">
        <v>671</v>
      </c>
      <c r="E2715" t="s">
        <v>473</v>
      </c>
      <c r="F2715" t="s">
        <v>7344</v>
      </c>
      <c r="G2715" t="s">
        <v>7340</v>
      </c>
      <c r="I2715" t="s">
        <v>2810</v>
      </c>
    </row>
    <row r="2716" spans="1:9" x14ac:dyDescent="0.25">
      <c r="A2716" t="s">
        <v>7622</v>
      </c>
      <c r="B2716" t="s">
        <v>549</v>
      </c>
      <c r="C2716" s="167">
        <v>142.16999999999999</v>
      </c>
      <c r="D2716" t="s">
        <v>59</v>
      </c>
      <c r="E2716" t="s">
        <v>471</v>
      </c>
      <c r="F2716" t="s">
        <v>7343</v>
      </c>
      <c r="G2716" t="s">
        <v>7340</v>
      </c>
      <c r="I2716" t="s">
        <v>2810</v>
      </c>
    </row>
    <row r="2717" spans="1:9" x14ac:dyDescent="0.25">
      <c r="A2717" t="s">
        <v>548</v>
      </c>
      <c r="B2717" t="s">
        <v>549</v>
      </c>
      <c r="C2717" s="167">
        <v>139.47999999999999</v>
      </c>
      <c r="D2717" t="s">
        <v>21</v>
      </c>
      <c r="E2717" t="s">
        <v>471</v>
      </c>
      <c r="F2717" t="s">
        <v>7343</v>
      </c>
      <c r="G2717" t="s">
        <v>7340</v>
      </c>
      <c r="I2717" t="s">
        <v>2810</v>
      </c>
    </row>
    <row r="2718" spans="1:9" x14ac:dyDescent="0.25">
      <c r="A2718" t="s">
        <v>667</v>
      </c>
      <c r="B2718" t="s">
        <v>549</v>
      </c>
      <c r="C2718" s="167">
        <v>147.4</v>
      </c>
      <c r="D2718" t="s">
        <v>563</v>
      </c>
      <c r="E2718" t="s">
        <v>471</v>
      </c>
      <c r="F2718" t="s">
        <v>7343</v>
      </c>
      <c r="G2718" t="s">
        <v>7340</v>
      </c>
      <c r="I2718" t="s">
        <v>2810</v>
      </c>
    </row>
    <row r="2719" spans="1:9" x14ac:dyDescent="0.25">
      <c r="A2719" t="s">
        <v>4720</v>
      </c>
      <c r="B2719" t="s">
        <v>549</v>
      </c>
      <c r="C2719" s="167">
        <v>142.16999999999999</v>
      </c>
      <c r="D2719" t="s">
        <v>4633</v>
      </c>
      <c r="E2719" t="s">
        <v>471</v>
      </c>
      <c r="F2719" t="s">
        <v>7343</v>
      </c>
      <c r="G2719" t="s">
        <v>7340</v>
      </c>
      <c r="I2719" t="s">
        <v>2810</v>
      </c>
    </row>
    <row r="2720" spans="1:9" x14ac:dyDescent="0.25">
      <c r="A2720" t="s">
        <v>765</v>
      </c>
      <c r="B2720" t="s">
        <v>549</v>
      </c>
      <c r="C2720" s="167">
        <v>147.4</v>
      </c>
      <c r="D2720" t="s">
        <v>671</v>
      </c>
      <c r="E2720" t="s">
        <v>471</v>
      </c>
      <c r="F2720" t="s">
        <v>7343</v>
      </c>
      <c r="G2720" t="s">
        <v>7340</v>
      </c>
      <c r="I2720" t="s">
        <v>2810</v>
      </c>
    </row>
    <row r="2721" spans="1:9" x14ac:dyDescent="0.25">
      <c r="A2721" t="s">
        <v>7623</v>
      </c>
      <c r="B2721" t="s">
        <v>549</v>
      </c>
      <c r="C2721" s="167">
        <v>142.16999999999999</v>
      </c>
      <c r="D2721" t="s">
        <v>59</v>
      </c>
      <c r="E2721" t="s">
        <v>473</v>
      </c>
      <c r="F2721" t="s">
        <v>7343</v>
      </c>
      <c r="G2721" t="s">
        <v>7340</v>
      </c>
      <c r="I2721" t="s">
        <v>2810</v>
      </c>
    </row>
    <row r="2722" spans="1:9" x14ac:dyDescent="0.25">
      <c r="A2722" t="s">
        <v>550</v>
      </c>
      <c r="B2722" t="s">
        <v>549</v>
      </c>
      <c r="C2722" s="167">
        <v>139.47999999999999</v>
      </c>
      <c r="D2722" t="s">
        <v>21</v>
      </c>
      <c r="E2722" t="s">
        <v>473</v>
      </c>
      <c r="F2722" t="s">
        <v>7343</v>
      </c>
      <c r="G2722" t="s">
        <v>7340</v>
      </c>
      <c r="I2722" t="s">
        <v>2810</v>
      </c>
    </row>
    <row r="2723" spans="1:9" x14ac:dyDescent="0.25">
      <c r="A2723" t="s">
        <v>668</v>
      </c>
      <c r="B2723" t="s">
        <v>549</v>
      </c>
      <c r="C2723" s="167">
        <v>147.4</v>
      </c>
      <c r="D2723" t="s">
        <v>563</v>
      </c>
      <c r="E2723" t="s">
        <v>473</v>
      </c>
      <c r="F2723" t="s">
        <v>7343</v>
      </c>
      <c r="G2723" t="s">
        <v>7340</v>
      </c>
      <c r="I2723" t="s">
        <v>2810</v>
      </c>
    </row>
    <row r="2724" spans="1:9" x14ac:dyDescent="0.25">
      <c r="A2724" t="s">
        <v>4740</v>
      </c>
      <c r="B2724" t="s">
        <v>549</v>
      </c>
      <c r="C2724" s="167">
        <v>142.16999999999999</v>
      </c>
      <c r="D2724" t="s">
        <v>4633</v>
      </c>
      <c r="E2724" t="s">
        <v>473</v>
      </c>
      <c r="F2724" t="s">
        <v>7343</v>
      </c>
      <c r="G2724" t="s">
        <v>7340</v>
      </c>
      <c r="I2724" t="s">
        <v>2810</v>
      </c>
    </row>
    <row r="2725" spans="1:9" x14ac:dyDescent="0.25">
      <c r="A2725" t="s">
        <v>766</v>
      </c>
      <c r="B2725" t="s">
        <v>549</v>
      </c>
      <c r="C2725" s="167">
        <v>147.4</v>
      </c>
      <c r="D2725" t="s">
        <v>671</v>
      </c>
      <c r="E2725" t="s">
        <v>473</v>
      </c>
      <c r="F2725" t="s">
        <v>7343</v>
      </c>
      <c r="G2725" t="s">
        <v>7340</v>
      </c>
      <c r="I2725" t="s">
        <v>2810</v>
      </c>
    </row>
    <row r="2726" spans="1:9" x14ac:dyDescent="0.25">
      <c r="A2726" t="s">
        <v>7624</v>
      </c>
      <c r="B2726" t="s">
        <v>769</v>
      </c>
      <c r="C2726" s="167">
        <v>110.86</v>
      </c>
      <c r="D2726" t="s">
        <v>59</v>
      </c>
      <c r="E2726" t="s">
        <v>471</v>
      </c>
      <c r="F2726" t="s">
        <v>7339</v>
      </c>
      <c r="G2726" t="s">
        <v>7340</v>
      </c>
      <c r="I2726" t="s">
        <v>2810</v>
      </c>
    </row>
    <row r="2727" spans="1:9" x14ac:dyDescent="0.25">
      <c r="A2727" t="s">
        <v>768</v>
      </c>
      <c r="B2727" t="s">
        <v>769</v>
      </c>
      <c r="C2727" s="167">
        <v>108.29</v>
      </c>
      <c r="D2727" t="s">
        <v>21</v>
      </c>
      <c r="E2727" t="s">
        <v>471</v>
      </c>
      <c r="F2727" t="s">
        <v>7339</v>
      </c>
      <c r="G2727" t="s">
        <v>7340</v>
      </c>
      <c r="I2727" t="s">
        <v>2810</v>
      </c>
    </row>
    <row r="2728" spans="1:9" x14ac:dyDescent="0.25">
      <c r="A2728" t="s">
        <v>780</v>
      </c>
      <c r="B2728" t="s">
        <v>769</v>
      </c>
      <c r="C2728" s="167">
        <v>115.95</v>
      </c>
      <c r="D2728" t="s">
        <v>563</v>
      </c>
      <c r="E2728" t="s">
        <v>471</v>
      </c>
      <c r="F2728" t="s">
        <v>7339</v>
      </c>
      <c r="G2728" t="s">
        <v>7340</v>
      </c>
      <c r="I2728" t="s">
        <v>2810</v>
      </c>
    </row>
    <row r="2729" spans="1:9" x14ac:dyDescent="0.25">
      <c r="A2729" t="s">
        <v>4721</v>
      </c>
      <c r="B2729" t="s">
        <v>769</v>
      </c>
      <c r="C2729" s="167">
        <v>110.86</v>
      </c>
      <c r="D2729" t="s">
        <v>4633</v>
      </c>
      <c r="E2729" t="s">
        <v>471</v>
      </c>
      <c r="F2729" t="s">
        <v>7339</v>
      </c>
      <c r="G2729" t="s">
        <v>7340</v>
      </c>
      <c r="I2729" t="s">
        <v>2810</v>
      </c>
    </row>
    <row r="2730" spans="1:9" x14ac:dyDescent="0.25">
      <c r="A2730" t="s">
        <v>788</v>
      </c>
      <c r="B2730" t="s">
        <v>769</v>
      </c>
      <c r="C2730" s="167">
        <v>115.95</v>
      </c>
      <c r="D2730" t="s">
        <v>671</v>
      </c>
      <c r="E2730" t="s">
        <v>471</v>
      </c>
      <c r="F2730" t="s">
        <v>7339</v>
      </c>
      <c r="G2730" t="s">
        <v>7340</v>
      </c>
      <c r="I2730" t="s">
        <v>2810</v>
      </c>
    </row>
    <row r="2731" spans="1:9" x14ac:dyDescent="0.25">
      <c r="A2731" t="s">
        <v>7625</v>
      </c>
      <c r="B2731" t="s">
        <v>769</v>
      </c>
      <c r="C2731" s="167">
        <v>110.86</v>
      </c>
      <c r="D2731" t="s">
        <v>59</v>
      </c>
      <c r="E2731" t="s">
        <v>473</v>
      </c>
      <c r="F2731" t="s">
        <v>7339</v>
      </c>
      <c r="G2731" t="s">
        <v>7340</v>
      </c>
      <c r="I2731" t="s">
        <v>2810</v>
      </c>
    </row>
    <row r="2732" spans="1:9" x14ac:dyDescent="0.25">
      <c r="A2732" t="s">
        <v>770</v>
      </c>
      <c r="B2732" t="s">
        <v>769</v>
      </c>
      <c r="C2732" s="167">
        <v>108.29</v>
      </c>
      <c r="D2732" t="s">
        <v>21</v>
      </c>
      <c r="E2732" t="s">
        <v>473</v>
      </c>
      <c r="F2732" t="s">
        <v>7339</v>
      </c>
      <c r="G2732" t="s">
        <v>7340</v>
      </c>
      <c r="I2732" t="s">
        <v>2810</v>
      </c>
    </row>
    <row r="2733" spans="1:9" x14ac:dyDescent="0.25">
      <c r="A2733" t="s">
        <v>781</v>
      </c>
      <c r="B2733" t="s">
        <v>769</v>
      </c>
      <c r="C2733" s="167">
        <v>115.95</v>
      </c>
      <c r="D2733" t="s">
        <v>563</v>
      </c>
      <c r="E2733" t="s">
        <v>473</v>
      </c>
      <c r="F2733" t="s">
        <v>7339</v>
      </c>
      <c r="G2733" t="s">
        <v>7340</v>
      </c>
      <c r="I2733" t="s">
        <v>2810</v>
      </c>
    </row>
    <row r="2734" spans="1:9" x14ac:dyDescent="0.25">
      <c r="A2734" t="s">
        <v>4741</v>
      </c>
      <c r="B2734" t="s">
        <v>769</v>
      </c>
      <c r="C2734" s="167">
        <v>110.86</v>
      </c>
      <c r="D2734" t="s">
        <v>4633</v>
      </c>
      <c r="E2734" t="s">
        <v>473</v>
      </c>
      <c r="F2734" t="s">
        <v>7339</v>
      </c>
      <c r="G2734" t="s">
        <v>7340</v>
      </c>
      <c r="I2734" t="s">
        <v>2810</v>
      </c>
    </row>
    <row r="2735" spans="1:9" x14ac:dyDescent="0.25">
      <c r="A2735" t="s">
        <v>789</v>
      </c>
      <c r="B2735" t="s">
        <v>769</v>
      </c>
      <c r="C2735" s="167">
        <v>115.95</v>
      </c>
      <c r="D2735" t="s">
        <v>671</v>
      </c>
      <c r="E2735" t="s">
        <v>473</v>
      </c>
      <c r="F2735" t="s">
        <v>7339</v>
      </c>
      <c r="G2735" t="s">
        <v>7340</v>
      </c>
      <c r="I2735" t="s">
        <v>2810</v>
      </c>
    </row>
    <row r="2736" spans="1:9" x14ac:dyDescent="0.25">
      <c r="A2736" t="s">
        <v>7626</v>
      </c>
      <c r="B2736" t="s">
        <v>772</v>
      </c>
      <c r="C2736" s="167">
        <v>146.63</v>
      </c>
      <c r="D2736" t="s">
        <v>59</v>
      </c>
      <c r="E2736" t="s">
        <v>471</v>
      </c>
      <c r="F2736" t="s">
        <v>7341</v>
      </c>
      <c r="G2736" t="s">
        <v>7340</v>
      </c>
      <c r="I2736" t="s">
        <v>2810</v>
      </c>
    </row>
    <row r="2737" spans="1:9" x14ac:dyDescent="0.25">
      <c r="A2737" t="s">
        <v>771</v>
      </c>
      <c r="B2737" t="s">
        <v>772</v>
      </c>
      <c r="C2737" s="167">
        <v>144.05000000000001</v>
      </c>
      <c r="D2737" t="s">
        <v>21</v>
      </c>
      <c r="E2737" t="s">
        <v>471</v>
      </c>
      <c r="F2737" t="s">
        <v>7341</v>
      </c>
      <c r="G2737" t="s">
        <v>7340</v>
      </c>
      <c r="I2737" t="s">
        <v>2810</v>
      </c>
    </row>
    <row r="2738" spans="1:9" x14ac:dyDescent="0.25">
      <c r="A2738" t="s">
        <v>782</v>
      </c>
      <c r="B2738" t="s">
        <v>772</v>
      </c>
      <c r="C2738" s="167">
        <v>151.75</v>
      </c>
      <c r="D2738" t="s">
        <v>563</v>
      </c>
      <c r="E2738" t="s">
        <v>471</v>
      </c>
      <c r="F2738" t="s">
        <v>7341</v>
      </c>
      <c r="G2738" t="s">
        <v>7340</v>
      </c>
      <c r="I2738" t="s">
        <v>2810</v>
      </c>
    </row>
    <row r="2739" spans="1:9" x14ac:dyDescent="0.25">
      <c r="A2739" t="s">
        <v>4722</v>
      </c>
      <c r="B2739" t="s">
        <v>772</v>
      </c>
      <c r="C2739" s="167">
        <v>146.63</v>
      </c>
      <c r="D2739" t="s">
        <v>4633</v>
      </c>
      <c r="E2739" t="s">
        <v>471</v>
      </c>
      <c r="F2739" t="s">
        <v>7341</v>
      </c>
      <c r="G2739" t="s">
        <v>7340</v>
      </c>
      <c r="I2739" t="s">
        <v>2810</v>
      </c>
    </row>
    <row r="2740" spans="1:9" x14ac:dyDescent="0.25">
      <c r="A2740" t="s">
        <v>790</v>
      </c>
      <c r="B2740" t="s">
        <v>772</v>
      </c>
      <c r="C2740" s="167">
        <v>151.75</v>
      </c>
      <c r="D2740" t="s">
        <v>671</v>
      </c>
      <c r="E2740" t="s">
        <v>471</v>
      </c>
      <c r="F2740" t="s">
        <v>7341</v>
      </c>
      <c r="G2740" t="s">
        <v>7340</v>
      </c>
      <c r="I2740" t="s">
        <v>2810</v>
      </c>
    </row>
    <row r="2741" spans="1:9" x14ac:dyDescent="0.25">
      <c r="A2741" t="s">
        <v>7627</v>
      </c>
      <c r="B2741" t="s">
        <v>772</v>
      </c>
      <c r="C2741" s="167">
        <v>146.63</v>
      </c>
      <c r="D2741" t="s">
        <v>59</v>
      </c>
      <c r="E2741" t="s">
        <v>473</v>
      </c>
      <c r="F2741" t="s">
        <v>7341</v>
      </c>
      <c r="G2741" t="s">
        <v>7340</v>
      </c>
      <c r="I2741" t="s">
        <v>2810</v>
      </c>
    </row>
    <row r="2742" spans="1:9" x14ac:dyDescent="0.25">
      <c r="A2742" t="s">
        <v>773</v>
      </c>
      <c r="B2742" t="s">
        <v>772</v>
      </c>
      <c r="C2742" s="167">
        <v>144.05000000000001</v>
      </c>
      <c r="D2742" t="s">
        <v>21</v>
      </c>
      <c r="E2742" t="s">
        <v>473</v>
      </c>
      <c r="F2742" t="s">
        <v>7341</v>
      </c>
      <c r="G2742" t="s">
        <v>7340</v>
      </c>
      <c r="I2742" t="s">
        <v>2810</v>
      </c>
    </row>
    <row r="2743" spans="1:9" x14ac:dyDescent="0.25">
      <c r="A2743" t="s">
        <v>783</v>
      </c>
      <c r="B2743" t="s">
        <v>772</v>
      </c>
      <c r="C2743" s="167">
        <v>151.75</v>
      </c>
      <c r="D2743" t="s">
        <v>563</v>
      </c>
      <c r="E2743" t="s">
        <v>473</v>
      </c>
      <c r="F2743" t="s">
        <v>7341</v>
      </c>
      <c r="G2743" t="s">
        <v>7340</v>
      </c>
      <c r="I2743" t="s">
        <v>2810</v>
      </c>
    </row>
    <row r="2744" spans="1:9" x14ac:dyDescent="0.25">
      <c r="A2744" t="s">
        <v>4742</v>
      </c>
      <c r="B2744" t="s">
        <v>772</v>
      </c>
      <c r="C2744" s="167">
        <v>146.63</v>
      </c>
      <c r="D2744" t="s">
        <v>4633</v>
      </c>
      <c r="E2744" t="s">
        <v>473</v>
      </c>
      <c r="F2744" t="s">
        <v>7341</v>
      </c>
      <c r="G2744" t="s">
        <v>7340</v>
      </c>
      <c r="I2744" t="s">
        <v>2810</v>
      </c>
    </row>
    <row r="2745" spans="1:9" x14ac:dyDescent="0.25">
      <c r="A2745" t="s">
        <v>791</v>
      </c>
      <c r="B2745" t="s">
        <v>772</v>
      </c>
      <c r="C2745" s="167">
        <v>151.75</v>
      </c>
      <c r="D2745" t="s">
        <v>671</v>
      </c>
      <c r="E2745" t="s">
        <v>473</v>
      </c>
      <c r="F2745" t="s">
        <v>7341</v>
      </c>
      <c r="G2745" t="s">
        <v>7340</v>
      </c>
      <c r="I2745" t="s">
        <v>2810</v>
      </c>
    </row>
    <row r="2746" spans="1:9" x14ac:dyDescent="0.25">
      <c r="A2746" t="s">
        <v>7628</v>
      </c>
      <c r="B2746" t="s">
        <v>775</v>
      </c>
      <c r="C2746" s="167">
        <v>150.56</v>
      </c>
      <c r="D2746" t="s">
        <v>59</v>
      </c>
      <c r="E2746" t="s">
        <v>471</v>
      </c>
      <c r="F2746" t="s">
        <v>7344</v>
      </c>
      <c r="G2746" t="s">
        <v>7340</v>
      </c>
      <c r="I2746" t="s">
        <v>2810</v>
      </c>
    </row>
    <row r="2747" spans="1:9" x14ac:dyDescent="0.25">
      <c r="A2747" t="s">
        <v>774</v>
      </c>
      <c r="B2747" t="s">
        <v>775</v>
      </c>
      <c r="C2747" s="167">
        <v>147.96</v>
      </c>
      <c r="D2747" t="s">
        <v>21</v>
      </c>
      <c r="E2747" t="s">
        <v>471</v>
      </c>
      <c r="F2747" t="s">
        <v>7344</v>
      </c>
      <c r="G2747" t="s">
        <v>7340</v>
      </c>
      <c r="I2747" t="s">
        <v>2810</v>
      </c>
    </row>
    <row r="2748" spans="1:9" x14ac:dyDescent="0.25">
      <c r="A2748" t="s">
        <v>784</v>
      </c>
      <c r="B2748" t="s">
        <v>775</v>
      </c>
      <c r="C2748" s="167">
        <v>155.65</v>
      </c>
      <c r="D2748" t="s">
        <v>563</v>
      </c>
      <c r="E2748" t="s">
        <v>471</v>
      </c>
      <c r="F2748" t="s">
        <v>7344</v>
      </c>
      <c r="G2748" t="s">
        <v>7340</v>
      </c>
      <c r="I2748" t="s">
        <v>2810</v>
      </c>
    </row>
    <row r="2749" spans="1:9" x14ac:dyDescent="0.25">
      <c r="A2749" t="s">
        <v>4723</v>
      </c>
      <c r="B2749" t="s">
        <v>775</v>
      </c>
      <c r="C2749" s="167">
        <v>150.56</v>
      </c>
      <c r="D2749" t="s">
        <v>4633</v>
      </c>
      <c r="E2749" t="s">
        <v>471</v>
      </c>
      <c r="F2749" t="s">
        <v>7344</v>
      </c>
      <c r="G2749" t="s">
        <v>7340</v>
      </c>
      <c r="I2749" t="s">
        <v>2810</v>
      </c>
    </row>
    <row r="2750" spans="1:9" x14ac:dyDescent="0.25">
      <c r="A2750" t="s">
        <v>792</v>
      </c>
      <c r="B2750" t="s">
        <v>775</v>
      </c>
      <c r="C2750" s="167">
        <v>155.65</v>
      </c>
      <c r="D2750" t="s">
        <v>671</v>
      </c>
      <c r="E2750" t="s">
        <v>471</v>
      </c>
      <c r="F2750" t="s">
        <v>7344</v>
      </c>
      <c r="G2750" t="s">
        <v>7340</v>
      </c>
      <c r="I2750" t="s">
        <v>2810</v>
      </c>
    </row>
    <row r="2751" spans="1:9" x14ac:dyDescent="0.25">
      <c r="A2751" t="s">
        <v>7629</v>
      </c>
      <c r="B2751" t="s">
        <v>775</v>
      </c>
      <c r="C2751" s="167">
        <v>150.56</v>
      </c>
      <c r="D2751" t="s">
        <v>59</v>
      </c>
      <c r="E2751" t="s">
        <v>473</v>
      </c>
      <c r="F2751" t="s">
        <v>7344</v>
      </c>
      <c r="G2751" t="s">
        <v>7340</v>
      </c>
      <c r="I2751" t="s">
        <v>2810</v>
      </c>
    </row>
    <row r="2752" spans="1:9" x14ac:dyDescent="0.25">
      <c r="A2752" t="s">
        <v>776</v>
      </c>
      <c r="B2752" t="s">
        <v>775</v>
      </c>
      <c r="C2752" s="167">
        <v>147.96</v>
      </c>
      <c r="D2752" t="s">
        <v>21</v>
      </c>
      <c r="E2752" t="s">
        <v>473</v>
      </c>
      <c r="F2752" t="s">
        <v>7344</v>
      </c>
      <c r="G2752" t="s">
        <v>7340</v>
      </c>
      <c r="I2752" t="s">
        <v>2810</v>
      </c>
    </row>
    <row r="2753" spans="1:9" x14ac:dyDescent="0.25">
      <c r="A2753" t="s">
        <v>785</v>
      </c>
      <c r="B2753" t="s">
        <v>775</v>
      </c>
      <c r="C2753" s="167">
        <v>155.65</v>
      </c>
      <c r="D2753" t="s">
        <v>563</v>
      </c>
      <c r="E2753" t="s">
        <v>473</v>
      </c>
      <c r="F2753" t="s">
        <v>7344</v>
      </c>
      <c r="G2753" t="s">
        <v>7340</v>
      </c>
      <c r="I2753" t="s">
        <v>2810</v>
      </c>
    </row>
    <row r="2754" spans="1:9" x14ac:dyDescent="0.25">
      <c r="A2754" t="s">
        <v>4743</v>
      </c>
      <c r="B2754" t="s">
        <v>775</v>
      </c>
      <c r="C2754" s="167">
        <v>150.56</v>
      </c>
      <c r="D2754" t="s">
        <v>4633</v>
      </c>
      <c r="E2754" t="s">
        <v>473</v>
      </c>
      <c r="F2754" t="s">
        <v>7344</v>
      </c>
      <c r="G2754" t="s">
        <v>7340</v>
      </c>
      <c r="I2754" t="s">
        <v>2810</v>
      </c>
    </row>
    <row r="2755" spans="1:9" x14ac:dyDescent="0.25">
      <c r="A2755" t="s">
        <v>793</v>
      </c>
      <c r="B2755" t="s">
        <v>775</v>
      </c>
      <c r="C2755" s="167">
        <v>155.65</v>
      </c>
      <c r="D2755" t="s">
        <v>671</v>
      </c>
      <c r="E2755" t="s">
        <v>473</v>
      </c>
      <c r="F2755" t="s">
        <v>7344</v>
      </c>
      <c r="G2755" t="s">
        <v>7340</v>
      </c>
      <c r="I2755" t="s">
        <v>2810</v>
      </c>
    </row>
    <row r="2756" spans="1:9" x14ac:dyDescent="0.25">
      <c r="A2756" t="s">
        <v>7630</v>
      </c>
      <c r="B2756" t="s">
        <v>778</v>
      </c>
      <c r="C2756" s="167">
        <v>154.51</v>
      </c>
      <c r="D2756" t="s">
        <v>59</v>
      </c>
      <c r="E2756" t="s">
        <v>471</v>
      </c>
      <c r="F2756" t="s">
        <v>7343</v>
      </c>
      <c r="G2756" t="s">
        <v>7340</v>
      </c>
      <c r="I2756" t="s">
        <v>2810</v>
      </c>
    </row>
    <row r="2757" spans="1:9" x14ac:dyDescent="0.25">
      <c r="A2757" t="s">
        <v>777</v>
      </c>
      <c r="B2757" t="s">
        <v>778</v>
      </c>
      <c r="C2757" s="167">
        <v>151.88</v>
      </c>
      <c r="D2757" t="s">
        <v>21</v>
      </c>
      <c r="E2757" t="s">
        <v>471</v>
      </c>
      <c r="F2757" t="s">
        <v>7343</v>
      </c>
      <c r="G2757" t="s">
        <v>7340</v>
      </c>
      <c r="I2757" t="s">
        <v>2810</v>
      </c>
    </row>
    <row r="2758" spans="1:9" x14ac:dyDescent="0.25">
      <c r="A2758" t="s">
        <v>786</v>
      </c>
      <c r="B2758" t="s">
        <v>778</v>
      </c>
      <c r="C2758" s="167">
        <v>159.59</v>
      </c>
      <c r="D2758" t="s">
        <v>563</v>
      </c>
      <c r="E2758" t="s">
        <v>471</v>
      </c>
      <c r="F2758" t="s">
        <v>7343</v>
      </c>
      <c r="G2758" t="s">
        <v>7340</v>
      </c>
      <c r="I2758" t="s">
        <v>2810</v>
      </c>
    </row>
    <row r="2759" spans="1:9" x14ac:dyDescent="0.25">
      <c r="A2759" t="s">
        <v>4724</v>
      </c>
      <c r="B2759" t="s">
        <v>778</v>
      </c>
      <c r="C2759" s="167">
        <v>154.51</v>
      </c>
      <c r="D2759" t="s">
        <v>4633</v>
      </c>
      <c r="E2759" t="s">
        <v>471</v>
      </c>
      <c r="F2759" t="s">
        <v>7343</v>
      </c>
      <c r="G2759" t="s">
        <v>7340</v>
      </c>
      <c r="I2759" t="s">
        <v>2810</v>
      </c>
    </row>
    <row r="2760" spans="1:9" x14ac:dyDescent="0.25">
      <c r="A2760" t="s">
        <v>794</v>
      </c>
      <c r="B2760" t="s">
        <v>778</v>
      </c>
      <c r="C2760" s="167">
        <v>159.59</v>
      </c>
      <c r="D2760" t="s">
        <v>671</v>
      </c>
      <c r="E2760" t="s">
        <v>471</v>
      </c>
      <c r="F2760" t="s">
        <v>7343</v>
      </c>
      <c r="G2760" t="s">
        <v>7340</v>
      </c>
      <c r="I2760" t="s">
        <v>2810</v>
      </c>
    </row>
    <row r="2761" spans="1:9" x14ac:dyDescent="0.25">
      <c r="A2761" t="s">
        <v>7631</v>
      </c>
      <c r="B2761" t="s">
        <v>778</v>
      </c>
      <c r="C2761" s="167">
        <v>154.51</v>
      </c>
      <c r="D2761" t="s">
        <v>59</v>
      </c>
      <c r="E2761" t="s">
        <v>473</v>
      </c>
      <c r="F2761" t="s">
        <v>7343</v>
      </c>
      <c r="G2761" t="s">
        <v>7340</v>
      </c>
      <c r="I2761" t="s">
        <v>2810</v>
      </c>
    </row>
    <row r="2762" spans="1:9" x14ac:dyDescent="0.25">
      <c r="A2762" t="s">
        <v>779</v>
      </c>
      <c r="B2762" t="s">
        <v>778</v>
      </c>
      <c r="C2762" s="167">
        <v>151.88</v>
      </c>
      <c r="D2762" t="s">
        <v>21</v>
      </c>
      <c r="E2762" t="s">
        <v>473</v>
      </c>
      <c r="F2762" t="s">
        <v>7343</v>
      </c>
      <c r="G2762" t="s">
        <v>7340</v>
      </c>
      <c r="I2762" t="s">
        <v>2810</v>
      </c>
    </row>
    <row r="2763" spans="1:9" x14ac:dyDescent="0.25">
      <c r="A2763" t="s">
        <v>787</v>
      </c>
      <c r="B2763" t="s">
        <v>778</v>
      </c>
      <c r="C2763" s="167">
        <v>159.59</v>
      </c>
      <c r="D2763" t="s">
        <v>563</v>
      </c>
      <c r="E2763" t="s">
        <v>473</v>
      </c>
      <c r="F2763" t="s">
        <v>7343</v>
      </c>
      <c r="G2763" t="s">
        <v>7340</v>
      </c>
      <c r="I2763" t="s">
        <v>2810</v>
      </c>
    </row>
    <row r="2764" spans="1:9" x14ac:dyDescent="0.25">
      <c r="A2764" t="s">
        <v>4744</v>
      </c>
      <c r="B2764" t="s">
        <v>778</v>
      </c>
      <c r="C2764" s="167">
        <v>154.51</v>
      </c>
      <c r="D2764" t="s">
        <v>4633</v>
      </c>
      <c r="E2764" t="s">
        <v>473</v>
      </c>
      <c r="F2764" t="s">
        <v>7343</v>
      </c>
      <c r="G2764" t="s">
        <v>7340</v>
      </c>
      <c r="I2764" t="s">
        <v>2810</v>
      </c>
    </row>
    <row r="2765" spans="1:9" x14ac:dyDescent="0.25">
      <c r="A2765" t="s">
        <v>795</v>
      </c>
      <c r="B2765" t="s">
        <v>778</v>
      </c>
      <c r="C2765" s="167">
        <v>159.59</v>
      </c>
      <c r="D2765" t="s">
        <v>671</v>
      </c>
      <c r="E2765" t="s">
        <v>473</v>
      </c>
      <c r="F2765" t="s">
        <v>7343</v>
      </c>
      <c r="G2765" t="s">
        <v>7340</v>
      </c>
      <c r="I2765" t="s">
        <v>2810</v>
      </c>
    </row>
    <row r="2766" spans="1:9" x14ac:dyDescent="0.25">
      <c r="A2766" t="s">
        <v>7632</v>
      </c>
      <c r="B2766" t="s">
        <v>798</v>
      </c>
      <c r="C2766" s="167">
        <v>103.39</v>
      </c>
      <c r="D2766" t="s">
        <v>59</v>
      </c>
      <c r="E2766" t="s">
        <v>471</v>
      </c>
      <c r="F2766" t="s">
        <v>7339</v>
      </c>
      <c r="G2766" t="s">
        <v>7340</v>
      </c>
      <c r="I2766" t="s">
        <v>2810</v>
      </c>
    </row>
    <row r="2767" spans="1:9" x14ac:dyDescent="0.25">
      <c r="A2767" t="s">
        <v>797</v>
      </c>
      <c r="B2767" t="s">
        <v>798</v>
      </c>
      <c r="C2767" s="167">
        <v>100.63</v>
      </c>
      <c r="D2767" t="s">
        <v>21</v>
      </c>
      <c r="E2767" t="s">
        <v>471</v>
      </c>
      <c r="F2767" t="s">
        <v>7339</v>
      </c>
      <c r="G2767" t="s">
        <v>7340</v>
      </c>
      <c r="I2767" t="s">
        <v>2810</v>
      </c>
    </row>
    <row r="2768" spans="1:9" x14ac:dyDescent="0.25">
      <c r="A2768" t="s">
        <v>809</v>
      </c>
      <c r="B2768" t="s">
        <v>798</v>
      </c>
      <c r="C2768" s="167">
        <v>108.82</v>
      </c>
      <c r="D2768" t="s">
        <v>563</v>
      </c>
      <c r="E2768" t="s">
        <v>471</v>
      </c>
      <c r="F2768" t="s">
        <v>7339</v>
      </c>
      <c r="G2768" t="s">
        <v>7340</v>
      </c>
      <c r="I2768" t="s">
        <v>2810</v>
      </c>
    </row>
    <row r="2769" spans="1:9" x14ac:dyDescent="0.25">
      <c r="A2769" t="s">
        <v>4725</v>
      </c>
      <c r="B2769" t="s">
        <v>798</v>
      </c>
      <c r="C2769" s="167">
        <v>103.39</v>
      </c>
      <c r="D2769" t="s">
        <v>4633</v>
      </c>
      <c r="E2769" t="s">
        <v>471</v>
      </c>
      <c r="F2769" t="s">
        <v>7339</v>
      </c>
      <c r="G2769" t="s">
        <v>7340</v>
      </c>
      <c r="I2769" t="s">
        <v>2810</v>
      </c>
    </row>
    <row r="2770" spans="1:9" x14ac:dyDescent="0.25">
      <c r="A2770" t="s">
        <v>817</v>
      </c>
      <c r="B2770" t="s">
        <v>798</v>
      </c>
      <c r="C2770" s="167">
        <v>108.82</v>
      </c>
      <c r="D2770" t="s">
        <v>671</v>
      </c>
      <c r="E2770" t="s">
        <v>471</v>
      </c>
      <c r="F2770" t="s">
        <v>7339</v>
      </c>
      <c r="G2770" t="s">
        <v>7340</v>
      </c>
      <c r="I2770" t="s">
        <v>2810</v>
      </c>
    </row>
    <row r="2771" spans="1:9" x14ac:dyDescent="0.25">
      <c r="A2771" t="s">
        <v>7633</v>
      </c>
      <c r="B2771" t="s">
        <v>798</v>
      </c>
      <c r="C2771" s="167">
        <v>103.39</v>
      </c>
      <c r="D2771" t="s">
        <v>59</v>
      </c>
      <c r="E2771" t="s">
        <v>473</v>
      </c>
      <c r="F2771" t="s">
        <v>7339</v>
      </c>
      <c r="G2771" t="s">
        <v>7340</v>
      </c>
      <c r="I2771" t="s">
        <v>2810</v>
      </c>
    </row>
    <row r="2772" spans="1:9" x14ac:dyDescent="0.25">
      <c r="A2772" t="s">
        <v>799</v>
      </c>
      <c r="B2772" t="s">
        <v>798</v>
      </c>
      <c r="C2772" s="167">
        <v>100.63</v>
      </c>
      <c r="D2772" t="s">
        <v>21</v>
      </c>
      <c r="E2772" t="s">
        <v>473</v>
      </c>
      <c r="F2772" t="s">
        <v>7339</v>
      </c>
      <c r="G2772" t="s">
        <v>7340</v>
      </c>
      <c r="I2772" t="s">
        <v>2810</v>
      </c>
    </row>
    <row r="2773" spans="1:9" x14ac:dyDescent="0.25">
      <c r="A2773" t="s">
        <v>810</v>
      </c>
      <c r="B2773" t="s">
        <v>798</v>
      </c>
      <c r="C2773" s="167">
        <v>108.82</v>
      </c>
      <c r="D2773" t="s">
        <v>563</v>
      </c>
      <c r="E2773" t="s">
        <v>473</v>
      </c>
      <c r="F2773" t="s">
        <v>7339</v>
      </c>
      <c r="G2773" t="s">
        <v>7340</v>
      </c>
      <c r="I2773" t="s">
        <v>2810</v>
      </c>
    </row>
    <row r="2774" spans="1:9" x14ac:dyDescent="0.25">
      <c r="A2774" t="s">
        <v>4745</v>
      </c>
      <c r="B2774" t="s">
        <v>798</v>
      </c>
      <c r="C2774" s="167">
        <v>103.39</v>
      </c>
      <c r="D2774" t="s">
        <v>4633</v>
      </c>
      <c r="E2774" t="s">
        <v>473</v>
      </c>
      <c r="F2774" t="s">
        <v>7339</v>
      </c>
      <c r="G2774" t="s">
        <v>7340</v>
      </c>
      <c r="I2774" t="s">
        <v>2810</v>
      </c>
    </row>
    <row r="2775" spans="1:9" x14ac:dyDescent="0.25">
      <c r="A2775" t="s">
        <v>818</v>
      </c>
      <c r="B2775" t="s">
        <v>798</v>
      </c>
      <c r="C2775" s="167">
        <v>108.82</v>
      </c>
      <c r="D2775" t="s">
        <v>671</v>
      </c>
      <c r="E2775" t="s">
        <v>473</v>
      </c>
      <c r="F2775" t="s">
        <v>7339</v>
      </c>
      <c r="G2775" t="s">
        <v>7340</v>
      </c>
      <c r="I2775" t="s">
        <v>2810</v>
      </c>
    </row>
    <row r="2776" spans="1:9" x14ac:dyDescent="0.25">
      <c r="A2776" t="s">
        <v>7634</v>
      </c>
      <c r="B2776" t="s">
        <v>801</v>
      </c>
      <c r="C2776" s="167">
        <v>122.57</v>
      </c>
      <c r="D2776" t="s">
        <v>59</v>
      </c>
      <c r="E2776" t="s">
        <v>471</v>
      </c>
      <c r="F2776" t="s">
        <v>7341</v>
      </c>
      <c r="G2776" t="s">
        <v>7340</v>
      </c>
      <c r="I2776" t="s">
        <v>2810</v>
      </c>
    </row>
    <row r="2777" spans="1:9" x14ac:dyDescent="0.25">
      <c r="A2777" t="s">
        <v>800</v>
      </c>
      <c r="B2777" t="s">
        <v>801</v>
      </c>
      <c r="C2777" s="167">
        <v>119.82</v>
      </c>
      <c r="D2777" t="s">
        <v>21</v>
      </c>
      <c r="E2777" t="s">
        <v>471</v>
      </c>
      <c r="F2777" t="s">
        <v>7341</v>
      </c>
      <c r="G2777" t="s">
        <v>7340</v>
      </c>
      <c r="I2777" t="s">
        <v>2810</v>
      </c>
    </row>
    <row r="2778" spans="1:9" x14ac:dyDescent="0.25">
      <c r="A2778" t="s">
        <v>811</v>
      </c>
      <c r="B2778" t="s">
        <v>801</v>
      </c>
      <c r="C2778" s="167">
        <v>128.01</v>
      </c>
      <c r="D2778" t="s">
        <v>563</v>
      </c>
      <c r="E2778" t="s">
        <v>471</v>
      </c>
      <c r="F2778" t="s">
        <v>7341</v>
      </c>
      <c r="G2778" t="s">
        <v>7340</v>
      </c>
      <c r="I2778" t="s">
        <v>2810</v>
      </c>
    </row>
    <row r="2779" spans="1:9" x14ac:dyDescent="0.25">
      <c r="A2779" t="s">
        <v>4726</v>
      </c>
      <c r="B2779" t="s">
        <v>801</v>
      </c>
      <c r="C2779" s="167">
        <v>122.57</v>
      </c>
      <c r="D2779" t="s">
        <v>4633</v>
      </c>
      <c r="E2779" t="s">
        <v>471</v>
      </c>
      <c r="F2779" t="s">
        <v>7341</v>
      </c>
      <c r="G2779" t="s">
        <v>7340</v>
      </c>
      <c r="I2779" t="s">
        <v>2810</v>
      </c>
    </row>
    <row r="2780" spans="1:9" x14ac:dyDescent="0.25">
      <c r="A2780" t="s">
        <v>819</v>
      </c>
      <c r="B2780" t="s">
        <v>801</v>
      </c>
      <c r="C2780" s="167">
        <v>128.01</v>
      </c>
      <c r="D2780" t="s">
        <v>671</v>
      </c>
      <c r="E2780" t="s">
        <v>471</v>
      </c>
      <c r="F2780" t="s">
        <v>7341</v>
      </c>
      <c r="G2780" t="s">
        <v>7340</v>
      </c>
      <c r="I2780" t="s">
        <v>2810</v>
      </c>
    </row>
    <row r="2781" spans="1:9" x14ac:dyDescent="0.25">
      <c r="A2781" t="s">
        <v>7635</v>
      </c>
      <c r="B2781" t="s">
        <v>801</v>
      </c>
      <c r="C2781" s="167">
        <v>122.57</v>
      </c>
      <c r="D2781" t="s">
        <v>59</v>
      </c>
      <c r="E2781" t="s">
        <v>473</v>
      </c>
      <c r="F2781" t="s">
        <v>7341</v>
      </c>
      <c r="G2781" t="s">
        <v>7340</v>
      </c>
      <c r="I2781" t="s">
        <v>2810</v>
      </c>
    </row>
    <row r="2782" spans="1:9" x14ac:dyDescent="0.25">
      <c r="A2782" t="s">
        <v>802</v>
      </c>
      <c r="B2782" t="s">
        <v>801</v>
      </c>
      <c r="C2782" s="167">
        <v>119.82</v>
      </c>
      <c r="D2782" t="s">
        <v>21</v>
      </c>
      <c r="E2782" t="s">
        <v>473</v>
      </c>
      <c r="F2782" t="s">
        <v>7341</v>
      </c>
      <c r="G2782" t="s">
        <v>7340</v>
      </c>
      <c r="I2782" t="s">
        <v>2810</v>
      </c>
    </row>
    <row r="2783" spans="1:9" x14ac:dyDescent="0.25">
      <c r="A2783" t="s">
        <v>812</v>
      </c>
      <c r="B2783" t="s">
        <v>801</v>
      </c>
      <c r="C2783" s="167">
        <v>128.01</v>
      </c>
      <c r="D2783" t="s">
        <v>563</v>
      </c>
      <c r="E2783" t="s">
        <v>473</v>
      </c>
      <c r="F2783" t="s">
        <v>7341</v>
      </c>
      <c r="G2783" t="s">
        <v>7340</v>
      </c>
      <c r="I2783" t="s">
        <v>2810</v>
      </c>
    </row>
    <row r="2784" spans="1:9" x14ac:dyDescent="0.25">
      <c r="A2784" t="s">
        <v>4746</v>
      </c>
      <c r="B2784" t="s">
        <v>801</v>
      </c>
      <c r="C2784" s="167">
        <v>122.57</v>
      </c>
      <c r="D2784" t="s">
        <v>4633</v>
      </c>
      <c r="E2784" t="s">
        <v>473</v>
      </c>
      <c r="F2784" t="s">
        <v>7341</v>
      </c>
      <c r="G2784" t="s">
        <v>7340</v>
      </c>
      <c r="I2784" t="s">
        <v>2810</v>
      </c>
    </row>
    <row r="2785" spans="1:9" x14ac:dyDescent="0.25">
      <c r="A2785" t="s">
        <v>820</v>
      </c>
      <c r="B2785" t="s">
        <v>801</v>
      </c>
      <c r="C2785" s="167">
        <v>128.01</v>
      </c>
      <c r="D2785" t="s">
        <v>671</v>
      </c>
      <c r="E2785" t="s">
        <v>473</v>
      </c>
      <c r="F2785" t="s">
        <v>7341</v>
      </c>
      <c r="G2785" t="s">
        <v>7340</v>
      </c>
      <c r="I2785" t="s">
        <v>2810</v>
      </c>
    </row>
    <row r="2786" spans="1:9" x14ac:dyDescent="0.25">
      <c r="A2786" t="s">
        <v>7636</v>
      </c>
      <c r="B2786" t="s">
        <v>804</v>
      </c>
      <c r="C2786" s="167">
        <v>141.71</v>
      </c>
      <c r="D2786" t="s">
        <v>59</v>
      </c>
      <c r="E2786" t="s">
        <v>471</v>
      </c>
      <c r="F2786" t="s">
        <v>7344</v>
      </c>
      <c r="G2786" t="s">
        <v>7340</v>
      </c>
      <c r="I2786" t="s">
        <v>2810</v>
      </c>
    </row>
    <row r="2787" spans="1:9" x14ac:dyDescent="0.25">
      <c r="A2787" t="s">
        <v>803</v>
      </c>
      <c r="B2787" t="s">
        <v>804</v>
      </c>
      <c r="C2787" s="167">
        <v>138.96</v>
      </c>
      <c r="D2787" t="s">
        <v>21</v>
      </c>
      <c r="E2787" t="s">
        <v>471</v>
      </c>
      <c r="F2787" t="s">
        <v>7344</v>
      </c>
      <c r="G2787" t="s">
        <v>7340</v>
      </c>
      <c r="I2787" t="s">
        <v>2810</v>
      </c>
    </row>
    <row r="2788" spans="1:9" x14ac:dyDescent="0.25">
      <c r="A2788" t="s">
        <v>813</v>
      </c>
      <c r="B2788" t="s">
        <v>804</v>
      </c>
      <c r="C2788" s="167">
        <v>147.16</v>
      </c>
      <c r="D2788" t="s">
        <v>563</v>
      </c>
      <c r="E2788" t="s">
        <v>471</v>
      </c>
      <c r="F2788" t="s">
        <v>7344</v>
      </c>
      <c r="G2788" t="s">
        <v>7340</v>
      </c>
      <c r="I2788" t="s">
        <v>2810</v>
      </c>
    </row>
    <row r="2789" spans="1:9" x14ac:dyDescent="0.25">
      <c r="A2789" t="s">
        <v>4727</v>
      </c>
      <c r="B2789" t="s">
        <v>804</v>
      </c>
      <c r="C2789" s="167">
        <v>141.71</v>
      </c>
      <c r="D2789" t="s">
        <v>4633</v>
      </c>
      <c r="E2789" t="s">
        <v>471</v>
      </c>
      <c r="F2789" t="s">
        <v>7344</v>
      </c>
      <c r="G2789" t="s">
        <v>7340</v>
      </c>
      <c r="I2789" t="s">
        <v>2810</v>
      </c>
    </row>
    <row r="2790" spans="1:9" x14ac:dyDescent="0.25">
      <c r="A2790" t="s">
        <v>821</v>
      </c>
      <c r="B2790" t="s">
        <v>804</v>
      </c>
      <c r="C2790" s="167">
        <v>147.16</v>
      </c>
      <c r="D2790" t="s">
        <v>671</v>
      </c>
      <c r="E2790" t="s">
        <v>471</v>
      </c>
      <c r="F2790" t="s">
        <v>7344</v>
      </c>
      <c r="G2790" t="s">
        <v>7340</v>
      </c>
      <c r="I2790" t="s">
        <v>2810</v>
      </c>
    </row>
    <row r="2791" spans="1:9" x14ac:dyDescent="0.25">
      <c r="A2791" t="s">
        <v>7637</v>
      </c>
      <c r="B2791" t="s">
        <v>804</v>
      </c>
      <c r="C2791" s="167">
        <v>141.71</v>
      </c>
      <c r="D2791" t="s">
        <v>59</v>
      </c>
      <c r="E2791" t="s">
        <v>473</v>
      </c>
      <c r="F2791" t="s">
        <v>7344</v>
      </c>
      <c r="G2791" t="s">
        <v>7340</v>
      </c>
      <c r="I2791" t="s">
        <v>2810</v>
      </c>
    </row>
    <row r="2792" spans="1:9" x14ac:dyDescent="0.25">
      <c r="A2792" t="s">
        <v>805</v>
      </c>
      <c r="B2792" t="s">
        <v>804</v>
      </c>
      <c r="C2792" s="167">
        <v>138.96</v>
      </c>
      <c r="D2792" t="s">
        <v>21</v>
      </c>
      <c r="E2792" t="s">
        <v>473</v>
      </c>
      <c r="F2792" t="s">
        <v>7344</v>
      </c>
      <c r="G2792" t="s">
        <v>7340</v>
      </c>
      <c r="I2792" t="s">
        <v>2810</v>
      </c>
    </row>
    <row r="2793" spans="1:9" x14ac:dyDescent="0.25">
      <c r="A2793" t="s">
        <v>814</v>
      </c>
      <c r="B2793" t="s">
        <v>804</v>
      </c>
      <c r="C2793" s="167">
        <v>147.16</v>
      </c>
      <c r="D2793" t="s">
        <v>563</v>
      </c>
      <c r="E2793" t="s">
        <v>473</v>
      </c>
      <c r="F2793" t="s">
        <v>7344</v>
      </c>
      <c r="G2793" t="s">
        <v>7340</v>
      </c>
      <c r="I2793" t="s">
        <v>2810</v>
      </c>
    </row>
    <row r="2794" spans="1:9" x14ac:dyDescent="0.25">
      <c r="A2794" t="s">
        <v>4747</v>
      </c>
      <c r="B2794" t="s">
        <v>804</v>
      </c>
      <c r="C2794" s="167">
        <v>141.71</v>
      </c>
      <c r="D2794" t="s">
        <v>4633</v>
      </c>
      <c r="E2794" t="s">
        <v>473</v>
      </c>
      <c r="F2794" t="s">
        <v>7344</v>
      </c>
      <c r="G2794" t="s">
        <v>7340</v>
      </c>
      <c r="I2794" t="s">
        <v>2810</v>
      </c>
    </row>
    <row r="2795" spans="1:9" x14ac:dyDescent="0.25">
      <c r="A2795" t="s">
        <v>822</v>
      </c>
      <c r="B2795" t="s">
        <v>804</v>
      </c>
      <c r="C2795" s="167">
        <v>147.16</v>
      </c>
      <c r="D2795" t="s">
        <v>671</v>
      </c>
      <c r="E2795" t="s">
        <v>473</v>
      </c>
      <c r="F2795" t="s">
        <v>7344</v>
      </c>
      <c r="G2795" t="s">
        <v>7340</v>
      </c>
      <c r="I2795" t="s">
        <v>2810</v>
      </c>
    </row>
    <row r="2796" spans="1:9" x14ac:dyDescent="0.25">
      <c r="A2796" t="s">
        <v>7638</v>
      </c>
      <c r="B2796" t="s">
        <v>807</v>
      </c>
      <c r="C2796" s="167">
        <v>160.9</v>
      </c>
      <c r="D2796" t="s">
        <v>59</v>
      </c>
      <c r="E2796" t="s">
        <v>471</v>
      </c>
      <c r="F2796" t="s">
        <v>7343</v>
      </c>
      <c r="G2796" t="s">
        <v>7340</v>
      </c>
      <c r="I2796" t="s">
        <v>2810</v>
      </c>
    </row>
    <row r="2797" spans="1:9" x14ac:dyDescent="0.25">
      <c r="A2797" t="s">
        <v>806</v>
      </c>
      <c r="B2797" t="s">
        <v>807</v>
      </c>
      <c r="C2797" s="167">
        <v>158.11000000000001</v>
      </c>
      <c r="D2797" t="s">
        <v>21</v>
      </c>
      <c r="E2797" t="s">
        <v>471</v>
      </c>
      <c r="F2797" t="s">
        <v>7343</v>
      </c>
      <c r="G2797" t="s">
        <v>7340</v>
      </c>
      <c r="I2797" t="s">
        <v>2810</v>
      </c>
    </row>
    <row r="2798" spans="1:9" x14ac:dyDescent="0.25">
      <c r="A2798" t="s">
        <v>815</v>
      </c>
      <c r="B2798" t="s">
        <v>807</v>
      </c>
      <c r="C2798" s="167">
        <v>166.32</v>
      </c>
      <c r="D2798" t="s">
        <v>563</v>
      </c>
      <c r="E2798" t="s">
        <v>471</v>
      </c>
      <c r="F2798" t="s">
        <v>7343</v>
      </c>
      <c r="G2798" t="s">
        <v>7340</v>
      </c>
      <c r="I2798" t="s">
        <v>2810</v>
      </c>
    </row>
    <row r="2799" spans="1:9" x14ac:dyDescent="0.25">
      <c r="A2799" t="s">
        <v>4728</v>
      </c>
      <c r="B2799" t="s">
        <v>807</v>
      </c>
      <c r="C2799" s="167">
        <v>160.9</v>
      </c>
      <c r="D2799" t="s">
        <v>4633</v>
      </c>
      <c r="E2799" t="s">
        <v>471</v>
      </c>
      <c r="F2799" t="s">
        <v>7343</v>
      </c>
      <c r="G2799" t="s">
        <v>7340</v>
      </c>
      <c r="I2799" t="s">
        <v>2810</v>
      </c>
    </row>
    <row r="2800" spans="1:9" x14ac:dyDescent="0.25">
      <c r="A2800" t="s">
        <v>823</v>
      </c>
      <c r="B2800" t="s">
        <v>807</v>
      </c>
      <c r="C2800" s="167">
        <v>166.32</v>
      </c>
      <c r="D2800" t="s">
        <v>671</v>
      </c>
      <c r="E2800" t="s">
        <v>471</v>
      </c>
      <c r="F2800" t="s">
        <v>7343</v>
      </c>
      <c r="G2800" t="s">
        <v>7340</v>
      </c>
      <c r="I2800" t="s">
        <v>2810</v>
      </c>
    </row>
    <row r="2801" spans="1:9" x14ac:dyDescent="0.25">
      <c r="A2801" t="s">
        <v>7639</v>
      </c>
      <c r="B2801" t="s">
        <v>807</v>
      </c>
      <c r="C2801" s="167">
        <v>160.9</v>
      </c>
      <c r="D2801" t="s">
        <v>59</v>
      </c>
      <c r="E2801" t="s">
        <v>473</v>
      </c>
      <c r="F2801" t="s">
        <v>7343</v>
      </c>
      <c r="G2801" t="s">
        <v>7340</v>
      </c>
      <c r="I2801" t="s">
        <v>2810</v>
      </c>
    </row>
    <row r="2802" spans="1:9" x14ac:dyDescent="0.25">
      <c r="A2802" t="s">
        <v>808</v>
      </c>
      <c r="B2802" t="s">
        <v>807</v>
      </c>
      <c r="C2802" s="167">
        <v>158.11000000000001</v>
      </c>
      <c r="D2802" t="s">
        <v>21</v>
      </c>
      <c r="E2802" t="s">
        <v>473</v>
      </c>
      <c r="F2802" t="s">
        <v>7343</v>
      </c>
      <c r="G2802" t="s">
        <v>7340</v>
      </c>
      <c r="I2802" t="s">
        <v>2810</v>
      </c>
    </row>
    <row r="2803" spans="1:9" x14ac:dyDescent="0.25">
      <c r="A2803" t="s">
        <v>816</v>
      </c>
      <c r="B2803" t="s">
        <v>807</v>
      </c>
      <c r="C2803" s="167">
        <v>166.32</v>
      </c>
      <c r="D2803" t="s">
        <v>563</v>
      </c>
      <c r="E2803" t="s">
        <v>473</v>
      </c>
      <c r="F2803" t="s">
        <v>7343</v>
      </c>
      <c r="G2803" t="s">
        <v>7340</v>
      </c>
      <c r="I2803" t="s">
        <v>2810</v>
      </c>
    </row>
    <row r="2804" spans="1:9" x14ac:dyDescent="0.25">
      <c r="A2804" t="s">
        <v>4748</v>
      </c>
      <c r="B2804" t="s">
        <v>807</v>
      </c>
      <c r="C2804" s="167">
        <v>160.9</v>
      </c>
      <c r="D2804" t="s">
        <v>4633</v>
      </c>
      <c r="E2804" t="s">
        <v>473</v>
      </c>
      <c r="F2804" t="s">
        <v>7343</v>
      </c>
      <c r="G2804" t="s">
        <v>7340</v>
      </c>
      <c r="I2804" t="s">
        <v>2810</v>
      </c>
    </row>
    <row r="2805" spans="1:9" x14ac:dyDescent="0.25">
      <c r="A2805" t="s">
        <v>824</v>
      </c>
      <c r="B2805" t="s">
        <v>807</v>
      </c>
      <c r="C2805" s="167">
        <v>166.32</v>
      </c>
      <c r="D2805" t="s">
        <v>671</v>
      </c>
      <c r="E2805" t="s">
        <v>473</v>
      </c>
      <c r="F2805" t="s">
        <v>7343</v>
      </c>
      <c r="G2805" t="s">
        <v>7340</v>
      </c>
      <c r="I2805" t="s">
        <v>2810</v>
      </c>
    </row>
    <row r="2806" spans="1:9" x14ac:dyDescent="0.25">
      <c r="A2806" t="s">
        <v>551</v>
      </c>
      <c r="B2806" t="s">
        <v>552</v>
      </c>
      <c r="C2806" s="167">
        <v>46.18</v>
      </c>
      <c r="D2806" t="s">
        <v>2853</v>
      </c>
      <c r="E2806" t="s">
        <v>471</v>
      </c>
      <c r="F2806" t="s">
        <v>7342</v>
      </c>
      <c r="G2806" t="s">
        <v>7340</v>
      </c>
      <c r="I2806" t="s">
        <v>2810</v>
      </c>
    </row>
    <row r="2807" spans="1:9" x14ac:dyDescent="0.25">
      <c r="A2807" t="s">
        <v>557</v>
      </c>
      <c r="B2807" t="s">
        <v>552</v>
      </c>
      <c r="C2807" s="167">
        <v>46.18</v>
      </c>
      <c r="D2807" t="s">
        <v>2853</v>
      </c>
      <c r="E2807" t="s">
        <v>473</v>
      </c>
      <c r="F2807" t="s">
        <v>7342</v>
      </c>
      <c r="G2807" t="s">
        <v>7340</v>
      </c>
      <c r="I2807" t="s">
        <v>2810</v>
      </c>
    </row>
    <row r="2808" spans="1:9" x14ac:dyDescent="0.25">
      <c r="A2808" t="s">
        <v>553</v>
      </c>
      <c r="B2808" t="s">
        <v>554</v>
      </c>
      <c r="C2808" s="167">
        <v>49.36</v>
      </c>
      <c r="D2808" t="s">
        <v>2853</v>
      </c>
      <c r="E2808" t="s">
        <v>471</v>
      </c>
      <c r="F2808" t="s">
        <v>7355</v>
      </c>
      <c r="G2808" t="s">
        <v>7340</v>
      </c>
      <c r="I2808" t="s">
        <v>2810</v>
      </c>
    </row>
    <row r="2809" spans="1:9" x14ac:dyDescent="0.25">
      <c r="A2809" t="s">
        <v>558</v>
      </c>
      <c r="B2809" t="s">
        <v>554</v>
      </c>
      <c r="C2809" s="167">
        <v>49.36</v>
      </c>
      <c r="D2809" t="s">
        <v>2853</v>
      </c>
      <c r="E2809" t="s">
        <v>473</v>
      </c>
      <c r="F2809" t="s">
        <v>7355</v>
      </c>
      <c r="G2809" t="s">
        <v>7340</v>
      </c>
      <c r="I2809" t="s">
        <v>2810</v>
      </c>
    </row>
    <row r="2810" spans="1:9" x14ac:dyDescent="0.25">
      <c r="A2810" t="s">
        <v>555</v>
      </c>
      <c r="B2810" t="s">
        <v>556</v>
      </c>
      <c r="C2810" s="167">
        <v>52.52</v>
      </c>
      <c r="D2810" t="s">
        <v>2853</v>
      </c>
      <c r="E2810" t="s">
        <v>471</v>
      </c>
      <c r="F2810" t="s">
        <v>7339</v>
      </c>
      <c r="G2810" t="s">
        <v>7340</v>
      </c>
      <c r="I2810" t="s">
        <v>2810</v>
      </c>
    </row>
    <row r="2811" spans="1:9" x14ac:dyDescent="0.25">
      <c r="A2811" t="s">
        <v>559</v>
      </c>
      <c r="B2811" t="s">
        <v>556</v>
      </c>
      <c r="C2811" s="167">
        <v>52.52</v>
      </c>
      <c r="D2811" t="s">
        <v>2853</v>
      </c>
      <c r="E2811" t="s">
        <v>473</v>
      </c>
      <c r="F2811" t="s">
        <v>7339</v>
      </c>
      <c r="G2811" t="s">
        <v>7340</v>
      </c>
      <c r="I2811" t="s">
        <v>2810</v>
      </c>
    </row>
    <row r="2812" spans="1:9" x14ac:dyDescent="0.25">
      <c r="A2812" t="s">
        <v>460</v>
      </c>
      <c r="B2812" t="s">
        <v>461</v>
      </c>
      <c r="C2812" s="167">
        <v>6.8</v>
      </c>
      <c r="D2812" t="s">
        <v>2853</v>
      </c>
      <c r="E2812" t="s">
        <v>2853</v>
      </c>
      <c r="F2812" t="s">
        <v>7352</v>
      </c>
      <c r="G2812" t="s">
        <v>7352</v>
      </c>
      <c r="H2812">
        <v>18</v>
      </c>
      <c r="I2812" t="s">
        <v>2810</v>
      </c>
    </row>
    <row r="2813" spans="1:9" x14ac:dyDescent="0.25">
      <c r="A2813" t="s">
        <v>462</v>
      </c>
      <c r="B2813" t="s">
        <v>463</v>
      </c>
      <c r="C2813" s="167">
        <v>6.88</v>
      </c>
      <c r="D2813" t="s">
        <v>2853</v>
      </c>
      <c r="E2813" t="s">
        <v>2853</v>
      </c>
      <c r="F2813" t="s">
        <v>7352</v>
      </c>
      <c r="G2813" t="s">
        <v>7352</v>
      </c>
      <c r="H2813">
        <v>24</v>
      </c>
      <c r="I2813" t="s">
        <v>2810</v>
      </c>
    </row>
    <row r="2814" spans="1:9" x14ac:dyDescent="0.25">
      <c r="A2814" t="s">
        <v>464</v>
      </c>
      <c r="B2814" t="s">
        <v>465</v>
      </c>
      <c r="C2814" s="167">
        <v>8.2799999999999994</v>
      </c>
      <c r="D2814" t="s">
        <v>2853</v>
      </c>
      <c r="E2814" t="s">
        <v>2853</v>
      </c>
      <c r="F2814" t="s">
        <v>7352</v>
      </c>
      <c r="G2814" t="s">
        <v>7352</v>
      </c>
      <c r="H2814">
        <v>30</v>
      </c>
      <c r="I2814" t="s">
        <v>2810</v>
      </c>
    </row>
    <row r="2815" spans="1:9" x14ac:dyDescent="0.25">
      <c r="A2815" t="s">
        <v>467</v>
      </c>
      <c r="B2815" t="s">
        <v>468</v>
      </c>
      <c r="C2815" s="167">
        <v>8.3000000000000007</v>
      </c>
      <c r="D2815" t="s">
        <v>2853</v>
      </c>
      <c r="E2815" t="s">
        <v>2853</v>
      </c>
      <c r="F2815" t="s">
        <v>7352</v>
      </c>
      <c r="G2815" t="s">
        <v>7352</v>
      </c>
      <c r="H2815">
        <v>36</v>
      </c>
      <c r="I2815" t="s">
        <v>2810</v>
      </c>
    </row>
    <row r="2816" spans="1:9" x14ac:dyDescent="0.25">
      <c r="A2816" t="s">
        <v>455</v>
      </c>
      <c r="B2816" t="s">
        <v>456</v>
      </c>
      <c r="C2816" s="167">
        <v>5.22</v>
      </c>
      <c r="D2816" t="s">
        <v>59</v>
      </c>
      <c r="E2816" t="s">
        <v>2853</v>
      </c>
      <c r="F2816" t="s">
        <v>7352</v>
      </c>
      <c r="G2816" t="s">
        <v>7352</v>
      </c>
      <c r="I2816" t="s">
        <v>2810</v>
      </c>
    </row>
    <row r="2817" spans="1:9" x14ac:dyDescent="0.25">
      <c r="A2817" t="s">
        <v>457</v>
      </c>
      <c r="B2817" t="s">
        <v>456</v>
      </c>
      <c r="C2817" s="167">
        <v>5.22</v>
      </c>
      <c r="D2817" t="s">
        <v>60</v>
      </c>
      <c r="E2817" t="s">
        <v>2853</v>
      </c>
      <c r="F2817" t="s">
        <v>7352</v>
      </c>
      <c r="G2817" t="s">
        <v>7352</v>
      </c>
      <c r="I2817" t="s">
        <v>2810</v>
      </c>
    </row>
    <row r="2818" spans="1:9" x14ac:dyDescent="0.25">
      <c r="A2818" t="s">
        <v>469</v>
      </c>
      <c r="B2818" t="s">
        <v>470</v>
      </c>
      <c r="C2818" s="167">
        <v>37.090000000000003</v>
      </c>
      <c r="D2818" t="s">
        <v>2853</v>
      </c>
      <c r="E2818" t="s">
        <v>471</v>
      </c>
      <c r="F2818" t="s">
        <v>7356</v>
      </c>
      <c r="G2818" t="s">
        <v>7338</v>
      </c>
      <c r="I2818" t="s">
        <v>2810</v>
      </c>
    </row>
    <row r="2819" spans="1:9" x14ac:dyDescent="0.25">
      <c r="A2819" t="s">
        <v>472</v>
      </c>
      <c r="B2819" t="s">
        <v>470</v>
      </c>
      <c r="C2819" s="167">
        <v>37.090000000000003</v>
      </c>
      <c r="D2819" t="s">
        <v>2853</v>
      </c>
      <c r="E2819" t="s">
        <v>2853</v>
      </c>
      <c r="F2819" t="s">
        <v>7356</v>
      </c>
      <c r="G2819" t="s">
        <v>7338</v>
      </c>
      <c r="I2819" t="s">
        <v>2810</v>
      </c>
    </row>
    <row r="2820" spans="1:9" x14ac:dyDescent="0.25">
      <c r="A2820" t="s">
        <v>7647</v>
      </c>
      <c r="B2820" t="s">
        <v>7648</v>
      </c>
      <c r="C2820" s="167">
        <v>7.06</v>
      </c>
      <c r="D2820" t="s">
        <v>59</v>
      </c>
      <c r="E2820" t="s">
        <v>2853</v>
      </c>
      <c r="F2820" t="s">
        <v>7352</v>
      </c>
      <c r="G2820" t="s">
        <v>7352</v>
      </c>
      <c r="I2820" t="s">
        <v>2812</v>
      </c>
    </row>
    <row r="2821" spans="1:9" x14ac:dyDescent="0.25">
      <c r="A2821" t="s">
        <v>6343</v>
      </c>
      <c r="B2821" t="s">
        <v>1914</v>
      </c>
      <c r="C2821" s="167">
        <v>7.06</v>
      </c>
      <c r="D2821" t="s">
        <v>21</v>
      </c>
      <c r="E2821" t="s">
        <v>2853</v>
      </c>
      <c r="F2821" t="s">
        <v>7352</v>
      </c>
      <c r="G2821" t="s">
        <v>7352</v>
      </c>
      <c r="I2821" t="s">
        <v>2812</v>
      </c>
    </row>
    <row r="2822" spans="1:9" x14ac:dyDescent="0.25">
      <c r="A2822" t="s">
        <v>6344</v>
      </c>
      <c r="B2822" t="s">
        <v>1915</v>
      </c>
      <c r="C2822" s="167">
        <v>7.06</v>
      </c>
      <c r="D2822" t="s">
        <v>563</v>
      </c>
      <c r="E2822" t="s">
        <v>2853</v>
      </c>
      <c r="F2822" t="s">
        <v>7352</v>
      </c>
      <c r="G2822" t="s">
        <v>7352</v>
      </c>
      <c r="I2822" t="s">
        <v>2812</v>
      </c>
    </row>
    <row r="2823" spans="1:9" x14ac:dyDescent="0.25">
      <c r="A2823" t="s">
        <v>7330</v>
      </c>
      <c r="B2823" t="s">
        <v>4795</v>
      </c>
      <c r="C2823" s="167">
        <v>7.06</v>
      </c>
      <c r="D2823" t="s">
        <v>4633</v>
      </c>
      <c r="E2823" t="s">
        <v>2853</v>
      </c>
      <c r="F2823" t="s">
        <v>7352</v>
      </c>
      <c r="G2823" t="s">
        <v>7352</v>
      </c>
      <c r="I2823" t="s">
        <v>2812</v>
      </c>
    </row>
    <row r="2824" spans="1:9" x14ac:dyDescent="0.25">
      <c r="A2824" t="s">
        <v>6345</v>
      </c>
      <c r="B2824" t="s">
        <v>1916</v>
      </c>
      <c r="C2824" s="167">
        <v>7.06</v>
      </c>
      <c r="D2824" t="s">
        <v>671</v>
      </c>
      <c r="E2824" t="s">
        <v>2853</v>
      </c>
      <c r="F2824" t="s">
        <v>7352</v>
      </c>
      <c r="G2824" t="s">
        <v>7352</v>
      </c>
      <c r="I2824" t="s">
        <v>2812</v>
      </c>
    </row>
    <row r="2825" spans="1:9" x14ac:dyDescent="0.25">
      <c r="A2825" t="s">
        <v>7659</v>
      </c>
      <c r="B2825" t="s">
        <v>7660</v>
      </c>
      <c r="C2825" s="167">
        <v>19.649999999999999</v>
      </c>
      <c r="D2825" t="s">
        <v>59</v>
      </c>
      <c r="E2825" t="s">
        <v>2853</v>
      </c>
      <c r="F2825" t="s">
        <v>7352</v>
      </c>
      <c r="G2825" t="s">
        <v>7352</v>
      </c>
      <c r="I2825" t="s">
        <v>2812</v>
      </c>
    </row>
    <row r="2826" spans="1:9" x14ac:dyDescent="0.25">
      <c r="A2826" t="s">
        <v>7403</v>
      </c>
      <c r="B2826" t="s">
        <v>7404</v>
      </c>
      <c r="C2826" s="167">
        <v>19.649999999999999</v>
      </c>
      <c r="D2826" t="s">
        <v>21</v>
      </c>
      <c r="E2826" t="s">
        <v>2853</v>
      </c>
      <c r="F2826" t="s">
        <v>7352</v>
      </c>
      <c r="G2826" t="s">
        <v>7352</v>
      </c>
      <c r="I2826" t="s">
        <v>2812</v>
      </c>
    </row>
    <row r="2827" spans="1:9" x14ac:dyDescent="0.25">
      <c r="A2827" t="s">
        <v>7407</v>
      </c>
      <c r="B2827" t="s">
        <v>7439</v>
      </c>
      <c r="C2827" s="167">
        <v>19.649999999999999</v>
      </c>
      <c r="D2827" t="s">
        <v>563</v>
      </c>
      <c r="E2827" t="s">
        <v>2853</v>
      </c>
      <c r="F2827" t="s">
        <v>7352</v>
      </c>
      <c r="G2827" t="s">
        <v>7352</v>
      </c>
      <c r="I2827" t="s">
        <v>2812</v>
      </c>
    </row>
    <row r="2828" spans="1:9" x14ac:dyDescent="0.25">
      <c r="A2828" t="s">
        <v>7405</v>
      </c>
      <c r="B2828" t="s">
        <v>7406</v>
      </c>
      <c r="C2828" s="167">
        <v>19.649999999999999</v>
      </c>
      <c r="D2828" t="s">
        <v>4633</v>
      </c>
      <c r="E2828" t="s">
        <v>2853</v>
      </c>
      <c r="F2828" t="s">
        <v>7352</v>
      </c>
      <c r="G2828" t="s">
        <v>7352</v>
      </c>
      <c r="I2828" t="s">
        <v>2812</v>
      </c>
    </row>
    <row r="2829" spans="1:9" x14ac:dyDescent="0.25">
      <c r="A2829" t="s">
        <v>7408</v>
      </c>
      <c r="B2829" t="s">
        <v>7409</v>
      </c>
      <c r="C2829" s="167">
        <v>19.649999999999999</v>
      </c>
      <c r="D2829" t="s">
        <v>671</v>
      </c>
      <c r="E2829" t="s">
        <v>2853</v>
      </c>
      <c r="F2829" t="s">
        <v>7352</v>
      </c>
      <c r="G2829" t="s">
        <v>7352</v>
      </c>
      <c r="I2829" t="s">
        <v>2812</v>
      </c>
    </row>
    <row r="2830" spans="1:9" x14ac:dyDescent="0.25">
      <c r="A2830" t="s">
        <v>7923</v>
      </c>
      <c r="B2830" t="s">
        <v>7924</v>
      </c>
      <c r="C2830" s="167">
        <v>10.61</v>
      </c>
      <c r="D2830" t="s">
        <v>59</v>
      </c>
      <c r="E2830" t="s">
        <v>2853</v>
      </c>
      <c r="F2830" t="s">
        <v>7352</v>
      </c>
      <c r="G2830" t="s">
        <v>7338</v>
      </c>
      <c r="I2830" t="s">
        <v>2812</v>
      </c>
    </row>
    <row r="2831" spans="1:9" x14ac:dyDescent="0.25">
      <c r="A2831" t="s">
        <v>7925</v>
      </c>
      <c r="B2831" t="s">
        <v>7926</v>
      </c>
      <c r="C2831" s="167">
        <v>10.61</v>
      </c>
      <c r="D2831" t="s">
        <v>21</v>
      </c>
      <c r="E2831" t="s">
        <v>2853</v>
      </c>
      <c r="F2831" t="s">
        <v>7352</v>
      </c>
      <c r="G2831" t="s">
        <v>7338</v>
      </c>
      <c r="I2831" t="s">
        <v>2812</v>
      </c>
    </row>
    <row r="2832" spans="1:9" x14ac:dyDescent="0.25">
      <c r="A2832" t="s">
        <v>7927</v>
      </c>
      <c r="B2832" t="s">
        <v>7928</v>
      </c>
      <c r="C2832" s="167">
        <v>10.61</v>
      </c>
      <c r="D2832" t="s">
        <v>563</v>
      </c>
      <c r="E2832" t="s">
        <v>2853</v>
      </c>
      <c r="F2832" t="s">
        <v>7352</v>
      </c>
      <c r="G2832" t="s">
        <v>7338</v>
      </c>
      <c r="I2832" t="s">
        <v>2812</v>
      </c>
    </row>
    <row r="2833" spans="1:9" x14ac:dyDescent="0.25">
      <c r="A2833" t="s">
        <v>7929</v>
      </c>
      <c r="B2833" t="s">
        <v>7930</v>
      </c>
      <c r="C2833" s="167">
        <v>10.61</v>
      </c>
      <c r="D2833" t="s">
        <v>4633</v>
      </c>
      <c r="E2833" t="s">
        <v>2853</v>
      </c>
      <c r="F2833" t="s">
        <v>7352</v>
      </c>
      <c r="G2833" t="s">
        <v>7338</v>
      </c>
      <c r="I2833" t="s">
        <v>2812</v>
      </c>
    </row>
    <row r="2834" spans="1:9" x14ac:dyDescent="0.25">
      <c r="A2834" t="s">
        <v>7931</v>
      </c>
      <c r="B2834" t="s">
        <v>7932</v>
      </c>
      <c r="C2834" s="167">
        <v>10.61</v>
      </c>
      <c r="D2834" t="s">
        <v>671</v>
      </c>
      <c r="E2834" t="s">
        <v>2853</v>
      </c>
      <c r="F2834" t="s">
        <v>7352</v>
      </c>
      <c r="G2834" t="s">
        <v>7338</v>
      </c>
      <c r="I2834" t="s">
        <v>2812</v>
      </c>
    </row>
    <row r="2835" spans="1:9" x14ac:dyDescent="0.25">
      <c r="A2835" t="s">
        <v>7649</v>
      </c>
      <c r="B2835" t="s">
        <v>7650</v>
      </c>
      <c r="C2835" s="167">
        <v>10.61</v>
      </c>
      <c r="D2835" t="s">
        <v>59</v>
      </c>
      <c r="E2835" t="s">
        <v>2853</v>
      </c>
      <c r="F2835" t="s">
        <v>7352</v>
      </c>
      <c r="G2835" t="s">
        <v>7352</v>
      </c>
      <c r="I2835" t="s">
        <v>2812</v>
      </c>
    </row>
    <row r="2836" spans="1:9" x14ac:dyDescent="0.25">
      <c r="A2836" t="s">
        <v>1917</v>
      </c>
      <c r="B2836" t="s">
        <v>1918</v>
      </c>
      <c r="C2836" s="167">
        <v>10.61</v>
      </c>
      <c r="D2836" t="s">
        <v>21</v>
      </c>
      <c r="E2836" t="s">
        <v>2853</v>
      </c>
      <c r="F2836" t="s">
        <v>7352</v>
      </c>
      <c r="G2836" t="s">
        <v>7352</v>
      </c>
      <c r="I2836" t="s">
        <v>2812</v>
      </c>
    </row>
    <row r="2837" spans="1:9" x14ac:dyDescent="0.25">
      <c r="A2837" t="s">
        <v>1919</v>
      </c>
      <c r="B2837" t="s">
        <v>1920</v>
      </c>
      <c r="C2837" s="167">
        <v>10.61</v>
      </c>
      <c r="D2837" t="s">
        <v>563</v>
      </c>
      <c r="E2837" t="s">
        <v>2853</v>
      </c>
      <c r="F2837" t="s">
        <v>7352</v>
      </c>
      <c r="G2837" t="s">
        <v>7352</v>
      </c>
      <c r="I2837" t="s">
        <v>2812</v>
      </c>
    </row>
    <row r="2838" spans="1:9" x14ac:dyDescent="0.25">
      <c r="A2838" t="s">
        <v>4796</v>
      </c>
      <c r="B2838" t="s">
        <v>4797</v>
      </c>
      <c r="C2838" s="167">
        <v>10.61</v>
      </c>
      <c r="D2838" t="s">
        <v>4633</v>
      </c>
      <c r="E2838" t="s">
        <v>2853</v>
      </c>
      <c r="F2838" t="s">
        <v>7352</v>
      </c>
      <c r="G2838" t="s">
        <v>7352</v>
      </c>
      <c r="I2838" t="s">
        <v>2812</v>
      </c>
    </row>
    <row r="2839" spans="1:9" x14ac:dyDescent="0.25">
      <c r="A2839" t="s">
        <v>1921</v>
      </c>
      <c r="B2839" t="s">
        <v>1922</v>
      </c>
      <c r="C2839" s="167">
        <v>10.61</v>
      </c>
      <c r="D2839" t="s">
        <v>671</v>
      </c>
      <c r="E2839" t="s">
        <v>2853</v>
      </c>
      <c r="F2839" t="s">
        <v>7352</v>
      </c>
      <c r="G2839" t="s">
        <v>7352</v>
      </c>
      <c r="I2839" t="s">
        <v>2812</v>
      </c>
    </row>
    <row r="2840" spans="1:9" x14ac:dyDescent="0.25">
      <c r="A2840" t="s">
        <v>7651</v>
      </c>
      <c r="B2840" t="s">
        <v>7652</v>
      </c>
      <c r="C2840" s="167">
        <v>10.61</v>
      </c>
      <c r="D2840" t="s">
        <v>59</v>
      </c>
      <c r="E2840" t="s">
        <v>2853</v>
      </c>
      <c r="F2840" t="s">
        <v>7352</v>
      </c>
      <c r="G2840" t="s">
        <v>7352</v>
      </c>
      <c r="I2840" t="s">
        <v>2812</v>
      </c>
    </row>
    <row r="2841" spans="1:9" x14ac:dyDescent="0.25">
      <c r="A2841" t="s">
        <v>7363</v>
      </c>
      <c r="B2841" t="s">
        <v>7364</v>
      </c>
      <c r="C2841" s="167">
        <v>10.61</v>
      </c>
      <c r="D2841" t="s">
        <v>21</v>
      </c>
      <c r="E2841" t="s">
        <v>2853</v>
      </c>
      <c r="F2841" t="s">
        <v>7352</v>
      </c>
      <c r="G2841" t="s">
        <v>7352</v>
      </c>
      <c r="I2841" t="s">
        <v>2812</v>
      </c>
    </row>
    <row r="2842" spans="1:9" x14ac:dyDescent="0.25">
      <c r="A2842" t="s">
        <v>7365</v>
      </c>
      <c r="B2842" t="s">
        <v>7366</v>
      </c>
      <c r="C2842" s="167">
        <v>10.61</v>
      </c>
      <c r="D2842" t="s">
        <v>563</v>
      </c>
      <c r="E2842" t="s">
        <v>2853</v>
      </c>
      <c r="F2842" t="s">
        <v>7352</v>
      </c>
      <c r="G2842" t="s">
        <v>7352</v>
      </c>
      <c r="I2842" t="s">
        <v>2812</v>
      </c>
    </row>
    <row r="2843" spans="1:9" x14ac:dyDescent="0.25">
      <c r="A2843" t="s">
        <v>7370</v>
      </c>
      <c r="B2843" t="s">
        <v>7380</v>
      </c>
      <c r="C2843" s="167">
        <v>10.61</v>
      </c>
      <c r="D2843" t="s">
        <v>4633</v>
      </c>
      <c r="E2843" t="s">
        <v>2853</v>
      </c>
      <c r="F2843" t="s">
        <v>7352</v>
      </c>
      <c r="G2843" t="s">
        <v>7352</v>
      </c>
      <c r="I2843" t="s">
        <v>2812</v>
      </c>
    </row>
    <row r="2844" spans="1:9" x14ac:dyDescent="0.25">
      <c r="A2844" t="s">
        <v>7367</v>
      </c>
      <c r="B2844" t="s">
        <v>7368</v>
      </c>
      <c r="C2844" s="167">
        <v>10.61</v>
      </c>
      <c r="D2844" t="s">
        <v>671</v>
      </c>
      <c r="E2844" t="s">
        <v>2853</v>
      </c>
      <c r="F2844" t="s">
        <v>7352</v>
      </c>
      <c r="G2844" t="s">
        <v>7352</v>
      </c>
      <c r="I2844" t="s">
        <v>2812</v>
      </c>
    </row>
    <row r="2845" spans="1:9" x14ac:dyDescent="0.25">
      <c r="A2845" t="s">
        <v>8012</v>
      </c>
      <c r="B2845" t="s">
        <v>8013</v>
      </c>
      <c r="C2845" s="167">
        <v>15</v>
      </c>
      <c r="D2845" t="s">
        <v>59</v>
      </c>
      <c r="E2845" t="s">
        <v>2853</v>
      </c>
      <c r="F2845" t="s">
        <v>7352</v>
      </c>
      <c r="G2845" t="s">
        <v>7352</v>
      </c>
      <c r="I2845" t="s">
        <v>2805</v>
      </c>
    </row>
    <row r="2846" spans="1:9" x14ac:dyDescent="0.25">
      <c r="A2846" t="s">
        <v>7746</v>
      </c>
      <c r="B2846" t="s">
        <v>7747</v>
      </c>
      <c r="C2846" s="167">
        <v>41.18</v>
      </c>
      <c r="D2846" t="s">
        <v>59</v>
      </c>
      <c r="E2846" t="s">
        <v>1701</v>
      </c>
      <c r="F2846" t="s">
        <v>7357</v>
      </c>
      <c r="G2846" t="s">
        <v>7338</v>
      </c>
      <c r="I2846" t="s">
        <v>2812</v>
      </c>
    </row>
    <row r="2847" spans="1:9" x14ac:dyDescent="0.25">
      <c r="A2847" t="s">
        <v>7749</v>
      </c>
      <c r="B2847" t="s">
        <v>7750</v>
      </c>
      <c r="C2847" s="167">
        <v>41.18</v>
      </c>
      <c r="D2847" t="s">
        <v>59</v>
      </c>
      <c r="E2847" t="s">
        <v>1699</v>
      </c>
      <c r="F2847" t="s">
        <v>7357</v>
      </c>
      <c r="G2847" t="s">
        <v>7338</v>
      </c>
      <c r="I2847" t="s">
        <v>2812</v>
      </c>
    </row>
    <row r="2848" spans="1:9" x14ac:dyDescent="0.25">
      <c r="A2848" t="s">
        <v>7752</v>
      </c>
      <c r="B2848" t="s">
        <v>7753</v>
      </c>
      <c r="C2848" s="167">
        <v>41.18</v>
      </c>
      <c r="D2848" t="s">
        <v>59</v>
      </c>
      <c r="E2848" t="s">
        <v>1703</v>
      </c>
      <c r="F2848" t="s">
        <v>7357</v>
      </c>
      <c r="G2848" t="s">
        <v>7338</v>
      </c>
      <c r="I2848" t="s">
        <v>2812</v>
      </c>
    </row>
    <row r="2849" spans="1:9" x14ac:dyDescent="0.25">
      <c r="A2849" t="s">
        <v>7755</v>
      </c>
      <c r="B2849" t="s">
        <v>7756</v>
      </c>
      <c r="C2849" s="167">
        <v>41.18</v>
      </c>
      <c r="D2849" t="s">
        <v>21</v>
      </c>
      <c r="E2849" t="s">
        <v>1701</v>
      </c>
      <c r="F2849" t="s">
        <v>7357</v>
      </c>
      <c r="G2849" t="s">
        <v>7338</v>
      </c>
      <c r="I2849" t="s">
        <v>2812</v>
      </c>
    </row>
    <row r="2850" spans="1:9" x14ac:dyDescent="0.25">
      <c r="A2850" t="s">
        <v>7758</v>
      </c>
      <c r="B2850" t="s">
        <v>7759</v>
      </c>
      <c r="C2850" s="167">
        <v>41.18</v>
      </c>
      <c r="D2850" t="s">
        <v>21</v>
      </c>
      <c r="E2850" t="s">
        <v>1699</v>
      </c>
      <c r="F2850" t="s">
        <v>7357</v>
      </c>
      <c r="G2850" t="s">
        <v>7338</v>
      </c>
      <c r="I2850" t="s">
        <v>2812</v>
      </c>
    </row>
    <row r="2851" spans="1:9" x14ac:dyDescent="0.25">
      <c r="A2851" t="s">
        <v>7761</v>
      </c>
      <c r="B2851" t="s">
        <v>7762</v>
      </c>
      <c r="C2851" s="167">
        <v>41.18</v>
      </c>
      <c r="D2851" t="s">
        <v>21</v>
      </c>
      <c r="E2851" t="s">
        <v>1703</v>
      </c>
      <c r="F2851" t="s">
        <v>7357</v>
      </c>
      <c r="G2851" t="s">
        <v>7338</v>
      </c>
      <c r="I2851" t="s">
        <v>2812</v>
      </c>
    </row>
    <row r="2852" spans="1:9" x14ac:dyDescent="0.25">
      <c r="A2852" t="s">
        <v>7764</v>
      </c>
      <c r="B2852" t="s">
        <v>7765</v>
      </c>
      <c r="C2852" s="167">
        <v>41.18</v>
      </c>
      <c r="D2852" t="s">
        <v>563</v>
      </c>
      <c r="E2852" t="s">
        <v>1701</v>
      </c>
      <c r="F2852" t="s">
        <v>7357</v>
      </c>
      <c r="G2852" t="s">
        <v>7338</v>
      </c>
      <c r="I2852" t="s">
        <v>2812</v>
      </c>
    </row>
    <row r="2853" spans="1:9" x14ac:dyDescent="0.25">
      <c r="A2853" t="s">
        <v>7767</v>
      </c>
      <c r="B2853" t="s">
        <v>7768</v>
      </c>
      <c r="C2853" s="167">
        <v>41.18</v>
      </c>
      <c r="D2853" t="s">
        <v>563</v>
      </c>
      <c r="E2853" t="s">
        <v>1699</v>
      </c>
      <c r="F2853" t="s">
        <v>7357</v>
      </c>
      <c r="G2853" t="s">
        <v>7338</v>
      </c>
      <c r="I2853" t="s">
        <v>2812</v>
      </c>
    </row>
    <row r="2854" spans="1:9" x14ac:dyDescent="0.25">
      <c r="A2854" t="s">
        <v>7770</v>
      </c>
      <c r="B2854" t="s">
        <v>7771</v>
      </c>
      <c r="C2854" s="167">
        <v>41.18</v>
      </c>
      <c r="D2854" t="s">
        <v>563</v>
      </c>
      <c r="E2854" t="s">
        <v>1703</v>
      </c>
      <c r="F2854" t="s">
        <v>7357</v>
      </c>
      <c r="G2854" t="s">
        <v>7338</v>
      </c>
      <c r="I2854" t="s">
        <v>2812</v>
      </c>
    </row>
    <row r="2855" spans="1:9" x14ac:dyDescent="0.25">
      <c r="A2855" t="s">
        <v>7773</v>
      </c>
      <c r="B2855" t="s">
        <v>7774</v>
      </c>
      <c r="C2855" s="167">
        <v>41.18</v>
      </c>
      <c r="D2855" t="s">
        <v>4633</v>
      </c>
      <c r="E2855" t="s">
        <v>1701</v>
      </c>
      <c r="F2855" t="s">
        <v>7357</v>
      </c>
      <c r="G2855" t="s">
        <v>7338</v>
      </c>
      <c r="I2855" t="s">
        <v>2812</v>
      </c>
    </row>
    <row r="2856" spans="1:9" x14ac:dyDescent="0.25">
      <c r="A2856" t="s">
        <v>7776</v>
      </c>
      <c r="B2856" t="s">
        <v>7777</v>
      </c>
      <c r="C2856" s="167">
        <v>41.18</v>
      </c>
      <c r="D2856" t="s">
        <v>4633</v>
      </c>
      <c r="E2856" t="s">
        <v>1699</v>
      </c>
      <c r="F2856" t="s">
        <v>7357</v>
      </c>
      <c r="G2856" t="s">
        <v>7338</v>
      </c>
      <c r="I2856" t="s">
        <v>2812</v>
      </c>
    </row>
    <row r="2857" spans="1:9" x14ac:dyDescent="0.25">
      <c r="A2857" t="s">
        <v>7779</v>
      </c>
      <c r="B2857" t="s">
        <v>7780</v>
      </c>
      <c r="C2857" s="167">
        <v>41.18</v>
      </c>
      <c r="D2857" t="s">
        <v>4633</v>
      </c>
      <c r="E2857" t="s">
        <v>1703</v>
      </c>
      <c r="F2857" t="s">
        <v>7357</v>
      </c>
      <c r="G2857" t="s">
        <v>7338</v>
      </c>
      <c r="I2857" t="s">
        <v>2812</v>
      </c>
    </row>
    <row r="2858" spans="1:9" x14ac:dyDescent="0.25">
      <c r="A2858" t="s">
        <v>7782</v>
      </c>
      <c r="B2858" t="s">
        <v>7783</v>
      </c>
      <c r="C2858" s="167">
        <v>41.18</v>
      </c>
      <c r="D2858" t="s">
        <v>671</v>
      </c>
      <c r="E2858" t="s">
        <v>1701</v>
      </c>
      <c r="F2858" t="s">
        <v>7357</v>
      </c>
      <c r="G2858" t="s">
        <v>7338</v>
      </c>
      <c r="I2858" t="s">
        <v>2812</v>
      </c>
    </row>
    <row r="2859" spans="1:9" x14ac:dyDescent="0.25">
      <c r="A2859" t="s">
        <v>7785</v>
      </c>
      <c r="B2859" t="s">
        <v>7786</v>
      </c>
      <c r="C2859" s="167">
        <v>41.18</v>
      </c>
      <c r="D2859" t="s">
        <v>671</v>
      </c>
      <c r="E2859" t="s">
        <v>1699</v>
      </c>
      <c r="F2859" t="s">
        <v>7357</v>
      </c>
      <c r="G2859" t="s">
        <v>7338</v>
      </c>
      <c r="I2859" t="s">
        <v>2812</v>
      </c>
    </row>
    <row r="2860" spans="1:9" x14ac:dyDescent="0.25">
      <c r="A2860" t="s">
        <v>7788</v>
      </c>
      <c r="B2860" t="s">
        <v>7789</v>
      </c>
      <c r="C2860" s="167">
        <v>41.18</v>
      </c>
      <c r="D2860" t="s">
        <v>671</v>
      </c>
      <c r="E2860" t="s">
        <v>1703</v>
      </c>
      <c r="F2860" t="s">
        <v>7357</v>
      </c>
      <c r="G2860" t="s">
        <v>7338</v>
      </c>
      <c r="I2860" t="s">
        <v>2812</v>
      </c>
    </row>
    <row r="2861" spans="1:9" x14ac:dyDescent="0.25">
      <c r="A2861" t="s">
        <v>7791</v>
      </c>
      <c r="B2861" t="s">
        <v>7792</v>
      </c>
      <c r="C2861" s="167">
        <v>48.21</v>
      </c>
      <c r="D2861" t="s">
        <v>59</v>
      </c>
      <c r="E2861" t="s">
        <v>1701</v>
      </c>
      <c r="F2861" t="s">
        <v>7358</v>
      </c>
      <c r="G2861" t="s">
        <v>7338</v>
      </c>
      <c r="I2861" t="s">
        <v>2812</v>
      </c>
    </row>
    <row r="2862" spans="1:9" x14ac:dyDescent="0.25">
      <c r="A2862" t="s">
        <v>7793</v>
      </c>
      <c r="B2862" t="s">
        <v>7794</v>
      </c>
      <c r="C2862" s="167">
        <v>48.21</v>
      </c>
      <c r="D2862" t="s">
        <v>59</v>
      </c>
      <c r="E2862" t="s">
        <v>1699</v>
      </c>
      <c r="F2862" t="s">
        <v>7358</v>
      </c>
      <c r="G2862" t="s">
        <v>7338</v>
      </c>
      <c r="I2862" t="s">
        <v>2812</v>
      </c>
    </row>
    <row r="2863" spans="1:9" x14ac:dyDescent="0.25">
      <c r="A2863" t="s">
        <v>7795</v>
      </c>
      <c r="B2863" t="s">
        <v>7796</v>
      </c>
      <c r="C2863" s="167">
        <v>48.21</v>
      </c>
      <c r="D2863" t="s">
        <v>59</v>
      </c>
      <c r="E2863" t="s">
        <v>1703</v>
      </c>
      <c r="F2863" t="s">
        <v>7358</v>
      </c>
      <c r="G2863" t="s">
        <v>7338</v>
      </c>
      <c r="I2863" t="s">
        <v>2812</v>
      </c>
    </row>
    <row r="2864" spans="1:9" x14ac:dyDescent="0.25">
      <c r="A2864" t="s">
        <v>7797</v>
      </c>
      <c r="B2864" t="s">
        <v>7798</v>
      </c>
      <c r="C2864" s="167">
        <v>48.21</v>
      </c>
      <c r="D2864" t="s">
        <v>21</v>
      </c>
      <c r="E2864" t="s">
        <v>1701</v>
      </c>
      <c r="F2864" t="s">
        <v>7358</v>
      </c>
      <c r="G2864" t="s">
        <v>7338</v>
      </c>
      <c r="I2864" t="s">
        <v>2812</v>
      </c>
    </row>
    <row r="2865" spans="1:9" x14ac:dyDescent="0.25">
      <c r="A2865" t="s">
        <v>7799</v>
      </c>
      <c r="B2865" t="s">
        <v>7800</v>
      </c>
      <c r="C2865" s="167">
        <v>48.21</v>
      </c>
      <c r="D2865" t="s">
        <v>21</v>
      </c>
      <c r="E2865" t="s">
        <v>1699</v>
      </c>
      <c r="F2865" t="s">
        <v>7358</v>
      </c>
      <c r="G2865" t="s">
        <v>7338</v>
      </c>
      <c r="I2865" t="s">
        <v>2812</v>
      </c>
    </row>
    <row r="2866" spans="1:9" x14ac:dyDescent="0.25">
      <c r="A2866" t="s">
        <v>7801</v>
      </c>
      <c r="B2866" t="s">
        <v>7802</v>
      </c>
      <c r="C2866" s="167">
        <v>48.21</v>
      </c>
      <c r="D2866" t="s">
        <v>21</v>
      </c>
      <c r="E2866" t="s">
        <v>1703</v>
      </c>
      <c r="F2866" t="s">
        <v>7358</v>
      </c>
      <c r="G2866" t="s">
        <v>7338</v>
      </c>
      <c r="I2866" t="s">
        <v>2812</v>
      </c>
    </row>
    <row r="2867" spans="1:9" x14ac:dyDescent="0.25">
      <c r="A2867" t="s">
        <v>7803</v>
      </c>
      <c r="B2867" t="s">
        <v>7804</v>
      </c>
      <c r="C2867" s="167">
        <v>48.21</v>
      </c>
      <c r="D2867" t="s">
        <v>563</v>
      </c>
      <c r="E2867" t="s">
        <v>1701</v>
      </c>
      <c r="F2867" t="s">
        <v>7358</v>
      </c>
      <c r="G2867" t="s">
        <v>7338</v>
      </c>
      <c r="I2867" t="s">
        <v>2812</v>
      </c>
    </row>
    <row r="2868" spans="1:9" x14ac:dyDescent="0.25">
      <c r="A2868" t="s">
        <v>7806</v>
      </c>
      <c r="B2868" t="s">
        <v>7807</v>
      </c>
      <c r="C2868" s="167">
        <v>48.21</v>
      </c>
      <c r="D2868" t="s">
        <v>563</v>
      </c>
      <c r="E2868" t="s">
        <v>1699</v>
      </c>
      <c r="F2868" t="s">
        <v>7358</v>
      </c>
      <c r="G2868" t="s">
        <v>7338</v>
      </c>
      <c r="I2868" t="s">
        <v>2812</v>
      </c>
    </row>
    <row r="2869" spans="1:9" x14ac:dyDescent="0.25">
      <c r="A2869" t="s">
        <v>7808</v>
      </c>
      <c r="B2869" t="s">
        <v>7809</v>
      </c>
      <c r="C2869" s="167">
        <v>48.21</v>
      </c>
      <c r="D2869" t="s">
        <v>563</v>
      </c>
      <c r="E2869" t="s">
        <v>1703</v>
      </c>
      <c r="F2869" t="s">
        <v>7358</v>
      </c>
      <c r="G2869" t="s">
        <v>7338</v>
      </c>
      <c r="I2869" t="s">
        <v>2812</v>
      </c>
    </row>
    <row r="2870" spans="1:9" x14ac:dyDescent="0.25">
      <c r="A2870" t="s">
        <v>7810</v>
      </c>
      <c r="B2870" t="s">
        <v>7811</v>
      </c>
      <c r="C2870" s="167">
        <v>48.21</v>
      </c>
      <c r="D2870" t="s">
        <v>4633</v>
      </c>
      <c r="E2870" t="s">
        <v>1701</v>
      </c>
      <c r="F2870" t="s">
        <v>7358</v>
      </c>
      <c r="G2870" t="s">
        <v>7338</v>
      </c>
      <c r="I2870" t="s">
        <v>2812</v>
      </c>
    </row>
    <row r="2871" spans="1:9" x14ac:dyDescent="0.25">
      <c r="A2871" t="s">
        <v>7812</v>
      </c>
      <c r="B2871" t="s">
        <v>7813</v>
      </c>
      <c r="C2871" s="167">
        <v>48.21</v>
      </c>
      <c r="D2871" t="s">
        <v>4633</v>
      </c>
      <c r="E2871" t="s">
        <v>1699</v>
      </c>
      <c r="F2871" t="s">
        <v>7358</v>
      </c>
      <c r="G2871" t="s">
        <v>7338</v>
      </c>
      <c r="I2871" t="s">
        <v>2812</v>
      </c>
    </row>
    <row r="2872" spans="1:9" x14ac:dyDescent="0.25">
      <c r="A2872" t="s">
        <v>7814</v>
      </c>
      <c r="B2872" t="s">
        <v>7815</v>
      </c>
      <c r="C2872" s="167">
        <v>48.21</v>
      </c>
      <c r="D2872" t="s">
        <v>4633</v>
      </c>
      <c r="E2872" t="s">
        <v>1703</v>
      </c>
      <c r="F2872" t="s">
        <v>7358</v>
      </c>
      <c r="G2872" t="s">
        <v>7338</v>
      </c>
      <c r="I2872" t="s">
        <v>2812</v>
      </c>
    </row>
    <row r="2873" spans="1:9" x14ac:dyDescent="0.25">
      <c r="A2873" t="s">
        <v>7816</v>
      </c>
      <c r="B2873" t="s">
        <v>7817</v>
      </c>
      <c r="C2873" s="167">
        <v>48.21</v>
      </c>
      <c r="D2873" t="s">
        <v>671</v>
      </c>
      <c r="E2873" t="s">
        <v>1701</v>
      </c>
      <c r="F2873" t="s">
        <v>7358</v>
      </c>
      <c r="G2873" t="s">
        <v>7338</v>
      </c>
      <c r="I2873" t="s">
        <v>2812</v>
      </c>
    </row>
    <row r="2874" spans="1:9" x14ac:dyDescent="0.25">
      <c r="A2874" t="s">
        <v>7818</v>
      </c>
      <c r="B2874" t="s">
        <v>7819</v>
      </c>
      <c r="C2874" s="167">
        <v>48.21</v>
      </c>
      <c r="D2874" t="s">
        <v>671</v>
      </c>
      <c r="E2874" t="s">
        <v>1699</v>
      </c>
      <c r="F2874" t="s">
        <v>7358</v>
      </c>
      <c r="G2874" t="s">
        <v>7338</v>
      </c>
      <c r="I2874" t="s">
        <v>2812</v>
      </c>
    </row>
    <row r="2875" spans="1:9" x14ac:dyDescent="0.25">
      <c r="A2875" t="s">
        <v>7820</v>
      </c>
      <c r="B2875" t="s">
        <v>7821</v>
      </c>
      <c r="C2875" s="167">
        <v>48.21</v>
      </c>
      <c r="D2875" t="s">
        <v>671</v>
      </c>
      <c r="E2875" t="s">
        <v>1703</v>
      </c>
      <c r="F2875" t="s">
        <v>7358</v>
      </c>
      <c r="G2875" t="s">
        <v>7338</v>
      </c>
      <c r="I2875" t="s">
        <v>2812</v>
      </c>
    </row>
    <row r="2876" spans="1:9" x14ac:dyDescent="0.25">
      <c r="A2876" t="s">
        <v>7822</v>
      </c>
      <c r="B2876" t="s">
        <v>7823</v>
      </c>
      <c r="C2876" s="167">
        <v>56.47</v>
      </c>
      <c r="D2876" t="s">
        <v>59</v>
      </c>
      <c r="E2876" t="s">
        <v>1701</v>
      </c>
      <c r="F2876" t="s">
        <v>7359</v>
      </c>
      <c r="G2876" t="s">
        <v>7338</v>
      </c>
      <c r="I2876" t="s">
        <v>2812</v>
      </c>
    </row>
    <row r="2877" spans="1:9" x14ac:dyDescent="0.25">
      <c r="A2877" t="s">
        <v>7824</v>
      </c>
      <c r="B2877" t="s">
        <v>7825</v>
      </c>
      <c r="C2877" s="167">
        <v>56.47</v>
      </c>
      <c r="D2877" t="s">
        <v>59</v>
      </c>
      <c r="E2877" t="s">
        <v>1699</v>
      </c>
      <c r="F2877" t="s">
        <v>7359</v>
      </c>
      <c r="G2877" t="s">
        <v>7338</v>
      </c>
      <c r="I2877" t="s">
        <v>2812</v>
      </c>
    </row>
    <row r="2878" spans="1:9" x14ac:dyDescent="0.25">
      <c r="A2878" t="s">
        <v>7826</v>
      </c>
      <c r="B2878" t="s">
        <v>7827</v>
      </c>
      <c r="C2878" s="167">
        <v>56.47</v>
      </c>
      <c r="D2878" t="s">
        <v>59</v>
      </c>
      <c r="E2878" t="s">
        <v>1703</v>
      </c>
      <c r="F2878" t="s">
        <v>7359</v>
      </c>
      <c r="G2878" t="s">
        <v>7338</v>
      </c>
      <c r="I2878" t="s">
        <v>2812</v>
      </c>
    </row>
    <row r="2879" spans="1:9" x14ac:dyDescent="0.25">
      <c r="A2879" t="s">
        <v>7828</v>
      </c>
      <c r="B2879" t="s">
        <v>7829</v>
      </c>
      <c r="C2879" s="167">
        <v>56.47</v>
      </c>
      <c r="D2879" t="s">
        <v>21</v>
      </c>
      <c r="E2879" t="s">
        <v>1701</v>
      </c>
      <c r="F2879" t="s">
        <v>7359</v>
      </c>
      <c r="G2879" t="s">
        <v>7338</v>
      </c>
      <c r="I2879" t="s">
        <v>2812</v>
      </c>
    </row>
    <row r="2880" spans="1:9" x14ac:dyDescent="0.25">
      <c r="A2880" t="s">
        <v>7830</v>
      </c>
      <c r="B2880" t="s">
        <v>7831</v>
      </c>
      <c r="C2880" s="167">
        <v>56.47</v>
      </c>
      <c r="D2880" t="s">
        <v>21</v>
      </c>
      <c r="E2880" t="s">
        <v>1699</v>
      </c>
      <c r="F2880" t="s">
        <v>7359</v>
      </c>
      <c r="G2880" t="s">
        <v>7338</v>
      </c>
      <c r="I2880" t="s">
        <v>2812</v>
      </c>
    </row>
    <row r="2881" spans="1:9" x14ac:dyDescent="0.25">
      <c r="A2881" t="s">
        <v>7832</v>
      </c>
      <c r="B2881" t="s">
        <v>7833</v>
      </c>
      <c r="C2881" s="167">
        <v>56.47</v>
      </c>
      <c r="D2881" t="s">
        <v>21</v>
      </c>
      <c r="E2881" t="s">
        <v>1703</v>
      </c>
      <c r="F2881" t="s">
        <v>7359</v>
      </c>
      <c r="G2881" t="s">
        <v>7338</v>
      </c>
      <c r="I2881" t="s">
        <v>2812</v>
      </c>
    </row>
    <row r="2882" spans="1:9" x14ac:dyDescent="0.25">
      <c r="A2882" t="s">
        <v>7834</v>
      </c>
      <c r="B2882" t="s">
        <v>7835</v>
      </c>
      <c r="C2882" s="167">
        <v>56.47</v>
      </c>
      <c r="D2882" t="s">
        <v>563</v>
      </c>
      <c r="E2882" t="s">
        <v>1701</v>
      </c>
      <c r="F2882" t="s">
        <v>7359</v>
      </c>
      <c r="G2882" t="s">
        <v>7338</v>
      </c>
      <c r="I2882" t="s">
        <v>2812</v>
      </c>
    </row>
    <row r="2883" spans="1:9" x14ac:dyDescent="0.25">
      <c r="A2883" t="s">
        <v>7836</v>
      </c>
      <c r="B2883" t="s">
        <v>7837</v>
      </c>
      <c r="C2883" s="167">
        <v>56.47</v>
      </c>
      <c r="D2883" t="s">
        <v>563</v>
      </c>
      <c r="E2883" t="s">
        <v>1699</v>
      </c>
      <c r="F2883" t="s">
        <v>7359</v>
      </c>
      <c r="G2883" t="s">
        <v>7338</v>
      </c>
      <c r="I2883" t="s">
        <v>2812</v>
      </c>
    </row>
    <row r="2884" spans="1:9" x14ac:dyDescent="0.25">
      <c r="A2884" t="s">
        <v>7838</v>
      </c>
      <c r="B2884" t="s">
        <v>7839</v>
      </c>
      <c r="C2884" s="167">
        <v>56.47</v>
      </c>
      <c r="D2884" t="s">
        <v>563</v>
      </c>
      <c r="E2884" t="s">
        <v>1703</v>
      </c>
      <c r="F2884" t="s">
        <v>7359</v>
      </c>
      <c r="G2884" t="s">
        <v>7338</v>
      </c>
      <c r="I2884" t="s">
        <v>2812</v>
      </c>
    </row>
    <row r="2885" spans="1:9" x14ac:dyDescent="0.25">
      <c r="A2885" t="s">
        <v>7840</v>
      </c>
      <c r="B2885" t="s">
        <v>7841</v>
      </c>
      <c r="C2885" s="167">
        <v>56.47</v>
      </c>
      <c r="D2885" t="s">
        <v>4633</v>
      </c>
      <c r="E2885" t="s">
        <v>1701</v>
      </c>
      <c r="F2885" t="s">
        <v>7359</v>
      </c>
      <c r="G2885" t="s">
        <v>7338</v>
      </c>
      <c r="I2885" t="s">
        <v>2812</v>
      </c>
    </row>
    <row r="2886" spans="1:9" x14ac:dyDescent="0.25">
      <c r="A2886" t="s">
        <v>7842</v>
      </c>
      <c r="B2886" t="s">
        <v>7843</v>
      </c>
      <c r="C2886" s="167">
        <v>56.47</v>
      </c>
      <c r="D2886" t="s">
        <v>4633</v>
      </c>
      <c r="E2886" t="s">
        <v>1699</v>
      </c>
      <c r="F2886" t="s">
        <v>7359</v>
      </c>
      <c r="G2886" t="s">
        <v>7338</v>
      </c>
      <c r="I2886" t="s">
        <v>2812</v>
      </c>
    </row>
    <row r="2887" spans="1:9" x14ac:dyDescent="0.25">
      <c r="A2887" t="s">
        <v>7844</v>
      </c>
      <c r="B2887" t="s">
        <v>7845</v>
      </c>
      <c r="C2887" s="167">
        <v>56.47</v>
      </c>
      <c r="D2887" t="s">
        <v>4633</v>
      </c>
      <c r="E2887" t="s">
        <v>1703</v>
      </c>
      <c r="F2887" t="s">
        <v>7359</v>
      </c>
      <c r="G2887" t="s">
        <v>7338</v>
      </c>
      <c r="I2887" t="s">
        <v>2812</v>
      </c>
    </row>
    <row r="2888" spans="1:9" x14ac:dyDescent="0.25">
      <c r="A2888" t="s">
        <v>7846</v>
      </c>
      <c r="B2888" t="s">
        <v>7847</v>
      </c>
      <c r="C2888" s="167">
        <v>56.47</v>
      </c>
      <c r="D2888" t="s">
        <v>671</v>
      </c>
      <c r="E2888" t="s">
        <v>1701</v>
      </c>
      <c r="F2888" t="s">
        <v>7359</v>
      </c>
      <c r="G2888" t="s">
        <v>7338</v>
      </c>
      <c r="I2888" t="s">
        <v>2812</v>
      </c>
    </row>
    <row r="2889" spans="1:9" x14ac:dyDescent="0.25">
      <c r="A2889" t="s">
        <v>7848</v>
      </c>
      <c r="B2889" t="s">
        <v>7849</v>
      </c>
      <c r="C2889" s="167">
        <v>56.47</v>
      </c>
      <c r="D2889" t="s">
        <v>671</v>
      </c>
      <c r="E2889" t="s">
        <v>1699</v>
      </c>
      <c r="F2889" t="s">
        <v>7359</v>
      </c>
      <c r="G2889" t="s">
        <v>7338</v>
      </c>
      <c r="I2889" t="s">
        <v>2812</v>
      </c>
    </row>
    <row r="2890" spans="1:9" x14ac:dyDescent="0.25">
      <c r="A2890" t="s">
        <v>7850</v>
      </c>
      <c r="B2890" t="s">
        <v>7851</v>
      </c>
      <c r="C2890" s="167">
        <v>56.47</v>
      </c>
      <c r="D2890" t="s">
        <v>671</v>
      </c>
      <c r="E2890" t="s">
        <v>1703</v>
      </c>
      <c r="F2890" t="s">
        <v>7359</v>
      </c>
      <c r="G2890" t="s">
        <v>7338</v>
      </c>
      <c r="I2890" t="s">
        <v>2812</v>
      </c>
    </row>
    <row r="2891" spans="1:9" x14ac:dyDescent="0.25">
      <c r="A2891" t="s">
        <v>7852</v>
      </c>
      <c r="B2891" t="s">
        <v>7853</v>
      </c>
      <c r="C2891" s="167">
        <v>64.63</v>
      </c>
      <c r="D2891" t="s">
        <v>59</v>
      </c>
      <c r="E2891" t="s">
        <v>1701</v>
      </c>
      <c r="F2891" t="s">
        <v>7360</v>
      </c>
      <c r="G2891" t="s">
        <v>7338</v>
      </c>
      <c r="I2891" t="s">
        <v>2812</v>
      </c>
    </row>
    <row r="2892" spans="1:9" x14ac:dyDescent="0.25">
      <c r="A2892" t="s">
        <v>7854</v>
      </c>
      <c r="B2892" t="s">
        <v>7855</v>
      </c>
      <c r="C2892" s="167">
        <v>64.63</v>
      </c>
      <c r="D2892" t="s">
        <v>59</v>
      </c>
      <c r="E2892" t="s">
        <v>1699</v>
      </c>
      <c r="F2892" t="s">
        <v>7360</v>
      </c>
      <c r="G2892" t="s">
        <v>7338</v>
      </c>
      <c r="I2892" t="s">
        <v>2812</v>
      </c>
    </row>
    <row r="2893" spans="1:9" x14ac:dyDescent="0.25">
      <c r="A2893" t="s">
        <v>7856</v>
      </c>
      <c r="B2893" t="s">
        <v>7857</v>
      </c>
      <c r="C2893" s="167">
        <v>64.63</v>
      </c>
      <c r="D2893" t="s">
        <v>59</v>
      </c>
      <c r="E2893" t="s">
        <v>1703</v>
      </c>
      <c r="F2893" t="s">
        <v>7360</v>
      </c>
      <c r="G2893" t="s">
        <v>7338</v>
      </c>
      <c r="I2893" t="s">
        <v>2812</v>
      </c>
    </row>
    <row r="2894" spans="1:9" x14ac:dyDescent="0.25">
      <c r="A2894" t="s">
        <v>7858</v>
      </c>
      <c r="B2894" t="s">
        <v>7859</v>
      </c>
      <c r="C2894" s="167">
        <v>64.63</v>
      </c>
      <c r="D2894" t="s">
        <v>21</v>
      </c>
      <c r="E2894" t="s">
        <v>1701</v>
      </c>
      <c r="F2894" t="s">
        <v>7360</v>
      </c>
      <c r="G2894" t="s">
        <v>7338</v>
      </c>
      <c r="I2894" t="s">
        <v>2812</v>
      </c>
    </row>
    <row r="2895" spans="1:9" x14ac:dyDescent="0.25">
      <c r="A2895" t="s">
        <v>7860</v>
      </c>
      <c r="B2895" t="s">
        <v>7861</v>
      </c>
      <c r="C2895" s="167">
        <v>64.63</v>
      </c>
      <c r="D2895" t="s">
        <v>21</v>
      </c>
      <c r="E2895" t="s">
        <v>1699</v>
      </c>
      <c r="F2895" t="s">
        <v>7360</v>
      </c>
      <c r="G2895" t="s">
        <v>7338</v>
      </c>
      <c r="I2895" t="s">
        <v>2812</v>
      </c>
    </row>
    <row r="2896" spans="1:9" x14ac:dyDescent="0.25">
      <c r="A2896" t="s">
        <v>7862</v>
      </c>
      <c r="B2896" t="s">
        <v>7863</v>
      </c>
      <c r="C2896" s="167">
        <v>64.63</v>
      </c>
      <c r="D2896" t="s">
        <v>21</v>
      </c>
      <c r="E2896" t="s">
        <v>1703</v>
      </c>
      <c r="F2896" t="s">
        <v>7360</v>
      </c>
      <c r="G2896" t="s">
        <v>7338</v>
      </c>
      <c r="I2896" t="s">
        <v>2812</v>
      </c>
    </row>
    <row r="2897" spans="1:9" x14ac:dyDescent="0.25">
      <c r="A2897" t="s">
        <v>7864</v>
      </c>
      <c r="B2897" t="s">
        <v>7865</v>
      </c>
      <c r="C2897" s="167">
        <v>64.63</v>
      </c>
      <c r="D2897" t="s">
        <v>563</v>
      </c>
      <c r="E2897" t="s">
        <v>1701</v>
      </c>
      <c r="F2897" t="s">
        <v>7360</v>
      </c>
      <c r="G2897" t="s">
        <v>7338</v>
      </c>
      <c r="I2897" t="s">
        <v>2812</v>
      </c>
    </row>
    <row r="2898" spans="1:9" x14ac:dyDescent="0.25">
      <c r="A2898" t="s">
        <v>7866</v>
      </c>
      <c r="B2898" t="s">
        <v>7867</v>
      </c>
      <c r="C2898" s="167">
        <v>64.63</v>
      </c>
      <c r="D2898" t="s">
        <v>563</v>
      </c>
      <c r="E2898" t="s">
        <v>1699</v>
      </c>
      <c r="F2898" t="s">
        <v>7360</v>
      </c>
      <c r="G2898" t="s">
        <v>7338</v>
      </c>
      <c r="I2898" t="s">
        <v>2812</v>
      </c>
    </row>
    <row r="2899" spans="1:9" x14ac:dyDescent="0.25">
      <c r="A2899" t="s">
        <v>7868</v>
      </c>
      <c r="B2899" t="s">
        <v>7869</v>
      </c>
      <c r="C2899" s="167">
        <v>64.63</v>
      </c>
      <c r="D2899" t="s">
        <v>563</v>
      </c>
      <c r="E2899" t="s">
        <v>1703</v>
      </c>
      <c r="F2899" t="s">
        <v>7360</v>
      </c>
      <c r="G2899" t="s">
        <v>7338</v>
      </c>
      <c r="I2899" t="s">
        <v>2812</v>
      </c>
    </row>
    <row r="2900" spans="1:9" x14ac:dyDescent="0.25">
      <c r="A2900" t="s">
        <v>7870</v>
      </c>
      <c r="B2900" t="s">
        <v>7871</v>
      </c>
      <c r="C2900" s="167">
        <v>64.63</v>
      </c>
      <c r="D2900" t="s">
        <v>4633</v>
      </c>
      <c r="E2900" t="s">
        <v>1701</v>
      </c>
      <c r="F2900" t="s">
        <v>7360</v>
      </c>
      <c r="G2900" t="s">
        <v>7338</v>
      </c>
      <c r="I2900" t="s">
        <v>2812</v>
      </c>
    </row>
    <row r="2901" spans="1:9" x14ac:dyDescent="0.25">
      <c r="A2901" t="s">
        <v>7872</v>
      </c>
      <c r="B2901" t="s">
        <v>7873</v>
      </c>
      <c r="C2901" s="167">
        <v>64.63</v>
      </c>
      <c r="D2901" t="s">
        <v>4633</v>
      </c>
      <c r="E2901" t="s">
        <v>1699</v>
      </c>
      <c r="F2901" t="s">
        <v>7360</v>
      </c>
      <c r="G2901" t="s">
        <v>7338</v>
      </c>
      <c r="I2901" t="s">
        <v>2812</v>
      </c>
    </row>
    <row r="2902" spans="1:9" x14ac:dyDescent="0.25">
      <c r="A2902" t="s">
        <v>7874</v>
      </c>
      <c r="B2902" t="s">
        <v>7875</v>
      </c>
      <c r="C2902" s="167">
        <v>64.63</v>
      </c>
      <c r="D2902" t="s">
        <v>4633</v>
      </c>
      <c r="E2902" t="s">
        <v>1703</v>
      </c>
      <c r="F2902" t="s">
        <v>7360</v>
      </c>
      <c r="G2902" t="s">
        <v>7338</v>
      </c>
      <c r="I2902" t="s">
        <v>2812</v>
      </c>
    </row>
    <row r="2903" spans="1:9" x14ac:dyDescent="0.25">
      <c r="A2903" t="s">
        <v>7876</v>
      </c>
      <c r="B2903" t="s">
        <v>7877</v>
      </c>
      <c r="C2903" s="167">
        <v>64.63</v>
      </c>
      <c r="D2903" t="s">
        <v>671</v>
      </c>
      <c r="E2903" t="s">
        <v>1701</v>
      </c>
      <c r="F2903" t="s">
        <v>7360</v>
      </c>
      <c r="G2903" t="s">
        <v>7338</v>
      </c>
      <c r="I2903" t="s">
        <v>2812</v>
      </c>
    </row>
    <row r="2904" spans="1:9" x14ac:dyDescent="0.25">
      <c r="A2904" t="s">
        <v>7878</v>
      </c>
      <c r="B2904" t="s">
        <v>7879</v>
      </c>
      <c r="C2904" s="167">
        <v>64.63</v>
      </c>
      <c r="D2904" t="s">
        <v>671</v>
      </c>
      <c r="E2904" t="s">
        <v>1699</v>
      </c>
      <c r="F2904" t="s">
        <v>7360</v>
      </c>
      <c r="G2904" t="s">
        <v>7338</v>
      </c>
      <c r="I2904" t="s">
        <v>2812</v>
      </c>
    </row>
    <row r="2905" spans="1:9" x14ac:dyDescent="0.25">
      <c r="A2905" t="s">
        <v>7880</v>
      </c>
      <c r="B2905" t="s">
        <v>7881</v>
      </c>
      <c r="C2905" s="167">
        <v>64.63</v>
      </c>
      <c r="D2905" t="s">
        <v>671</v>
      </c>
      <c r="E2905" t="s">
        <v>1703</v>
      </c>
      <c r="F2905" t="s">
        <v>7360</v>
      </c>
      <c r="G2905" t="s">
        <v>7338</v>
      </c>
      <c r="I2905" t="s">
        <v>2812</v>
      </c>
    </row>
    <row r="2906" spans="1:9" x14ac:dyDescent="0.25">
      <c r="A2906" t="s">
        <v>7907</v>
      </c>
      <c r="B2906" t="s">
        <v>7908</v>
      </c>
      <c r="C2906" s="167">
        <v>83.97</v>
      </c>
      <c r="D2906" t="s">
        <v>59</v>
      </c>
      <c r="E2906" t="s">
        <v>2853</v>
      </c>
      <c r="F2906" t="s">
        <v>7352</v>
      </c>
      <c r="G2906" t="s">
        <v>7338</v>
      </c>
      <c r="H2906">
        <v>7</v>
      </c>
      <c r="I2906" t="s">
        <v>2812</v>
      </c>
    </row>
    <row r="2907" spans="1:9" x14ac:dyDescent="0.25">
      <c r="A2907" t="s">
        <v>7909</v>
      </c>
      <c r="B2907" t="s">
        <v>7910</v>
      </c>
      <c r="C2907" s="167">
        <v>83.97</v>
      </c>
      <c r="D2907" t="s">
        <v>21</v>
      </c>
      <c r="E2907" t="s">
        <v>2853</v>
      </c>
      <c r="F2907" t="s">
        <v>7352</v>
      </c>
      <c r="G2907" t="s">
        <v>7338</v>
      </c>
      <c r="H2907">
        <v>7</v>
      </c>
      <c r="I2907" t="s">
        <v>2812</v>
      </c>
    </row>
    <row r="2908" spans="1:9" x14ac:dyDescent="0.25">
      <c r="A2908" t="s">
        <v>7911</v>
      </c>
      <c r="B2908" t="s">
        <v>7912</v>
      </c>
      <c r="C2908" s="167">
        <v>83.97</v>
      </c>
      <c r="D2908" t="s">
        <v>563</v>
      </c>
      <c r="E2908" t="s">
        <v>2853</v>
      </c>
      <c r="F2908" t="s">
        <v>7352</v>
      </c>
      <c r="G2908" t="s">
        <v>7338</v>
      </c>
      <c r="H2908">
        <v>7</v>
      </c>
      <c r="I2908" t="s">
        <v>2812</v>
      </c>
    </row>
    <row r="2909" spans="1:9" x14ac:dyDescent="0.25">
      <c r="A2909" t="s">
        <v>7913</v>
      </c>
      <c r="B2909" t="s">
        <v>7914</v>
      </c>
      <c r="C2909" s="167">
        <v>83.97</v>
      </c>
      <c r="D2909" t="s">
        <v>4633</v>
      </c>
      <c r="E2909" t="s">
        <v>2853</v>
      </c>
      <c r="F2909" t="s">
        <v>7352</v>
      </c>
      <c r="G2909" t="s">
        <v>7338</v>
      </c>
      <c r="H2909">
        <v>7</v>
      </c>
      <c r="I2909" t="s">
        <v>2812</v>
      </c>
    </row>
    <row r="2910" spans="1:9" x14ac:dyDescent="0.25">
      <c r="A2910" t="s">
        <v>7915</v>
      </c>
      <c r="B2910" t="s">
        <v>7916</v>
      </c>
      <c r="C2910" s="167">
        <v>83.97</v>
      </c>
      <c r="D2910" t="s">
        <v>671</v>
      </c>
      <c r="E2910" t="s">
        <v>2853</v>
      </c>
      <c r="F2910" t="s">
        <v>7352</v>
      </c>
      <c r="G2910" t="s">
        <v>7338</v>
      </c>
      <c r="H2910">
        <v>7</v>
      </c>
      <c r="I2910" t="s">
        <v>2812</v>
      </c>
    </row>
    <row r="2911" spans="1:9" x14ac:dyDescent="0.25">
      <c r="A2911" t="s">
        <v>7991</v>
      </c>
      <c r="B2911" t="s">
        <v>7992</v>
      </c>
      <c r="C2911" s="167">
        <v>88.71</v>
      </c>
      <c r="D2911" t="s">
        <v>59</v>
      </c>
      <c r="E2911" t="s">
        <v>2853</v>
      </c>
      <c r="F2911" t="s">
        <v>7352</v>
      </c>
      <c r="G2911" t="s">
        <v>7338</v>
      </c>
      <c r="H2911">
        <v>12</v>
      </c>
      <c r="I2911" t="s">
        <v>2812</v>
      </c>
    </row>
    <row r="2912" spans="1:9" x14ac:dyDescent="0.25">
      <c r="A2912" t="s">
        <v>7993</v>
      </c>
      <c r="B2912" t="s">
        <v>7994</v>
      </c>
      <c r="C2912" s="167">
        <v>88.71</v>
      </c>
      <c r="D2912" t="s">
        <v>21</v>
      </c>
      <c r="E2912" t="s">
        <v>2853</v>
      </c>
      <c r="F2912" t="s">
        <v>7352</v>
      </c>
      <c r="G2912" t="s">
        <v>7338</v>
      </c>
      <c r="H2912">
        <v>12</v>
      </c>
      <c r="I2912" t="s">
        <v>2812</v>
      </c>
    </row>
    <row r="2913" spans="1:9" x14ac:dyDescent="0.25">
      <c r="A2913" t="s">
        <v>7995</v>
      </c>
      <c r="B2913" t="s">
        <v>7996</v>
      </c>
      <c r="C2913" s="167">
        <v>88.71</v>
      </c>
      <c r="D2913" t="s">
        <v>563</v>
      </c>
      <c r="E2913" t="s">
        <v>2853</v>
      </c>
      <c r="F2913" t="s">
        <v>7352</v>
      </c>
      <c r="G2913" t="s">
        <v>7338</v>
      </c>
      <c r="H2913">
        <v>12</v>
      </c>
      <c r="I2913" t="s">
        <v>2812</v>
      </c>
    </row>
    <row r="2914" spans="1:9" x14ac:dyDescent="0.25">
      <c r="A2914" t="s">
        <v>7997</v>
      </c>
      <c r="B2914" t="s">
        <v>7998</v>
      </c>
      <c r="C2914" s="167">
        <v>88.71</v>
      </c>
      <c r="D2914" t="s">
        <v>4633</v>
      </c>
      <c r="E2914" t="s">
        <v>2853</v>
      </c>
      <c r="F2914" t="s">
        <v>7352</v>
      </c>
      <c r="G2914" t="s">
        <v>7338</v>
      </c>
      <c r="H2914">
        <v>12</v>
      </c>
      <c r="I2914" t="s">
        <v>2812</v>
      </c>
    </row>
    <row r="2915" spans="1:9" x14ac:dyDescent="0.25">
      <c r="A2915" t="s">
        <v>7999</v>
      </c>
      <c r="B2915" t="s">
        <v>8000</v>
      </c>
      <c r="C2915" s="167">
        <v>88.71</v>
      </c>
      <c r="D2915" t="s">
        <v>671</v>
      </c>
      <c r="E2915" t="s">
        <v>2853</v>
      </c>
      <c r="F2915" t="s">
        <v>7352</v>
      </c>
      <c r="G2915" t="s">
        <v>7338</v>
      </c>
      <c r="H2915">
        <v>12</v>
      </c>
      <c r="I2915" t="s">
        <v>2812</v>
      </c>
    </row>
    <row r="2916" spans="1:9" x14ac:dyDescent="0.25">
      <c r="A2916" t="s">
        <v>7653</v>
      </c>
      <c r="B2916" t="s">
        <v>7654</v>
      </c>
      <c r="C2916" s="167">
        <v>107.09</v>
      </c>
      <c r="D2916" t="s">
        <v>59</v>
      </c>
      <c r="E2916" t="s">
        <v>2853</v>
      </c>
      <c r="F2916" t="s">
        <v>7352</v>
      </c>
      <c r="G2916" t="s">
        <v>7352</v>
      </c>
      <c r="H2916">
        <v>19</v>
      </c>
      <c r="I2916" t="s">
        <v>2812</v>
      </c>
    </row>
    <row r="2917" spans="1:9" x14ac:dyDescent="0.25">
      <c r="A2917" t="s">
        <v>1824</v>
      </c>
      <c r="B2917" t="s">
        <v>1825</v>
      </c>
      <c r="C2917" s="167">
        <v>105.23</v>
      </c>
      <c r="D2917" t="s">
        <v>21</v>
      </c>
      <c r="E2917" t="s">
        <v>2853</v>
      </c>
      <c r="F2917" t="s">
        <v>7352</v>
      </c>
      <c r="G2917" t="s">
        <v>7352</v>
      </c>
      <c r="H2917">
        <v>19</v>
      </c>
      <c r="I2917" t="s">
        <v>2812</v>
      </c>
    </row>
    <row r="2918" spans="1:9" x14ac:dyDescent="0.25">
      <c r="A2918" t="s">
        <v>1826</v>
      </c>
      <c r="B2918" t="s">
        <v>1827</v>
      </c>
      <c r="C2918" s="167">
        <v>105.23</v>
      </c>
      <c r="D2918" t="s">
        <v>563</v>
      </c>
      <c r="E2918" t="s">
        <v>2853</v>
      </c>
      <c r="F2918" t="s">
        <v>7352</v>
      </c>
      <c r="G2918" t="s">
        <v>7352</v>
      </c>
      <c r="H2918">
        <v>19</v>
      </c>
      <c r="I2918" t="s">
        <v>2812</v>
      </c>
    </row>
    <row r="2919" spans="1:9" x14ac:dyDescent="0.25">
      <c r="A2919" t="s">
        <v>4789</v>
      </c>
      <c r="B2919" t="s">
        <v>4790</v>
      </c>
      <c r="C2919" s="167">
        <v>105.23</v>
      </c>
      <c r="D2919" t="s">
        <v>4633</v>
      </c>
      <c r="E2919" t="s">
        <v>2853</v>
      </c>
      <c r="F2919" t="s">
        <v>7352</v>
      </c>
      <c r="G2919" t="s">
        <v>7352</v>
      </c>
      <c r="H2919">
        <v>19</v>
      </c>
      <c r="I2919" t="s">
        <v>2812</v>
      </c>
    </row>
    <row r="2920" spans="1:9" x14ac:dyDescent="0.25">
      <c r="A2920" t="s">
        <v>1828</v>
      </c>
      <c r="B2920" t="s">
        <v>1829</v>
      </c>
      <c r="C2920" s="167">
        <v>105.23</v>
      </c>
      <c r="D2920" t="s">
        <v>671</v>
      </c>
      <c r="E2920" t="s">
        <v>2853</v>
      </c>
      <c r="F2920" t="s">
        <v>7352</v>
      </c>
      <c r="G2920" t="s">
        <v>7352</v>
      </c>
      <c r="H2920">
        <v>19</v>
      </c>
      <c r="I2920" t="s">
        <v>2812</v>
      </c>
    </row>
    <row r="2921" spans="1:9" x14ac:dyDescent="0.25">
      <c r="A2921" t="s">
        <v>8016</v>
      </c>
      <c r="B2921" t="s">
        <v>8017</v>
      </c>
      <c r="C2921" s="167">
        <v>35</v>
      </c>
      <c r="D2921" t="s">
        <v>1701</v>
      </c>
      <c r="E2921" t="s">
        <v>1701</v>
      </c>
      <c r="F2921" t="s">
        <v>7352</v>
      </c>
      <c r="G2921" t="s">
        <v>7338</v>
      </c>
      <c r="I2921" t="s">
        <v>2812</v>
      </c>
    </row>
    <row r="2922" spans="1:9" x14ac:dyDescent="0.25">
      <c r="A2922" t="s">
        <v>8018</v>
      </c>
      <c r="B2922" t="s">
        <v>8019</v>
      </c>
      <c r="C2922" s="167">
        <v>35</v>
      </c>
      <c r="D2922" t="s">
        <v>1699</v>
      </c>
      <c r="E2922" t="s">
        <v>1699</v>
      </c>
      <c r="F2922" t="s">
        <v>7352</v>
      </c>
      <c r="G2922" t="s">
        <v>7338</v>
      </c>
      <c r="I2922" t="s">
        <v>2812</v>
      </c>
    </row>
    <row r="2923" spans="1:9" x14ac:dyDescent="0.25">
      <c r="A2923" t="s">
        <v>8020</v>
      </c>
      <c r="B2923" t="s">
        <v>8021</v>
      </c>
      <c r="C2923" s="167">
        <v>35</v>
      </c>
      <c r="D2923" t="s">
        <v>1703</v>
      </c>
      <c r="E2923" t="s">
        <v>1703</v>
      </c>
      <c r="F2923" t="s">
        <v>7352</v>
      </c>
      <c r="G2923" t="s">
        <v>7338</v>
      </c>
      <c r="I2923" t="s">
        <v>2812</v>
      </c>
    </row>
    <row r="2924" spans="1:9" x14ac:dyDescent="0.25">
      <c r="A2924" t="s">
        <v>7655</v>
      </c>
      <c r="B2924" t="s">
        <v>7656</v>
      </c>
      <c r="C2924" s="167">
        <v>185.62</v>
      </c>
      <c r="D2924" t="s">
        <v>59</v>
      </c>
      <c r="E2924" t="s">
        <v>2853</v>
      </c>
      <c r="F2924" t="s">
        <v>7352</v>
      </c>
      <c r="G2924" t="s">
        <v>7352</v>
      </c>
      <c r="H2924">
        <v>42</v>
      </c>
      <c r="I2924" t="s">
        <v>2812</v>
      </c>
    </row>
    <row r="2925" spans="1:9" x14ac:dyDescent="0.25">
      <c r="A2925" t="s">
        <v>1830</v>
      </c>
      <c r="B2925" t="s">
        <v>1831</v>
      </c>
      <c r="C2925" s="167">
        <v>182.39</v>
      </c>
      <c r="D2925" t="s">
        <v>21</v>
      </c>
      <c r="E2925" t="s">
        <v>2853</v>
      </c>
      <c r="F2925" t="s">
        <v>7352</v>
      </c>
      <c r="G2925" t="s">
        <v>7352</v>
      </c>
      <c r="H2925">
        <v>42</v>
      </c>
      <c r="I2925" t="s">
        <v>2812</v>
      </c>
    </row>
    <row r="2926" spans="1:9" x14ac:dyDescent="0.25">
      <c r="A2926" t="s">
        <v>1832</v>
      </c>
      <c r="B2926" t="s">
        <v>1833</v>
      </c>
      <c r="C2926" s="167">
        <v>182.39</v>
      </c>
      <c r="D2926" t="s">
        <v>563</v>
      </c>
      <c r="E2926" t="s">
        <v>2853</v>
      </c>
      <c r="F2926" t="s">
        <v>7352</v>
      </c>
      <c r="G2926" t="s">
        <v>7352</v>
      </c>
      <c r="H2926">
        <v>42</v>
      </c>
      <c r="I2926" t="s">
        <v>2812</v>
      </c>
    </row>
    <row r="2927" spans="1:9" x14ac:dyDescent="0.25">
      <c r="A2927" t="s">
        <v>4791</v>
      </c>
      <c r="B2927" t="s">
        <v>4792</v>
      </c>
      <c r="C2927" s="167">
        <v>182.39</v>
      </c>
      <c r="D2927" t="s">
        <v>4633</v>
      </c>
      <c r="E2927" t="s">
        <v>2853</v>
      </c>
      <c r="F2927" t="s">
        <v>7352</v>
      </c>
      <c r="G2927" t="s">
        <v>7352</v>
      </c>
      <c r="H2927">
        <v>42</v>
      </c>
      <c r="I2927" t="s">
        <v>2812</v>
      </c>
    </row>
    <row r="2928" spans="1:9" x14ac:dyDescent="0.25">
      <c r="A2928" t="s">
        <v>1834</v>
      </c>
      <c r="B2928" t="s">
        <v>1835</v>
      </c>
      <c r="C2928" s="167">
        <v>182.39</v>
      </c>
      <c r="D2928" t="s">
        <v>671</v>
      </c>
      <c r="E2928" t="s">
        <v>2853</v>
      </c>
      <c r="F2928" t="s">
        <v>7352</v>
      </c>
      <c r="G2928" t="s">
        <v>7352</v>
      </c>
      <c r="H2928">
        <v>42</v>
      </c>
      <c r="I2928" t="s">
        <v>2812</v>
      </c>
    </row>
    <row r="2929" spans="1:10" x14ac:dyDescent="0.25">
      <c r="A2929" t="s">
        <v>7657</v>
      </c>
      <c r="B2929" t="s">
        <v>7658</v>
      </c>
      <c r="C2929" s="167">
        <v>249.86</v>
      </c>
      <c r="D2929" t="s">
        <v>59</v>
      </c>
      <c r="E2929" t="s">
        <v>2853</v>
      </c>
      <c r="F2929" t="s">
        <v>7352</v>
      </c>
      <c r="G2929" t="s">
        <v>7352</v>
      </c>
      <c r="H2929">
        <v>66</v>
      </c>
      <c r="I2929" t="s">
        <v>2812</v>
      </c>
    </row>
    <row r="2930" spans="1:10" x14ac:dyDescent="0.25">
      <c r="A2930" t="s">
        <v>1836</v>
      </c>
      <c r="B2930" t="s">
        <v>1837</v>
      </c>
      <c r="C2930" s="167">
        <v>245.52</v>
      </c>
      <c r="D2930" t="s">
        <v>21</v>
      </c>
      <c r="E2930" t="s">
        <v>2853</v>
      </c>
      <c r="F2930" t="s">
        <v>7352</v>
      </c>
      <c r="G2930" t="s">
        <v>7352</v>
      </c>
      <c r="H2930">
        <v>66</v>
      </c>
      <c r="I2930" t="s">
        <v>2812</v>
      </c>
    </row>
    <row r="2931" spans="1:10" x14ac:dyDescent="0.25">
      <c r="A2931" t="s">
        <v>1838</v>
      </c>
      <c r="B2931" t="s">
        <v>1839</v>
      </c>
      <c r="C2931" s="167">
        <v>245.52</v>
      </c>
      <c r="D2931" t="s">
        <v>563</v>
      </c>
      <c r="E2931" t="s">
        <v>2853</v>
      </c>
      <c r="F2931" t="s">
        <v>7352</v>
      </c>
      <c r="G2931" t="s">
        <v>7352</v>
      </c>
      <c r="H2931">
        <v>66</v>
      </c>
      <c r="I2931" t="s">
        <v>2812</v>
      </c>
    </row>
    <row r="2932" spans="1:10" x14ac:dyDescent="0.25">
      <c r="A2932" t="s">
        <v>4793</v>
      </c>
      <c r="B2932" t="s">
        <v>4794</v>
      </c>
      <c r="C2932" s="167">
        <v>245.52</v>
      </c>
      <c r="D2932" t="s">
        <v>4633</v>
      </c>
      <c r="E2932" t="s">
        <v>2853</v>
      </c>
      <c r="F2932" t="s">
        <v>7352</v>
      </c>
      <c r="G2932" t="s">
        <v>7352</v>
      </c>
      <c r="H2932">
        <v>66</v>
      </c>
      <c r="I2932" t="s">
        <v>2812</v>
      </c>
    </row>
    <row r="2933" spans="1:10" x14ac:dyDescent="0.25">
      <c r="A2933" t="s">
        <v>1840</v>
      </c>
      <c r="B2933" t="s">
        <v>1841</v>
      </c>
      <c r="C2933" s="167">
        <v>245.52</v>
      </c>
      <c r="D2933" t="s">
        <v>671</v>
      </c>
      <c r="E2933" t="s">
        <v>2853</v>
      </c>
      <c r="F2933" t="s">
        <v>7352</v>
      </c>
      <c r="G2933" t="s">
        <v>7352</v>
      </c>
      <c r="H2933">
        <v>66</v>
      </c>
      <c r="I2933" t="s">
        <v>2812</v>
      </c>
    </row>
    <row r="2934" spans="1:10" x14ac:dyDescent="0.25">
      <c r="A2934" t="s">
        <v>8010</v>
      </c>
      <c r="B2934" t="s">
        <v>8011</v>
      </c>
      <c r="C2934" s="167">
        <v>40</v>
      </c>
      <c r="D2934" t="s">
        <v>59</v>
      </c>
      <c r="E2934" t="s">
        <v>2853</v>
      </c>
      <c r="F2934" t="s">
        <v>8260</v>
      </c>
      <c r="G2934" t="s">
        <v>7352</v>
      </c>
      <c r="H2934">
        <v>14</v>
      </c>
      <c r="I2934" t="s">
        <v>2805</v>
      </c>
      <c r="J2934">
        <v>352</v>
      </c>
    </row>
    <row r="2935" spans="1:10" x14ac:dyDescent="0.25">
      <c r="A2935" t="s">
        <v>8002</v>
      </c>
      <c r="B2935" t="s">
        <v>8003</v>
      </c>
      <c r="C2935" s="167">
        <v>40</v>
      </c>
      <c r="D2935" t="s">
        <v>21</v>
      </c>
      <c r="E2935" t="s">
        <v>2853</v>
      </c>
      <c r="F2935" t="s">
        <v>8260</v>
      </c>
      <c r="G2935" t="s">
        <v>7352</v>
      </c>
      <c r="H2935">
        <v>14</v>
      </c>
      <c r="I2935" t="s">
        <v>2805</v>
      </c>
      <c r="J2935">
        <v>352</v>
      </c>
    </row>
    <row r="2936" spans="1:10" x14ac:dyDescent="0.25">
      <c r="A2936" t="s">
        <v>8008</v>
      </c>
      <c r="B2936" t="s">
        <v>8009</v>
      </c>
      <c r="C2936" s="167">
        <v>40</v>
      </c>
      <c r="D2936" t="s">
        <v>563</v>
      </c>
      <c r="E2936" t="s">
        <v>2853</v>
      </c>
      <c r="F2936" t="s">
        <v>8260</v>
      </c>
      <c r="G2936" t="s">
        <v>7352</v>
      </c>
      <c r="H2936">
        <v>14</v>
      </c>
      <c r="I2936" t="s">
        <v>2805</v>
      </c>
      <c r="J2936">
        <v>352</v>
      </c>
    </row>
    <row r="2937" spans="1:10" x14ac:dyDescent="0.25">
      <c r="A2937" t="s">
        <v>8006</v>
      </c>
      <c r="B2937" t="s">
        <v>8007</v>
      </c>
      <c r="C2937" s="167">
        <v>40</v>
      </c>
      <c r="D2937" t="s">
        <v>4633</v>
      </c>
      <c r="E2937" t="s">
        <v>2853</v>
      </c>
      <c r="F2937" t="s">
        <v>8260</v>
      </c>
      <c r="G2937" t="s">
        <v>7352</v>
      </c>
      <c r="H2937">
        <v>14</v>
      </c>
      <c r="I2937" t="s">
        <v>2805</v>
      </c>
      <c r="J2937">
        <v>352</v>
      </c>
    </row>
    <row r="2938" spans="1:10" x14ac:dyDescent="0.25">
      <c r="A2938" t="s">
        <v>8004</v>
      </c>
      <c r="B2938" t="s">
        <v>8005</v>
      </c>
      <c r="C2938" s="167">
        <v>40</v>
      </c>
      <c r="D2938" t="s">
        <v>671</v>
      </c>
      <c r="E2938" t="s">
        <v>2853</v>
      </c>
      <c r="F2938" t="s">
        <v>8260</v>
      </c>
      <c r="G2938" t="s">
        <v>7352</v>
      </c>
      <c r="H2938">
        <v>14</v>
      </c>
      <c r="I2938" t="s">
        <v>2805</v>
      </c>
      <c r="J2938">
        <v>352</v>
      </c>
    </row>
    <row r="2939" spans="1:10" x14ac:dyDescent="0.25">
      <c r="A2939" t="s">
        <v>7395</v>
      </c>
      <c r="B2939" t="s">
        <v>7396</v>
      </c>
      <c r="C2939" s="167">
        <v>15.85</v>
      </c>
      <c r="D2939" t="s">
        <v>60</v>
      </c>
      <c r="E2939" t="s">
        <v>2853</v>
      </c>
      <c r="F2939" t="s">
        <v>7352</v>
      </c>
      <c r="G2939" t="s">
        <v>7352</v>
      </c>
      <c r="I2939" t="s">
        <v>2812</v>
      </c>
    </row>
    <row r="2940" spans="1:10" x14ac:dyDescent="0.25">
      <c r="A2940" t="s">
        <v>7397</v>
      </c>
      <c r="B2940" t="s">
        <v>7398</v>
      </c>
      <c r="C2940" s="167">
        <v>15.85</v>
      </c>
      <c r="D2940" t="s">
        <v>60</v>
      </c>
      <c r="E2940" t="s">
        <v>2853</v>
      </c>
      <c r="F2940" t="s">
        <v>7352</v>
      </c>
      <c r="G2940" t="s">
        <v>7352</v>
      </c>
      <c r="I2940" t="s">
        <v>2812</v>
      </c>
    </row>
    <row r="2941" spans="1:10" x14ac:dyDescent="0.25">
      <c r="A2941" t="s">
        <v>7399</v>
      </c>
      <c r="B2941" t="s">
        <v>7400</v>
      </c>
      <c r="C2941" s="167">
        <v>19.5</v>
      </c>
      <c r="D2941" t="s">
        <v>60</v>
      </c>
      <c r="E2941" t="s">
        <v>2853</v>
      </c>
      <c r="F2941" t="s">
        <v>7352</v>
      </c>
      <c r="G2941" t="s">
        <v>7352</v>
      </c>
      <c r="I2941" t="s">
        <v>2812</v>
      </c>
    </row>
    <row r="2942" spans="1:10" x14ac:dyDescent="0.25">
      <c r="A2942" t="s">
        <v>7401</v>
      </c>
      <c r="B2942" t="s">
        <v>7402</v>
      </c>
      <c r="C2942" s="167">
        <v>42.66</v>
      </c>
      <c r="D2942" t="s">
        <v>60</v>
      </c>
      <c r="E2942" t="s">
        <v>2853</v>
      </c>
      <c r="F2942" t="s">
        <v>7352</v>
      </c>
      <c r="G2942" t="s">
        <v>7352</v>
      </c>
      <c r="I2942" t="s">
        <v>2812</v>
      </c>
    </row>
    <row r="2943" spans="1:10" x14ac:dyDescent="0.25">
      <c r="A2943" t="s">
        <v>7883</v>
      </c>
      <c r="B2943" t="s">
        <v>7884</v>
      </c>
      <c r="C2943" s="167">
        <v>25.09</v>
      </c>
      <c r="D2943" t="s">
        <v>2853</v>
      </c>
      <c r="E2943" t="s">
        <v>1701</v>
      </c>
      <c r="F2943" t="s">
        <v>7357</v>
      </c>
      <c r="G2943" t="s">
        <v>7338</v>
      </c>
      <c r="I2943" t="s">
        <v>2812</v>
      </c>
    </row>
    <row r="2944" spans="1:10" x14ac:dyDescent="0.25">
      <c r="A2944" t="s">
        <v>7885</v>
      </c>
      <c r="B2944" t="s">
        <v>7886</v>
      </c>
      <c r="C2944" s="167">
        <v>25.09</v>
      </c>
      <c r="D2944" t="s">
        <v>2853</v>
      </c>
      <c r="E2944" t="s">
        <v>1699</v>
      </c>
      <c r="F2944" t="s">
        <v>7357</v>
      </c>
      <c r="G2944" t="s">
        <v>7338</v>
      </c>
      <c r="I2944" t="s">
        <v>2812</v>
      </c>
    </row>
    <row r="2945" spans="1:9" x14ac:dyDescent="0.25">
      <c r="A2945" t="s">
        <v>7887</v>
      </c>
      <c r="B2945" t="s">
        <v>7888</v>
      </c>
      <c r="C2945" s="167">
        <v>25.09</v>
      </c>
      <c r="D2945" t="s">
        <v>2853</v>
      </c>
      <c r="E2945" t="s">
        <v>1703</v>
      </c>
      <c r="F2945" t="s">
        <v>7357</v>
      </c>
      <c r="G2945" t="s">
        <v>7338</v>
      </c>
      <c r="I2945" t="s">
        <v>2812</v>
      </c>
    </row>
    <row r="2946" spans="1:9" x14ac:dyDescent="0.25">
      <c r="A2946" t="s">
        <v>1846</v>
      </c>
      <c r="B2946" t="s">
        <v>1847</v>
      </c>
      <c r="C2946" s="167">
        <v>40.590000000000003</v>
      </c>
      <c r="D2946" t="s">
        <v>2853</v>
      </c>
      <c r="E2946" t="s">
        <v>1701</v>
      </c>
      <c r="F2946" t="s">
        <v>7357</v>
      </c>
      <c r="G2946" t="s">
        <v>7338</v>
      </c>
      <c r="I2946" t="s">
        <v>2812</v>
      </c>
    </row>
    <row r="2947" spans="1:9" x14ac:dyDescent="0.25">
      <c r="A2947" t="s">
        <v>1844</v>
      </c>
      <c r="B2947" t="s">
        <v>1845</v>
      </c>
      <c r="C2947" s="167">
        <v>40.590000000000003</v>
      </c>
      <c r="D2947" t="s">
        <v>2853</v>
      </c>
      <c r="E2947" t="s">
        <v>1699</v>
      </c>
      <c r="F2947" t="s">
        <v>7357</v>
      </c>
      <c r="G2947" t="s">
        <v>7338</v>
      </c>
      <c r="I2947" t="s">
        <v>2812</v>
      </c>
    </row>
    <row r="2948" spans="1:9" x14ac:dyDescent="0.25">
      <c r="A2948" t="s">
        <v>1842</v>
      </c>
      <c r="B2948" t="s">
        <v>1843</v>
      </c>
      <c r="C2948" s="167">
        <v>40.590000000000003</v>
      </c>
      <c r="D2948" t="s">
        <v>2853</v>
      </c>
      <c r="E2948" t="s">
        <v>1703</v>
      </c>
      <c r="F2948" t="s">
        <v>7357</v>
      </c>
      <c r="G2948" t="s">
        <v>7338</v>
      </c>
      <c r="I2948" t="s">
        <v>2812</v>
      </c>
    </row>
    <row r="2949" spans="1:9" x14ac:dyDescent="0.25">
      <c r="A2949" t="s">
        <v>1870</v>
      </c>
      <c r="B2949" t="s">
        <v>1871</v>
      </c>
      <c r="C2949" s="167">
        <v>81.19</v>
      </c>
      <c r="D2949" t="s">
        <v>2853</v>
      </c>
      <c r="E2949" t="s">
        <v>1701</v>
      </c>
      <c r="F2949" t="s">
        <v>7357</v>
      </c>
      <c r="G2949" t="s">
        <v>7338</v>
      </c>
      <c r="I2949" t="s">
        <v>2812</v>
      </c>
    </row>
    <row r="2950" spans="1:9" x14ac:dyDescent="0.25">
      <c r="A2950" t="s">
        <v>1868</v>
      </c>
      <c r="B2950" t="s">
        <v>1869</v>
      </c>
      <c r="C2950" s="167">
        <v>81.19</v>
      </c>
      <c r="D2950" t="s">
        <v>2853</v>
      </c>
      <c r="E2950" t="s">
        <v>1699</v>
      </c>
      <c r="F2950" t="s">
        <v>7357</v>
      </c>
      <c r="G2950" t="s">
        <v>7338</v>
      </c>
      <c r="I2950" t="s">
        <v>2812</v>
      </c>
    </row>
    <row r="2951" spans="1:9" x14ac:dyDescent="0.25">
      <c r="A2951" t="s">
        <v>1866</v>
      </c>
      <c r="B2951" t="s">
        <v>1867</v>
      </c>
      <c r="C2951" s="167">
        <v>81.19</v>
      </c>
      <c r="D2951" t="s">
        <v>2853</v>
      </c>
      <c r="E2951" t="s">
        <v>1703</v>
      </c>
      <c r="F2951" t="s">
        <v>7357</v>
      </c>
      <c r="G2951" t="s">
        <v>7338</v>
      </c>
      <c r="I2951" t="s">
        <v>2812</v>
      </c>
    </row>
    <row r="2952" spans="1:9" x14ac:dyDescent="0.25">
      <c r="A2952" t="s">
        <v>1894</v>
      </c>
      <c r="B2952" t="s">
        <v>1895</v>
      </c>
      <c r="C2952" s="167">
        <v>121.78</v>
      </c>
      <c r="D2952" t="s">
        <v>2853</v>
      </c>
      <c r="E2952" t="s">
        <v>1701</v>
      </c>
      <c r="F2952" t="s">
        <v>7357</v>
      </c>
      <c r="G2952" t="s">
        <v>7338</v>
      </c>
      <c r="I2952" t="s">
        <v>2812</v>
      </c>
    </row>
    <row r="2953" spans="1:9" x14ac:dyDescent="0.25">
      <c r="A2953" t="s">
        <v>1892</v>
      </c>
      <c r="B2953" t="s">
        <v>1893</v>
      </c>
      <c r="C2953" s="167">
        <v>121.78</v>
      </c>
      <c r="D2953" t="s">
        <v>2853</v>
      </c>
      <c r="E2953" t="s">
        <v>1699</v>
      </c>
      <c r="F2953" t="s">
        <v>7357</v>
      </c>
      <c r="G2953" t="s">
        <v>7338</v>
      </c>
      <c r="I2953" t="s">
        <v>2812</v>
      </c>
    </row>
    <row r="2954" spans="1:9" x14ac:dyDescent="0.25">
      <c r="A2954" t="s">
        <v>1890</v>
      </c>
      <c r="B2954" t="s">
        <v>1891</v>
      </c>
      <c r="C2954" s="167">
        <v>121.78</v>
      </c>
      <c r="D2954" t="s">
        <v>2853</v>
      </c>
      <c r="E2954" t="s">
        <v>1703</v>
      </c>
      <c r="F2954" t="s">
        <v>7357</v>
      </c>
      <c r="G2954" t="s">
        <v>7338</v>
      </c>
      <c r="I2954" t="s">
        <v>2812</v>
      </c>
    </row>
    <row r="2955" spans="1:9" x14ac:dyDescent="0.25">
      <c r="A2955" t="s">
        <v>7889</v>
      </c>
      <c r="B2955" t="s">
        <v>7890</v>
      </c>
      <c r="C2955" s="167">
        <v>37.549999999999997</v>
      </c>
      <c r="D2955" t="s">
        <v>2853</v>
      </c>
      <c r="E2955" t="s">
        <v>1701</v>
      </c>
      <c r="F2955" t="s">
        <v>7358</v>
      </c>
      <c r="G2955" t="s">
        <v>7338</v>
      </c>
      <c r="I2955" t="s">
        <v>2812</v>
      </c>
    </row>
    <row r="2956" spans="1:9" x14ac:dyDescent="0.25">
      <c r="A2956" t="s">
        <v>7891</v>
      </c>
      <c r="B2956" t="s">
        <v>7892</v>
      </c>
      <c r="C2956" s="167">
        <v>37.549999999999997</v>
      </c>
      <c r="D2956" t="s">
        <v>2853</v>
      </c>
      <c r="E2956" t="s">
        <v>1699</v>
      </c>
      <c r="F2956" t="s">
        <v>7358</v>
      </c>
      <c r="G2956" t="s">
        <v>7338</v>
      </c>
      <c r="I2956" t="s">
        <v>2812</v>
      </c>
    </row>
    <row r="2957" spans="1:9" x14ac:dyDescent="0.25">
      <c r="A2957" t="s">
        <v>7893</v>
      </c>
      <c r="B2957" t="s">
        <v>7894</v>
      </c>
      <c r="C2957" s="167">
        <v>37.549999999999997</v>
      </c>
      <c r="D2957" t="s">
        <v>2853</v>
      </c>
      <c r="E2957" t="s">
        <v>1703</v>
      </c>
      <c r="F2957" t="s">
        <v>7358</v>
      </c>
      <c r="G2957" t="s">
        <v>7338</v>
      </c>
      <c r="I2957" t="s">
        <v>2812</v>
      </c>
    </row>
    <row r="2958" spans="1:9" x14ac:dyDescent="0.25">
      <c r="A2958" t="s">
        <v>1852</v>
      </c>
      <c r="B2958" t="s">
        <v>1853</v>
      </c>
      <c r="C2958" s="167">
        <v>67.66</v>
      </c>
      <c r="D2958" t="s">
        <v>2853</v>
      </c>
      <c r="E2958" t="s">
        <v>1701</v>
      </c>
      <c r="F2958" t="s">
        <v>7358</v>
      </c>
      <c r="G2958" t="s">
        <v>7338</v>
      </c>
      <c r="I2958" t="s">
        <v>2812</v>
      </c>
    </row>
    <row r="2959" spans="1:9" x14ac:dyDescent="0.25">
      <c r="A2959" t="s">
        <v>1850</v>
      </c>
      <c r="B2959" t="s">
        <v>1851</v>
      </c>
      <c r="C2959" s="167">
        <v>67.66</v>
      </c>
      <c r="D2959" t="s">
        <v>2853</v>
      </c>
      <c r="E2959" t="s">
        <v>1699</v>
      </c>
      <c r="F2959" t="s">
        <v>7358</v>
      </c>
      <c r="G2959" t="s">
        <v>7338</v>
      </c>
      <c r="I2959" t="s">
        <v>2812</v>
      </c>
    </row>
    <row r="2960" spans="1:9" x14ac:dyDescent="0.25">
      <c r="A2960" t="s">
        <v>1848</v>
      </c>
      <c r="B2960" t="s">
        <v>1849</v>
      </c>
      <c r="C2960" s="167">
        <v>67.66</v>
      </c>
      <c r="D2960" t="s">
        <v>2853</v>
      </c>
      <c r="E2960" t="s">
        <v>1703</v>
      </c>
      <c r="F2960" t="s">
        <v>7358</v>
      </c>
      <c r="G2960" t="s">
        <v>7338</v>
      </c>
      <c r="I2960" t="s">
        <v>2812</v>
      </c>
    </row>
    <row r="2961" spans="1:9" x14ac:dyDescent="0.25">
      <c r="A2961" t="s">
        <v>1876</v>
      </c>
      <c r="B2961" t="s">
        <v>1877</v>
      </c>
      <c r="C2961" s="167">
        <v>135.31</v>
      </c>
      <c r="D2961" t="s">
        <v>2853</v>
      </c>
      <c r="E2961" t="s">
        <v>1701</v>
      </c>
      <c r="F2961" t="s">
        <v>7358</v>
      </c>
      <c r="G2961" t="s">
        <v>7338</v>
      </c>
      <c r="I2961" t="s">
        <v>2812</v>
      </c>
    </row>
    <row r="2962" spans="1:9" x14ac:dyDescent="0.25">
      <c r="A2962" t="s">
        <v>1874</v>
      </c>
      <c r="B2962" t="s">
        <v>1875</v>
      </c>
      <c r="C2962" s="167">
        <v>135.31</v>
      </c>
      <c r="D2962" t="s">
        <v>2853</v>
      </c>
      <c r="E2962" t="s">
        <v>1699</v>
      </c>
      <c r="F2962" t="s">
        <v>7358</v>
      </c>
      <c r="G2962" t="s">
        <v>7338</v>
      </c>
      <c r="I2962" t="s">
        <v>2812</v>
      </c>
    </row>
    <row r="2963" spans="1:9" x14ac:dyDescent="0.25">
      <c r="A2963" t="s">
        <v>1872</v>
      </c>
      <c r="B2963" t="s">
        <v>1873</v>
      </c>
      <c r="C2963" s="167">
        <v>135.31</v>
      </c>
      <c r="D2963" t="s">
        <v>2853</v>
      </c>
      <c r="E2963" t="s">
        <v>1703</v>
      </c>
      <c r="F2963" t="s">
        <v>7358</v>
      </c>
      <c r="G2963" t="s">
        <v>7338</v>
      </c>
      <c r="I2963" t="s">
        <v>2812</v>
      </c>
    </row>
    <row r="2964" spans="1:9" x14ac:dyDescent="0.25">
      <c r="A2964" t="s">
        <v>1900</v>
      </c>
      <c r="B2964" t="s">
        <v>1901</v>
      </c>
      <c r="C2964" s="167">
        <v>202.96</v>
      </c>
      <c r="D2964" t="s">
        <v>2853</v>
      </c>
      <c r="E2964" t="s">
        <v>1701</v>
      </c>
      <c r="F2964" t="s">
        <v>7358</v>
      </c>
      <c r="G2964" t="s">
        <v>7338</v>
      </c>
      <c r="I2964" t="s">
        <v>2812</v>
      </c>
    </row>
    <row r="2965" spans="1:9" x14ac:dyDescent="0.25">
      <c r="A2965" t="s">
        <v>1898</v>
      </c>
      <c r="B2965" t="s">
        <v>1899</v>
      </c>
      <c r="C2965" s="167">
        <v>202.96</v>
      </c>
      <c r="D2965" t="s">
        <v>2853</v>
      </c>
      <c r="E2965" t="s">
        <v>1699</v>
      </c>
      <c r="F2965" t="s">
        <v>7358</v>
      </c>
      <c r="G2965" t="s">
        <v>7338</v>
      </c>
      <c r="I2965" t="s">
        <v>2812</v>
      </c>
    </row>
    <row r="2966" spans="1:9" x14ac:dyDescent="0.25">
      <c r="A2966" t="s">
        <v>1896</v>
      </c>
      <c r="B2966" t="s">
        <v>1897</v>
      </c>
      <c r="C2966" s="167">
        <v>202.96</v>
      </c>
      <c r="D2966" t="s">
        <v>2853</v>
      </c>
      <c r="E2966" t="s">
        <v>1703</v>
      </c>
      <c r="F2966" t="s">
        <v>7358</v>
      </c>
      <c r="G2966" t="s">
        <v>7338</v>
      </c>
      <c r="I2966" t="s">
        <v>2812</v>
      </c>
    </row>
    <row r="2967" spans="1:9" x14ac:dyDescent="0.25">
      <c r="A2967" t="s">
        <v>7895</v>
      </c>
      <c r="B2967" t="s">
        <v>7896</v>
      </c>
      <c r="C2967" s="167">
        <v>52.09</v>
      </c>
      <c r="D2967" t="s">
        <v>2853</v>
      </c>
      <c r="E2967" t="s">
        <v>1701</v>
      </c>
      <c r="F2967" t="s">
        <v>7359</v>
      </c>
      <c r="G2967" t="s">
        <v>7338</v>
      </c>
      <c r="I2967" t="s">
        <v>2812</v>
      </c>
    </row>
    <row r="2968" spans="1:9" x14ac:dyDescent="0.25">
      <c r="A2968" t="s">
        <v>7897</v>
      </c>
      <c r="B2968" t="s">
        <v>7898</v>
      </c>
      <c r="C2968" s="167">
        <v>52.09</v>
      </c>
      <c r="D2968" t="s">
        <v>2853</v>
      </c>
      <c r="E2968" t="s">
        <v>1699</v>
      </c>
      <c r="F2968" t="s">
        <v>7359</v>
      </c>
      <c r="G2968" t="s">
        <v>7338</v>
      </c>
      <c r="I2968" t="s">
        <v>2812</v>
      </c>
    </row>
    <row r="2969" spans="1:9" x14ac:dyDescent="0.25">
      <c r="A2969" t="s">
        <v>7899</v>
      </c>
      <c r="B2969" t="s">
        <v>7900</v>
      </c>
      <c r="C2969" s="167">
        <v>52.09</v>
      </c>
      <c r="D2969" t="s">
        <v>2853</v>
      </c>
      <c r="E2969" t="s">
        <v>1703</v>
      </c>
      <c r="F2969" t="s">
        <v>7359</v>
      </c>
      <c r="G2969" t="s">
        <v>7338</v>
      </c>
      <c r="I2969" t="s">
        <v>2812</v>
      </c>
    </row>
    <row r="2970" spans="1:9" x14ac:dyDescent="0.25">
      <c r="A2970" t="s">
        <v>1858</v>
      </c>
      <c r="B2970" t="s">
        <v>1859</v>
      </c>
      <c r="C2970" s="167">
        <v>94.73</v>
      </c>
      <c r="D2970" t="s">
        <v>2853</v>
      </c>
      <c r="E2970" t="s">
        <v>1701</v>
      </c>
      <c r="F2970" t="s">
        <v>7359</v>
      </c>
      <c r="G2970" t="s">
        <v>7338</v>
      </c>
      <c r="I2970" t="s">
        <v>2812</v>
      </c>
    </row>
    <row r="2971" spans="1:9" x14ac:dyDescent="0.25">
      <c r="A2971" t="s">
        <v>1856</v>
      </c>
      <c r="B2971" t="s">
        <v>1857</v>
      </c>
      <c r="C2971" s="167">
        <v>94.73</v>
      </c>
      <c r="D2971" t="s">
        <v>2853</v>
      </c>
      <c r="E2971" t="s">
        <v>1699</v>
      </c>
      <c r="F2971" t="s">
        <v>7359</v>
      </c>
      <c r="G2971" t="s">
        <v>7338</v>
      </c>
      <c r="I2971" t="s">
        <v>2812</v>
      </c>
    </row>
    <row r="2972" spans="1:9" x14ac:dyDescent="0.25">
      <c r="A2972" t="s">
        <v>1854</v>
      </c>
      <c r="B2972" t="s">
        <v>1855</v>
      </c>
      <c r="C2972" s="167">
        <v>94.73</v>
      </c>
      <c r="D2972" t="s">
        <v>2853</v>
      </c>
      <c r="E2972" t="s">
        <v>1703</v>
      </c>
      <c r="F2972" t="s">
        <v>7359</v>
      </c>
      <c r="G2972" t="s">
        <v>7338</v>
      </c>
      <c r="I2972" t="s">
        <v>2812</v>
      </c>
    </row>
    <row r="2973" spans="1:9" x14ac:dyDescent="0.25">
      <c r="A2973" t="s">
        <v>1882</v>
      </c>
      <c r="B2973" t="s">
        <v>1883</v>
      </c>
      <c r="C2973" s="167">
        <v>189.42</v>
      </c>
      <c r="D2973" t="s">
        <v>2853</v>
      </c>
      <c r="E2973" t="s">
        <v>1701</v>
      </c>
      <c r="F2973" t="s">
        <v>7359</v>
      </c>
      <c r="G2973" t="s">
        <v>7338</v>
      </c>
      <c r="I2973" t="s">
        <v>2812</v>
      </c>
    </row>
    <row r="2974" spans="1:9" x14ac:dyDescent="0.25">
      <c r="A2974" t="s">
        <v>1880</v>
      </c>
      <c r="B2974" t="s">
        <v>1881</v>
      </c>
      <c r="C2974" s="167">
        <v>189.42</v>
      </c>
      <c r="D2974" t="s">
        <v>2853</v>
      </c>
      <c r="E2974" t="s">
        <v>1699</v>
      </c>
      <c r="F2974" t="s">
        <v>7359</v>
      </c>
      <c r="G2974" t="s">
        <v>7338</v>
      </c>
      <c r="I2974" t="s">
        <v>2812</v>
      </c>
    </row>
    <row r="2975" spans="1:9" x14ac:dyDescent="0.25">
      <c r="A2975" t="s">
        <v>1878</v>
      </c>
      <c r="B2975" t="s">
        <v>1879</v>
      </c>
      <c r="C2975" s="167">
        <v>189.42</v>
      </c>
      <c r="D2975" t="s">
        <v>2853</v>
      </c>
      <c r="E2975" t="s">
        <v>1703</v>
      </c>
      <c r="F2975" t="s">
        <v>7359</v>
      </c>
      <c r="G2975" t="s">
        <v>7338</v>
      </c>
      <c r="I2975" t="s">
        <v>2812</v>
      </c>
    </row>
    <row r="2976" spans="1:9" x14ac:dyDescent="0.25">
      <c r="A2976" t="s">
        <v>1906</v>
      </c>
      <c r="B2976" t="s">
        <v>1907</v>
      </c>
      <c r="C2976" s="167">
        <v>284.14999999999998</v>
      </c>
      <c r="D2976" t="s">
        <v>2853</v>
      </c>
      <c r="E2976" t="s">
        <v>1701</v>
      </c>
      <c r="F2976" t="s">
        <v>7359</v>
      </c>
      <c r="G2976" t="s">
        <v>7338</v>
      </c>
      <c r="I2976" t="s">
        <v>2812</v>
      </c>
    </row>
    <row r="2977" spans="1:9" x14ac:dyDescent="0.25">
      <c r="A2977" t="s">
        <v>1904</v>
      </c>
      <c r="B2977" t="s">
        <v>1905</v>
      </c>
      <c r="C2977" s="167">
        <v>284.14999999999998</v>
      </c>
      <c r="D2977" t="s">
        <v>2853</v>
      </c>
      <c r="E2977" t="s">
        <v>1699</v>
      </c>
      <c r="F2977" t="s">
        <v>7359</v>
      </c>
      <c r="G2977" t="s">
        <v>7338</v>
      </c>
      <c r="I2977" t="s">
        <v>2812</v>
      </c>
    </row>
    <row r="2978" spans="1:9" x14ac:dyDescent="0.25">
      <c r="A2978" t="s">
        <v>1902</v>
      </c>
      <c r="B2978" t="s">
        <v>1903</v>
      </c>
      <c r="C2978" s="167">
        <v>284.14999999999998</v>
      </c>
      <c r="D2978" t="s">
        <v>2853</v>
      </c>
      <c r="E2978" t="s">
        <v>1703</v>
      </c>
      <c r="F2978" t="s">
        <v>7359</v>
      </c>
      <c r="G2978" t="s">
        <v>7338</v>
      </c>
      <c r="I2978" t="s">
        <v>2812</v>
      </c>
    </row>
    <row r="2979" spans="1:9" x14ac:dyDescent="0.25">
      <c r="A2979" t="s">
        <v>7901</v>
      </c>
      <c r="B2979" t="s">
        <v>7902</v>
      </c>
      <c r="C2979" s="167">
        <v>66.55</v>
      </c>
      <c r="D2979" t="s">
        <v>2853</v>
      </c>
      <c r="E2979" t="s">
        <v>1701</v>
      </c>
      <c r="F2979" t="s">
        <v>7360</v>
      </c>
      <c r="G2979" t="s">
        <v>7338</v>
      </c>
      <c r="I2979" t="s">
        <v>2812</v>
      </c>
    </row>
    <row r="2980" spans="1:9" x14ac:dyDescent="0.25">
      <c r="A2980" t="s">
        <v>7903</v>
      </c>
      <c r="B2980" t="s">
        <v>7904</v>
      </c>
      <c r="C2980" s="167">
        <v>66.55</v>
      </c>
      <c r="D2980" t="s">
        <v>2853</v>
      </c>
      <c r="E2980" t="s">
        <v>1699</v>
      </c>
      <c r="F2980" t="s">
        <v>7360</v>
      </c>
      <c r="G2980" t="s">
        <v>7338</v>
      </c>
      <c r="I2980" t="s">
        <v>2812</v>
      </c>
    </row>
    <row r="2981" spans="1:9" x14ac:dyDescent="0.25">
      <c r="A2981" t="s">
        <v>7905</v>
      </c>
      <c r="B2981" t="s">
        <v>7906</v>
      </c>
      <c r="C2981" s="167">
        <v>66.55</v>
      </c>
      <c r="D2981" t="s">
        <v>2853</v>
      </c>
      <c r="E2981" t="s">
        <v>1703</v>
      </c>
      <c r="F2981" t="s">
        <v>7360</v>
      </c>
      <c r="G2981" t="s">
        <v>7338</v>
      </c>
      <c r="I2981" t="s">
        <v>2812</v>
      </c>
    </row>
    <row r="2982" spans="1:9" x14ac:dyDescent="0.25">
      <c r="A2982" t="s">
        <v>1864</v>
      </c>
      <c r="B2982" t="s">
        <v>1865</v>
      </c>
      <c r="C2982" s="167">
        <v>121.78</v>
      </c>
      <c r="D2982" t="s">
        <v>2853</v>
      </c>
      <c r="E2982" t="s">
        <v>1701</v>
      </c>
      <c r="F2982" t="s">
        <v>7360</v>
      </c>
      <c r="G2982" t="s">
        <v>7338</v>
      </c>
      <c r="I2982" t="s">
        <v>2812</v>
      </c>
    </row>
    <row r="2983" spans="1:9" x14ac:dyDescent="0.25">
      <c r="A2983" t="s">
        <v>1862</v>
      </c>
      <c r="B2983" t="s">
        <v>1863</v>
      </c>
      <c r="C2983" s="167">
        <v>121.78</v>
      </c>
      <c r="D2983" t="s">
        <v>2853</v>
      </c>
      <c r="E2983" t="s">
        <v>1699</v>
      </c>
      <c r="F2983" t="s">
        <v>7360</v>
      </c>
      <c r="G2983" t="s">
        <v>7338</v>
      </c>
      <c r="I2983" t="s">
        <v>2812</v>
      </c>
    </row>
    <row r="2984" spans="1:9" x14ac:dyDescent="0.25">
      <c r="A2984" t="s">
        <v>1860</v>
      </c>
      <c r="B2984" t="s">
        <v>1861</v>
      </c>
      <c r="C2984" s="167">
        <v>121.78</v>
      </c>
      <c r="D2984" t="s">
        <v>2853</v>
      </c>
      <c r="E2984" t="s">
        <v>1703</v>
      </c>
      <c r="F2984" t="s">
        <v>7360</v>
      </c>
      <c r="G2984" t="s">
        <v>7338</v>
      </c>
      <c r="I2984" t="s">
        <v>2812</v>
      </c>
    </row>
    <row r="2985" spans="1:9" x14ac:dyDescent="0.25">
      <c r="A2985" t="s">
        <v>1888</v>
      </c>
      <c r="B2985" t="s">
        <v>1889</v>
      </c>
      <c r="C2985" s="167">
        <v>243.55</v>
      </c>
      <c r="D2985" t="s">
        <v>2853</v>
      </c>
      <c r="E2985" t="s">
        <v>1701</v>
      </c>
      <c r="F2985" t="s">
        <v>7360</v>
      </c>
      <c r="G2985" t="s">
        <v>7338</v>
      </c>
      <c r="I2985" t="s">
        <v>2812</v>
      </c>
    </row>
    <row r="2986" spans="1:9" x14ac:dyDescent="0.25">
      <c r="A2986" t="s">
        <v>1886</v>
      </c>
      <c r="B2986" t="s">
        <v>1887</v>
      </c>
      <c r="C2986" s="167">
        <v>243.55</v>
      </c>
      <c r="D2986" t="s">
        <v>2853</v>
      </c>
      <c r="E2986" t="s">
        <v>1699</v>
      </c>
      <c r="F2986" t="s">
        <v>7360</v>
      </c>
      <c r="G2986" t="s">
        <v>7338</v>
      </c>
      <c r="I2986" t="s">
        <v>2812</v>
      </c>
    </row>
    <row r="2987" spans="1:9" x14ac:dyDescent="0.25">
      <c r="A2987" t="s">
        <v>1884</v>
      </c>
      <c r="B2987" t="s">
        <v>1885</v>
      </c>
      <c r="C2987" s="167">
        <v>243.55</v>
      </c>
      <c r="D2987" t="s">
        <v>2853</v>
      </c>
      <c r="E2987" t="s">
        <v>1703</v>
      </c>
      <c r="F2987" t="s">
        <v>7360</v>
      </c>
      <c r="G2987" t="s">
        <v>7338</v>
      </c>
      <c r="I2987" t="s">
        <v>2812</v>
      </c>
    </row>
    <row r="2988" spans="1:9" x14ac:dyDescent="0.25">
      <c r="A2988" t="s">
        <v>1912</v>
      </c>
      <c r="B2988" t="s">
        <v>1913</v>
      </c>
      <c r="C2988" s="167">
        <v>365.34</v>
      </c>
      <c r="D2988" t="s">
        <v>2853</v>
      </c>
      <c r="E2988" t="s">
        <v>1701</v>
      </c>
      <c r="F2988" t="s">
        <v>7360</v>
      </c>
      <c r="G2988" t="s">
        <v>7338</v>
      </c>
      <c r="I2988" t="s">
        <v>2812</v>
      </c>
    </row>
    <row r="2989" spans="1:9" x14ac:dyDescent="0.25">
      <c r="A2989" t="s">
        <v>1910</v>
      </c>
      <c r="B2989" t="s">
        <v>1911</v>
      </c>
      <c r="C2989" s="167">
        <v>365.34</v>
      </c>
      <c r="D2989" t="s">
        <v>2853</v>
      </c>
      <c r="E2989" t="s">
        <v>1699</v>
      </c>
      <c r="F2989" t="s">
        <v>7360</v>
      </c>
      <c r="G2989" t="s">
        <v>7338</v>
      </c>
      <c r="I2989" t="s">
        <v>2812</v>
      </c>
    </row>
    <row r="2990" spans="1:9" x14ac:dyDescent="0.25">
      <c r="A2990" t="s">
        <v>1908</v>
      </c>
      <c r="B2990" t="s">
        <v>1909</v>
      </c>
      <c r="C2990" s="167">
        <v>365.34</v>
      </c>
      <c r="D2990" t="s">
        <v>2853</v>
      </c>
      <c r="E2990" t="s">
        <v>1703</v>
      </c>
      <c r="F2990" t="s">
        <v>7360</v>
      </c>
      <c r="G2990" t="s">
        <v>7338</v>
      </c>
      <c r="I2990" t="s">
        <v>2812</v>
      </c>
    </row>
    <row r="2991" spans="1:9" x14ac:dyDescent="0.25">
      <c r="A2991" t="s">
        <v>7414</v>
      </c>
      <c r="B2991" t="s">
        <v>7415</v>
      </c>
      <c r="C2991" s="167">
        <v>13.91</v>
      </c>
      <c r="D2991" t="s">
        <v>2853</v>
      </c>
      <c r="E2991" t="s">
        <v>2853</v>
      </c>
      <c r="F2991" t="s">
        <v>7352</v>
      </c>
      <c r="G2991" t="s">
        <v>7352</v>
      </c>
    </row>
    <row r="2992" spans="1:9" x14ac:dyDescent="0.25">
      <c r="A2992" t="s">
        <v>7416</v>
      </c>
      <c r="B2992" t="s">
        <v>7415</v>
      </c>
      <c r="C2992" s="167">
        <v>17.12</v>
      </c>
      <c r="D2992" t="s">
        <v>2853</v>
      </c>
      <c r="E2992" t="s">
        <v>2853</v>
      </c>
      <c r="F2992" t="s">
        <v>7352</v>
      </c>
      <c r="G2992" t="s">
        <v>7352</v>
      </c>
    </row>
    <row r="2993" spans="1:9" x14ac:dyDescent="0.25">
      <c r="A2993" t="s">
        <v>7417</v>
      </c>
      <c r="B2993" t="s">
        <v>7415</v>
      </c>
      <c r="C2993" s="167">
        <v>19.260000000000002</v>
      </c>
      <c r="D2993" t="s">
        <v>2853</v>
      </c>
      <c r="E2993" t="s">
        <v>2853</v>
      </c>
      <c r="F2993" t="s">
        <v>7352</v>
      </c>
      <c r="G2993" t="s">
        <v>7352</v>
      </c>
    </row>
    <row r="2994" spans="1:9" x14ac:dyDescent="0.25">
      <c r="A2994" t="s">
        <v>7418</v>
      </c>
      <c r="B2994" t="s">
        <v>7415</v>
      </c>
      <c r="C2994" s="167">
        <v>21.4</v>
      </c>
      <c r="D2994" t="s">
        <v>2853</v>
      </c>
      <c r="E2994" t="s">
        <v>2853</v>
      </c>
      <c r="F2994" t="s">
        <v>7352</v>
      </c>
      <c r="G2994" t="s">
        <v>7352</v>
      </c>
    </row>
    <row r="2995" spans="1:9" x14ac:dyDescent="0.25">
      <c r="A2995" t="s">
        <v>7661</v>
      </c>
      <c r="B2995" t="s">
        <v>8261</v>
      </c>
      <c r="C2995" s="167">
        <v>0.89</v>
      </c>
      <c r="D2995" t="s">
        <v>59</v>
      </c>
      <c r="E2995" t="s">
        <v>2853</v>
      </c>
      <c r="F2995" t="s">
        <v>7352</v>
      </c>
      <c r="G2995" t="s">
        <v>7352</v>
      </c>
      <c r="I2995" t="s">
        <v>2815</v>
      </c>
    </row>
    <row r="2996" spans="1:9" x14ac:dyDescent="0.25">
      <c r="A2996" t="s">
        <v>7419</v>
      </c>
      <c r="B2996" t="s">
        <v>7420</v>
      </c>
      <c r="C2996" s="167">
        <v>0.89</v>
      </c>
      <c r="D2996" t="s">
        <v>19</v>
      </c>
      <c r="E2996" t="s">
        <v>2853</v>
      </c>
      <c r="F2996" t="s">
        <v>7352</v>
      </c>
      <c r="G2996" t="s">
        <v>7352</v>
      </c>
      <c r="I2996" t="s">
        <v>2815</v>
      </c>
    </row>
    <row r="2997" spans="1:9" x14ac:dyDescent="0.25">
      <c r="A2997" t="s">
        <v>7421</v>
      </c>
      <c r="B2997" t="s">
        <v>7422</v>
      </c>
      <c r="C2997" s="167">
        <v>0.89</v>
      </c>
      <c r="D2997" t="s">
        <v>21</v>
      </c>
      <c r="E2997" t="s">
        <v>2853</v>
      </c>
      <c r="F2997" t="s">
        <v>7352</v>
      </c>
      <c r="G2997" t="s">
        <v>7352</v>
      </c>
      <c r="I2997" t="s">
        <v>2815</v>
      </c>
    </row>
    <row r="2998" spans="1:9" x14ac:dyDescent="0.25">
      <c r="A2998" t="s">
        <v>7423</v>
      </c>
      <c r="B2998" t="s">
        <v>7424</v>
      </c>
      <c r="C2998" s="167">
        <v>0.89</v>
      </c>
      <c r="D2998" t="s">
        <v>563</v>
      </c>
      <c r="E2998" t="s">
        <v>2853</v>
      </c>
      <c r="F2998" t="s">
        <v>7352</v>
      </c>
      <c r="G2998" t="s">
        <v>7352</v>
      </c>
      <c r="I2998" t="s">
        <v>2815</v>
      </c>
    </row>
    <row r="2999" spans="1:9" x14ac:dyDescent="0.25">
      <c r="A2999" t="s">
        <v>7425</v>
      </c>
      <c r="B2999" t="s">
        <v>7426</v>
      </c>
      <c r="C2999" s="167">
        <v>0.89</v>
      </c>
      <c r="D2999" t="s">
        <v>4633</v>
      </c>
      <c r="E2999" t="s">
        <v>2853</v>
      </c>
      <c r="F2999" t="s">
        <v>7352</v>
      </c>
      <c r="G2999" t="s">
        <v>7352</v>
      </c>
      <c r="I2999" t="s">
        <v>2815</v>
      </c>
    </row>
    <row r="3000" spans="1:9" x14ac:dyDescent="0.25">
      <c r="A3000" t="s">
        <v>7427</v>
      </c>
      <c r="B3000" t="s">
        <v>7428</v>
      </c>
      <c r="C3000" s="167">
        <v>0.89</v>
      </c>
      <c r="D3000" t="s">
        <v>671</v>
      </c>
      <c r="E3000" t="s">
        <v>2853</v>
      </c>
      <c r="F3000" t="s">
        <v>7352</v>
      </c>
      <c r="G3000" t="s">
        <v>7352</v>
      </c>
      <c r="I3000" t="s">
        <v>2815</v>
      </c>
    </row>
    <row r="3001" spans="1:9" x14ac:dyDescent="0.25">
      <c r="A3001" t="s">
        <v>7662</v>
      </c>
      <c r="B3001" t="s">
        <v>8262</v>
      </c>
      <c r="C3001" s="167">
        <v>1.64</v>
      </c>
      <c r="D3001" t="s">
        <v>59</v>
      </c>
      <c r="E3001" t="s">
        <v>2853</v>
      </c>
      <c r="F3001" t="s">
        <v>7352</v>
      </c>
      <c r="G3001" t="s">
        <v>7352</v>
      </c>
    </row>
    <row r="3002" spans="1:9" x14ac:dyDescent="0.25">
      <c r="A3002" t="s">
        <v>7429</v>
      </c>
      <c r="B3002" t="s">
        <v>7430</v>
      </c>
      <c r="C3002" s="167">
        <v>1.64</v>
      </c>
      <c r="D3002" t="s">
        <v>19</v>
      </c>
      <c r="E3002" t="s">
        <v>2853</v>
      </c>
      <c r="F3002" t="s">
        <v>7352</v>
      </c>
      <c r="G3002" t="s">
        <v>7352</v>
      </c>
    </row>
    <row r="3003" spans="1:9" x14ac:dyDescent="0.25">
      <c r="A3003" t="s">
        <v>7431</v>
      </c>
      <c r="B3003" t="s">
        <v>7432</v>
      </c>
      <c r="C3003" s="167">
        <v>1.64</v>
      </c>
      <c r="D3003" t="s">
        <v>21</v>
      </c>
      <c r="E3003" t="s">
        <v>2853</v>
      </c>
      <c r="F3003" t="s">
        <v>7352</v>
      </c>
      <c r="G3003" t="s">
        <v>7352</v>
      </c>
    </row>
    <row r="3004" spans="1:9" x14ac:dyDescent="0.25">
      <c r="A3004" t="s">
        <v>7433</v>
      </c>
      <c r="B3004" t="s">
        <v>7434</v>
      </c>
      <c r="C3004" s="167">
        <v>1.64</v>
      </c>
      <c r="D3004" t="s">
        <v>563</v>
      </c>
      <c r="E3004" t="s">
        <v>2853</v>
      </c>
      <c r="F3004" t="s">
        <v>7352</v>
      </c>
      <c r="G3004" t="s">
        <v>7352</v>
      </c>
    </row>
    <row r="3005" spans="1:9" x14ac:dyDescent="0.25">
      <c r="A3005" t="s">
        <v>7435</v>
      </c>
      <c r="B3005" t="s">
        <v>7436</v>
      </c>
      <c r="C3005" s="167">
        <v>1.64</v>
      </c>
      <c r="D3005" t="s">
        <v>19</v>
      </c>
      <c r="E3005" t="s">
        <v>2853</v>
      </c>
      <c r="F3005" t="s">
        <v>7352</v>
      </c>
      <c r="G3005" t="s">
        <v>7352</v>
      </c>
    </row>
    <row r="3006" spans="1:9" x14ac:dyDescent="0.25">
      <c r="A3006" t="s">
        <v>7437</v>
      </c>
      <c r="B3006" t="s">
        <v>7438</v>
      </c>
      <c r="C3006" s="167">
        <v>1.64</v>
      </c>
      <c r="D3006" t="s">
        <v>671</v>
      </c>
      <c r="E3006" t="s">
        <v>2853</v>
      </c>
      <c r="F3006" t="s">
        <v>7352</v>
      </c>
      <c r="G3006" t="s">
        <v>7352</v>
      </c>
    </row>
  </sheetData>
  <sheetProtection algorithmName="SHA-512" hashValue="ZA3ZwyQmXtZtvuj1jYq64wTzysiUJBZrYAKCGBq3EXLemsYkvbvTGOObMq7GpK9W7ZAbq61QjIjzEO8753sYHQ==" saltValue="qpxQ+0QoNzbqemrKC+FeEw==" spinCount="100000" sheet="1" sort="0" autoFilter="0" pivotTables="0"/>
  <phoneticPr fontId="34" type="noConversion"/>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learSlicers">
                <anchor moveWithCells="1" sizeWithCells="1">
                  <from>
                    <xdr:col>12</xdr:col>
                    <xdr:colOff>0</xdr:colOff>
                    <xdr:row>0</xdr:row>
                    <xdr:rowOff>0</xdr:rowOff>
                  </from>
                  <to>
                    <xdr:col>18</xdr:col>
                    <xdr:colOff>0</xdr:colOff>
                    <xdr:row>1</xdr:row>
                    <xdr:rowOff>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805F5-1AFA-4A9B-B461-628A049F3EFC}">
  <dimension ref="A1:A3"/>
  <sheetViews>
    <sheetView workbookViewId="0"/>
  </sheetViews>
  <sheetFormatPr defaultRowHeight="15" x14ac:dyDescent="0.25"/>
  <cols>
    <col min="1" max="1" width="122.42578125" customWidth="1"/>
  </cols>
  <sheetData>
    <row r="1" spans="1:1" x14ac:dyDescent="0.25">
      <c r="A1" s="175" t="s">
        <v>7663</v>
      </c>
    </row>
    <row r="2" spans="1:1" ht="60" x14ac:dyDescent="0.25">
      <c r="A2" s="176" t="s">
        <v>7664</v>
      </c>
    </row>
    <row r="3" spans="1:1" ht="75" x14ac:dyDescent="0.25">
      <c r="A3" s="176" t="s">
        <v>7665</v>
      </c>
    </row>
  </sheetData>
  <sheetProtection algorithmName="SHA-512" hashValue="K8T7kisO/o6wUqqUO1KKJOoFBhFZtFzmlvUTp9w4BM99OV+CPVjQN2X2Rgz25DykOjKhpxS9VnJPBGm02gGxxQ==" saltValue="DEnoGitk0Om/bfh7uNTOuA=="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03392-563D-47BC-B428-A14C4B95448D}">
  <sheetPr codeName="Sheet3"/>
  <dimension ref="A1:G177"/>
  <sheetViews>
    <sheetView workbookViewId="0">
      <selection activeCell="A2" sqref="A2"/>
    </sheetView>
  </sheetViews>
  <sheetFormatPr defaultRowHeight="15" x14ac:dyDescent="0.25"/>
  <cols>
    <col min="1" max="1" width="20.140625" customWidth="1"/>
    <col min="2" max="2" width="11.85546875" customWidth="1"/>
    <col min="3" max="3" width="13" customWidth="1"/>
    <col min="4" max="4" width="30.42578125" customWidth="1"/>
    <col min="6" max="6" width="9.140625" customWidth="1"/>
    <col min="7" max="7" width="19.7109375" hidden="1" customWidth="1"/>
  </cols>
  <sheetData>
    <row r="1" spans="1:7" x14ac:dyDescent="0.25">
      <c r="A1" t="s">
        <v>2774</v>
      </c>
      <c r="B1" t="s">
        <v>2773</v>
      </c>
      <c r="C1" t="s">
        <v>2775</v>
      </c>
      <c r="D1" t="s">
        <v>2776</v>
      </c>
    </row>
    <row r="2" spans="1:7" x14ac:dyDescent="0.25">
      <c r="D2" s="109"/>
      <c r="G2" t="s">
        <v>76</v>
      </c>
    </row>
    <row r="3" spans="1:7" x14ac:dyDescent="0.25">
      <c r="D3" s="109"/>
      <c r="G3" t="s">
        <v>672</v>
      </c>
    </row>
    <row r="4" spans="1:7" x14ac:dyDescent="0.25">
      <c r="D4" s="109"/>
      <c r="G4" t="s">
        <v>32</v>
      </c>
    </row>
    <row r="5" spans="1:7" x14ac:dyDescent="0.25">
      <c r="D5" s="109"/>
      <c r="G5" t="s">
        <v>88</v>
      </c>
    </row>
    <row r="6" spans="1:7" x14ac:dyDescent="0.25">
      <c r="D6" s="109"/>
      <c r="G6" t="s">
        <v>570</v>
      </c>
    </row>
    <row r="7" spans="1:7" x14ac:dyDescent="0.25">
      <c r="D7" s="109"/>
      <c r="G7" t="s">
        <v>4643</v>
      </c>
    </row>
    <row r="8" spans="1:7" x14ac:dyDescent="0.25">
      <c r="D8" s="109"/>
      <c r="G8" t="s">
        <v>36</v>
      </c>
    </row>
    <row r="9" spans="1:7" x14ac:dyDescent="0.25">
      <c r="D9" s="109"/>
      <c r="G9" t="s">
        <v>676</v>
      </c>
    </row>
    <row r="10" spans="1:7" x14ac:dyDescent="0.25">
      <c r="D10" s="109"/>
      <c r="G10" t="s">
        <v>37</v>
      </c>
    </row>
    <row r="11" spans="1:7" x14ac:dyDescent="0.25">
      <c r="D11" s="109"/>
      <c r="G11" t="s">
        <v>38</v>
      </c>
    </row>
    <row r="12" spans="1:7" x14ac:dyDescent="0.25">
      <c r="D12" s="109"/>
      <c r="G12" t="s">
        <v>565</v>
      </c>
    </row>
    <row r="13" spans="1:7" x14ac:dyDescent="0.25">
      <c r="D13" s="109"/>
      <c r="G13" t="s">
        <v>4641</v>
      </c>
    </row>
    <row r="14" spans="1:7" x14ac:dyDescent="0.25">
      <c r="D14" s="109"/>
      <c r="G14" t="s">
        <v>81</v>
      </c>
    </row>
    <row r="15" spans="1:7" x14ac:dyDescent="0.25">
      <c r="D15" s="109"/>
    </row>
    <row r="16" spans="1:7" x14ac:dyDescent="0.25">
      <c r="A16" t="str">
        <f t="shared" ref="A16:A33" si="0">UPPER($G16)</f>
        <v/>
      </c>
      <c r="B16" t="s">
        <v>2842</v>
      </c>
      <c r="C16" t="s">
        <v>2842</v>
      </c>
      <c r="D16" s="109"/>
    </row>
    <row r="17" spans="1:4" x14ac:dyDescent="0.25">
      <c r="A17" t="str">
        <f t="shared" si="0"/>
        <v/>
      </c>
      <c r="B17" t="s">
        <v>2842</v>
      </c>
      <c r="C17" t="s">
        <v>2842</v>
      </c>
      <c r="D17" s="109"/>
    </row>
    <row r="18" spans="1:4" x14ac:dyDescent="0.25">
      <c r="A18" t="str">
        <f t="shared" si="0"/>
        <v/>
      </c>
      <c r="B18" t="s">
        <v>2842</v>
      </c>
      <c r="C18" t="s">
        <v>2842</v>
      </c>
      <c r="D18" s="109"/>
    </row>
    <row r="19" spans="1:4" x14ac:dyDescent="0.25">
      <c r="A19" t="str">
        <f t="shared" si="0"/>
        <v/>
      </c>
      <c r="B19" t="s">
        <v>2842</v>
      </c>
      <c r="C19" t="s">
        <v>2842</v>
      </c>
      <c r="D19" s="109"/>
    </row>
    <row r="20" spans="1:4" x14ac:dyDescent="0.25">
      <c r="A20" t="str">
        <f t="shared" si="0"/>
        <v/>
      </c>
      <c r="B20" t="s">
        <v>2842</v>
      </c>
      <c r="C20" t="s">
        <v>2842</v>
      </c>
      <c r="D20" s="109"/>
    </row>
    <row r="21" spans="1:4" x14ac:dyDescent="0.25">
      <c r="A21" t="str">
        <f t="shared" si="0"/>
        <v/>
      </c>
      <c r="B21" t="s">
        <v>2842</v>
      </c>
      <c r="C21" t="s">
        <v>2842</v>
      </c>
      <c r="D21" s="109"/>
    </row>
    <row r="22" spans="1:4" x14ac:dyDescent="0.25">
      <c r="A22" t="str">
        <f t="shared" si="0"/>
        <v/>
      </c>
      <c r="B22" t="s">
        <v>2842</v>
      </c>
      <c r="C22" t="s">
        <v>2842</v>
      </c>
      <c r="D22" s="109"/>
    </row>
    <row r="23" spans="1:4" x14ac:dyDescent="0.25">
      <c r="A23" t="str">
        <f t="shared" si="0"/>
        <v/>
      </c>
      <c r="B23" t="s">
        <v>2842</v>
      </c>
      <c r="C23" t="s">
        <v>2842</v>
      </c>
      <c r="D23" s="109"/>
    </row>
    <row r="24" spans="1:4" x14ac:dyDescent="0.25">
      <c r="A24" t="str">
        <f t="shared" si="0"/>
        <v/>
      </c>
      <c r="B24" t="s">
        <v>2842</v>
      </c>
      <c r="C24" t="s">
        <v>2842</v>
      </c>
      <c r="D24" s="109"/>
    </row>
    <row r="25" spans="1:4" x14ac:dyDescent="0.25">
      <c r="A25" t="str">
        <f t="shared" si="0"/>
        <v/>
      </c>
      <c r="B25" t="s">
        <v>2842</v>
      </c>
      <c r="C25" t="s">
        <v>2842</v>
      </c>
      <c r="D25" s="109"/>
    </row>
    <row r="26" spans="1:4" x14ac:dyDescent="0.25">
      <c r="A26" t="str">
        <f t="shared" si="0"/>
        <v/>
      </c>
      <c r="B26" t="s">
        <v>2842</v>
      </c>
      <c r="C26" t="s">
        <v>2842</v>
      </c>
      <c r="D26" s="109"/>
    </row>
    <row r="27" spans="1:4" x14ac:dyDescent="0.25">
      <c r="A27" t="str">
        <f t="shared" si="0"/>
        <v/>
      </c>
      <c r="B27" t="s">
        <v>2842</v>
      </c>
      <c r="C27" t="s">
        <v>2842</v>
      </c>
      <c r="D27" s="109"/>
    </row>
    <row r="28" spans="1:4" x14ac:dyDescent="0.25">
      <c r="A28" t="str">
        <f t="shared" si="0"/>
        <v/>
      </c>
      <c r="B28" t="s">
        <v>2842</v>
      </c>
      <c r="C28" t="s">
        <v>2842</v>
      </c>
      <c r="D28" s="109"/>
    </row>
    <row r="29" spans="1:4" x14ac:dyDescent="0.25">
      <c r="A29" t="str">
        <f t="shared" si="0"/>
        <v/>
      </c>
      <c r="B29" t="s">
        <v>2842</v>
      </c>
      <c r="C29" t="s">
        <v>2842</v>
      </c>
      <c r="D29" s="109"/>
    </row>
    <row r="30" spans="1:4" x14ac:dyDescent="0.25">
      <c r="A30" t="str">
        <f t="shared" si="0"/>
        <v/>
      </c>
      <c r="B30" t="s">
        <v>2842</v>
      </c>
      <c r="C30" t="s">
        <v>2842</v>
      </c>
      <c r="D30" s="109"/>
    </row>
    <row r="31" spans="1:4" x14ac:dyDescent="0.25">
      <c r="A31" t="str">
        <f t="shared" si="0"/>
        <v/>
      </c>
      <c r="B31" t="s">
        <v>2842</v>
      </c>
      <c r="C31" t="s">
        <v>2842</v>
      </c>
      <c r="D31" s="109"/>
    </row>
    <row r="32" spans="1:4" x14ac:dyDescent="0.25">
      <c r="A32" t="str">
        <f t="shared" si="0"/>
        <v/>
      </c>
      <c r="B32" t="s">
        <v>2842</v>
      </c>
      <c r="C32" t="s">
        <v>2842</v>
      </c>
      <c r="D32" s="109"/>
    </row>
    <row r="33" spans="1:4" x14ac:dyDescent="0.25">
      <c r="A33" t="str">
        <f t="shared" si="0"/>
        <v/>
      </c>
      <c r="B33" t="s">
        <v>2842</v>
      </c>
      <c r="C33" t="s">
        <v>2842</v>
      </c>
      <c r="D33" s="109"/>
    </row>
    <row r="34" spans="1:4" x14ac:dyDescent="0.25">
      <c r="A34" t="str">
        <f t="shared" ref="A34:A65" si="1">UPPER($G34)</f>
        <v/>
      </c>
      <c r="B34" t="s">
        <v>2842</v>
      </c>
      <c r="C34" t="s">
        <v>2842</v>
      </c>
      <c r="D34" s="109"/>
    </row>
    <row r="35" spans="1:4" x14ac:dyDescent="0.25">
      <c r="A35" t="str">
        <f t="shared" si="1"/>
        <v/>
      </c>
      <c r="B35" t="s">
        <v>2842</v>
      </c>
      <c r="C35" t="s">
        <v>2842</v>
      </c>
      <c r="D35" s="109"/>
    </row>
    <row r="36" spans="1:4" x14ac:dyDescent="0.25">
      <c r="A36" t="str">
        <f t="shared" si="1"/>
        <v/>
      </c>
      <c r="B36" t="s">
        <v>2842</v>
      </c>
      <c r="C36" t="s">
        <v>2842</v>
      </c>
      <c r="D36" s="109"/>
    </row>
    <row r="37" spans="1:4" x14ac:dyDescent="0.25">
      <c r="A37" t="str">
        <f t="shared" si="1"/>
        <v/>
      </c>
      <c r="B37" t="s">
        <v>2842</v>
      </c>
      <c r="C37" t="s">
        <v>2842</v>
      </c>
      <c r="D37" s="109"/>
    </row>
    <row r="38" spans="1:4" x14ac:dyDescent="0.25">
      <c r="A38" t="str">
        <f t="shared" si="1"/>
        <v/>
      </c>
      <c r="B38" t="s">
        <v>2842</v>
      </c>
      <c r="C38" t="s">
        <v>2842</v>
      </c>
      <c r="D38" s="109"/>
    </row>
    <row r="39" spans="1:4" x14ac:dyDescent="0.25">
      <c r="A39" t="str">
        <f t="shared" si="1"/>
        <v/>
      </c>
      <c r="B39" t="s">
        <v>2842</v>
      </c>
      <c r="C39" t="s">
        <v>2842</v>
      </c>
      <c r="D39" s="109"/>
    </row>
    <row r="40" spans="1:4" x14ac:dyDescent="0.25">
      <c r="A40" t="str">
        <f t="shared" si="1"/>
        <v/>
      </c>
      <c r="B40" t="s">
        <v>2842</v>
      </c>
      <c r="C40" t="s">
        <v>2842</v>
      </c>
      <c r="D40" s="109"/>
    </row>
    <row r="41" spans="1:4" x14ac:dyDescent="0.25">
      <c r="A41" t="str">
        <f t="shared" si="1"/>
        <v/>
      </c>
      <c r="B41" t="s">
        <v>2842</v>
      </c>
      <c r="C41" t="s">
        <v>2842</v>
      </c>
      <c r="D41" s="109"/>
    </row>
    <row r="42" spans="1:4" x14ac:dyDescent="0.25">
      <c r="A42" t="str">
        <f t="shared" si="1"/>
        <v/>
      </c>
      <c r="B42" t="s">
        <v>2842</v>
      </c>
      <c r="C42" t="s">
        <v>2842</v>
      </c>
      <c r="D42" s="109"/>
    </row>
    <row r="43" spans="1:4" x14ac:dyDescent="0.25">
      <c r="A43" t="str">
        <f t="shared" si="1"/>
        <v/>
      </c>
      <c r="B43" t="s">
        <v>2842</v>
      </c>
      <c r="C43" t="s">
        <v>2842</v>
      </c>
      <c r="D43" s="109"/>
    </row>
    <row r="44" spans="1:4" x14ac:dyDescent="0.25">
      <c r="A44" t="str">
        <f t="shared" si="1"/>
        <v/>
      </c>
      <c r="B44" t="s">
        <v>2842</v>
      </c>
      <c r="C44" t="s">
        <v>2842</v>
      </c>
      <c r="D44" s="109"/>
    </row>
    <row r="45" spans="1:4" x14ac:dyDescent="0.25">
      <c r="A45" t="str">
        <f t="shared" si="1"/>
        <v/>
      </c>
      <c r="B45" t="s">
        <v>2842</v>
      </c>
      <c r="C45" t="s">
        <v>2842</v>
      </c>
      <c r="D45" s="109"/>
    </row>
    <row r="46" spans="1:4" x14ac:dyDescent="0.25">
      <c r="A46" t="str">
        <f t="shared" si="1"/>
        <v/>
      </c>
      <c r="B46" t="s">
        <v>2842</v>
      </c>
      <c r="C46" t="s">
        <v>2842</v>
      </c>
      <c r="D46" s="109"/>
    </row>
    <row r="47" spans="1:4" x14ac:dyDescent="0.25">
      <c r="A47" t="str">
        <f t="shared" si="1"/>
        <v/>
      </c>
      <c r="B47" t="s">
        <v>2842</v>
      </c>
      <c r="C47" t="s">
        <v>2842</v>
      </c>
      <c r="D47" s="109"/>
    </row>
    <row r="48" spans="1:4" x14ac:dyDescent="0.25">
      <c r="A48" t="str">
        <f t="shared" si="1"/>
        <v/>
      </c>
      <c r="B48" t="s">
        <v>2842</v>
      </c>
      <c r="C48" t="s">
        <v>2842</v>
      </c>
      <c r="D48" s="109"/>
    </row>
    <row r="49" spans="1:4" x14ac:dyDescent="0.25">
      <c r="A49" t="str">
        <f t="shared" si="1"/>
        <v/>
      </c>
      <c r="B49" t="s">
        <v>2842</v>
      </c>
      <c r="C49" t="s">
        <v>2842</v>
      </c>
      <c r="D49" s="109"/>
    </row>
    <row r="50" spans="1:4" x14ac:dyDescent="0.25">
      <c r="A50" t="str">
        <f t="shared" si="1"/>
        <v/>
      </c>
      <c r="B50" t="s">
        <v>2842</v>
      </c>
      <c r="C50" t="s">
        <v>2842</v>
      </c>
      <c r="D50" s="109"/>
    </row>
    <row r="51" spans="1:4" x14ac:dyDescent="0.25">
      <c r="A51" t="str">
        <f t="shared" si="1"/>
        <v/>
      </c>
      <c r="B51" t="s">
        <v>2842</v>
      </c>
      <c r="C51" t="s">
        <v>2842</v>
      </c>
      <c r="D51" s="109"/>
    </row>
    <row r="52" spans="1:4" x14ac:dyDescent="0.25">
      <c r="A52" t="str">
        <f t="shared" si="1"/>
        <v/>
      </c>
      <c r="B52" t="s">
        <v>2842</v>
      </c>
      <c r="C52" t="s">
        <v>2842</v>
      </c>
      <c r="D52" s="109"/>
    </row>
    <row r="53" spans="1:4" x14ac:dyDescent="0.25">
      <c r="A53" t="str">
        <f t="shared" si="1"/>
        <v/>
      </c>
      <c r="B53" t="s">
        <v>2842</v>
      </c>
      <c r="C53" t="s">
        <v>2842</v>
      </c>
      <c r="D53" s="109"/>
    </row>
    <row r="54" spans="1:4" x14ac:dyDescent="0.25">
      <c r="A54" t="str">
        <f t="shared" si="1"/>
        <v/>
      </c>
      <c r="B54" t="s">
        <v>2842</v>
      </c>
      <c r="C54" t="s">
        <v>2842</v>
      </c>
      <c r="D54" s="109"/>
    </row>
    <row r="55" spans="1:4" x14ac:dyDescent="0.25">
      <c r="A55" t="str">
        <f t="shared" si="1"/>
        <v/>
      </c>
      <c r="B55" t="s">
        <v>2842</v>
      </c>
      <c r="C55" t="s">
        <v>2842</v>
      </c>
      <c r="D55" s="109"/>
    </row>
    <row r="56" spans="1:4" x14ac:dyDescent="0.25">
      <c r="A56" t="str">
        <f t="shared" si="1"/>
        <v/>
      </c>
      <c r="B56" t="s">
        <v>2842</v>
      </c>
      <c r="C56" t="s">
        <v>2842</v>
      </c>
      <c r="D56" s="109"/>
    </row>
    <row r="57" spans="1:4" x14ac:dyDescent="0.25">
      <c r="A57" t="str">
        <f t="shared" si="1"/>
        <v/>
      </c>
      <c r="B57" t="s">
        <v>2842</v>
      </c>
      <c r="C57" t="s">
        <v>2842</v>
      </c>
      <c r="D57" s="109"/>
    </row>
    <row r="58" spans="1:4" x14ac:dyDescent="0.25">
      <c r="A58" t="str">
        <f t="shared" si="1"/>
        <v/>
      </c>
      <c r="B58" t="s">
        <v>2842</v>
      </c>
      <c r="C58" t="s">
        <v>2842</v>
      </c>
      <c r="D58" s="109"/>
    </row>
    <row r="59" spans="1:4" x14ac:dyDescent="0.25">
      <c r="A59" t="str">
        <f t="shared" si="1"/>
        <v/>
      </c>
      <c r="B59" t="s">
        <v>2842</v>
      </c>
      <c r="C59" t="s">
        <v>2842</v>
      </c>
      <c r="D59" s="109"/>
    </row>
    <row r="60" spans="1:4" x14ac:dyDescent="0.25">
      <c r="A60" t="str">
        <f t="shared" si="1"/>
        <v/>
      </c>
      <c r="B60" t="s">
        <v>2842</v>
      </c>
      <c r="C60" t="s">
        <v>2842</v>
      </c>
      <c r="D60" s="109"/>
    </row>
    <row r="61" spans="1:4" x14ac:dyDescent="0.25">
      <c r="A61" t="str">
        <f t="shared" si="1"/>
        <v/>
      </c>
      <c r="B61" t="s">
        <v>2842</v>
      </c>
      <c r="C61" t="s">
        <v>2842</v>
      </c>
      <c r="D61" s="109"/>
    </row>
    <row r="62" spans="1:4" x14ac:dyDescent="0.25">
      <c r="A62" t="str">
        <f t="shared" si="1"/>
        <v/>
      </c>
      <c r="B62" t="s">
        <v>2842</v>
      </c>
      <c r="C62" t="s">
        <v>2842</v>
      </c>
      <c r="D62" s="109"/>
    </row>
    <row r="63" spans="1:4" x14ac:dyDescent="0.25">
      <c r="A63" t="str">
        <f t="shared" si="1"/>
        <v/>
      </c>
      <c r="B63" t="s">
        <v>2842</v>
      </c>
      <c r="C63" t="s">
        <v>2842</v>
      </c>
      <c r="D63" s="109"/>
    </row>
    <row r="64" spans="1:4" x14ac:dyDescent="0.25">
      <c r="A64" t="str">
        <f t="shared" si="1"/>
        <v/>
      </c>
      <c r="B64" t="s">
        <v>2842</v>
      </c>
      <c r="C64" t="s">
        <v>2842</v>
      </c>
      <c r="D64" s="109"/>
    </row>
    <row r="65" spans="1:4" x14ac:dyDescent="0.25">
      <c r="A65" t="str">
        <f t="shared" si="1"/>
        <v/>
      </c>
      <c r="B65" t="s">
        <v>2842</v>
      </c>
      <c r="C65" t="s">
        <v>2842</v>
      </c>
      <c r="D65" s="109"/>
    </row>
    <row r="66" spans="1:4" x14ac:dyDescent="0.25">
      <c r="A66" t="str">
        <f t="shared" ref="A66:A97" si="2">UPPER($G66)</f>
        <v/>
      </c>
      <c r="B66" t="s">
        <v>2842</v>
      </c>
      <c r="C66" t="s">
        <v>2842</v>
      </c>
      <c r="D66" s="109"/>
    </row>
    <row r="67" spans="1:4" x14ac:dyDescent="0.25">
      <c r="A67" t="str">
        <f t="shared" si="2"/>
        <v/>
      </c>
      <c r="B67" t="s">
        <v>2842</v>
      </c>
      <c r="C67" t="s">
        <v>2842</v>
      </c>
      <c r="D67" s="109"/>
    </row>
    <row r="68" spans="1:4" x14ac:dyDescent="0.25">
      <c r="A68" t="str">
        <f t="shared" si="2"/>
        <v/>
      </c>
      <c r="B68" t="s">
        <v>2842</v>
      </c>
      <c r="C68" t="s">
        <v>2842</v>
      </c>
      <c r="D68" s="109"/>
    </row>
    <row r="69" spans="1:4" x14ac:dyDescent="0.25">
      <c r="A69" t="str">
        <f t="shared" si="2"/>
        <v/>
      </c>
      <c r="B69" t="s">
        <v>2842</v>
      </c>
      <c r="C69" t="s">
        <v>2842</v>
      </c>
      <c r="D69" s="109"/>
    </row>
    <row r="70" spans="1:4" x14ac:dyDescent="0.25">
      <c r="A70" t="str">
        <f t="shared" si="2"/>
        <v/>
      </c>
      <c r="B70" t="s">
        <v>2842</v>
      </c>
      <c r="C70" t="s">
        <v>2842</v>
      </c>
      <c r="D70" s="109"/>
    </row>
    <row r="71" spans="1:4" x14ac:dyDescent="0.25">
      <c r="A71" t="str">
        <f t="shared" si="2"/>
        <v/>
      </c>
      <c r="B71" t="s">
        <v>2842</v>
      </c>
      <c r="C71" t="s">
        <v>2842</v>
      </c>
      <c r="D71" s="109"/>
    </row>
    <row r="72" spans="1:4" x14ac:dyDescent="0.25">
      <c r="A72" t="str">
        <f t="shared" si="2"/>
        <v/>
      </c>
      <c r="B72" t="s">
        <v>2842</v>
      </c>
      <c r="C72" t="s">
        <v>2842</v>
      </c>
      <c r="D72" s="109"/>
    </row>
    <row r="73" spans="1:4" x14ac:dyDescent="0.25">
      <c r="A73" t="str">
        <f t="shared" si="2"/>
        <v/>
      </c>
      <c r="B73" t="s">
        <v>2842</v>
      </c>
      <c r="C73" t="s">
        <v>2842</v>
      </c>
      <c r="D73" s="109"/>
    </row>
    <row r="74" spans="1:4" x14ac:dyDescent="0.25">
      <c r="A74" t="str">
        <f t="shared" si="2"/>
        <v/>
      </c>
      <c r="B74" t="s">
        <v>2842</v>
      </c>
      <c r="C74" t="s">
        <v>2842</v>
      </c>
      <c r="D74" s="109"/>
    </row>
    <row r="75" spans="1:4" x14ac:dyDescent="0.25">
      <c r="A75" t="str">
        <f t="shared" si="2"/>
        <v/>
      </c>
      <c r="B75" t="s">
        <v>2842</v>
      </c>
      <c r="C75" t="s">
        <v>2842</v>
      </c>
      <c r="D75" s="109"/>
    </row>
    <row r="76" spans="1:4" x14ac:dyDescent="0.25">
      <c r="A76" t="str">
        <f t="shared" si="2"/>
        <v/>
      </c>
      <c r="B76" t="s">
        <v>2842</v>
      </c>
      <c r="C76" t="s">
        <v>2842</v>
      </c>
      <c r="D76" s="109"/>
    </row>
    <row r="77" spans="1:4" x14ac:dyDescent="0.25">
      <c r="A77" t="str">
        <f t="shared" si="2"/>
        <v/>
      </c>
      <c r="B77" t="s">
        <v>2842</v>
      </c>
      <c r="C77" t="s">
        <v>2842</v>
      </c>
      <c r="D77" s="109"/>
    </row>
    <row r="78" spans="1:4" x14ac:dyDescent="0.25">
      <c r="A78" t="str">
        <f t="shared" si="2"/>
        <v/>
      </c>
      <c r="B78" t="s">
        <v>2842</v>
      </c>
      <c r="C78" t="s">
        <v>2842</v>
      </c>
      <c r="D78" s="109"/>
    </row>
    <row r="79" spans="1:4" x14ac:dyDescent="0.25">
      <c r="A79" t="str">
        <f t="shared" si="2"/>
        <v/>
      </c>
      <c r="B79" t="s">
        <v>2842</v>
      </c>
      <c r="C79" t="s">
        <v>2842</v>
      </c>
      <c r="D79" s="109"/>
    </row>
    <row r="80" spans="1:4" x14ac:dyDescent="0.25">
      <c r="A80" t="str">
        <f t="shared" si="2"/>
        <v/>
      </c>
      <c r="B80" t="s">
        <v>2842</v>
      </c>
      <c r="C80" t="s">
        <v>2842</v>
      </c>
      <c r="D80" s="109"/>
    </row>
    <row r="81" spans="1:4" x14ac:dyDescent="0.25">
      <c r="A81" t="str">
        <f t="shared" si="2"/>
        <v/>
      </c>
      <c r="B81" t="s">
        <v>2842</v>
      </c>
      <c r="C81" t="s">
        <v>2842</v>
      </c>
      <c r="D81" s="109"/>
    </row>
    <row r="82" spans="1:4" x14ac:dyDescent="0.25">
      <c r="A82" t="str">
        <f t="shared" si="2"/>
        <v/>
      </c>
      <c r="B82" t="s">
        <v>2842</v>
      </c>
      <c r="C82" t="s">
        <v>2842</v>
      </c>
      <c r="D82" s="109"/>
    </row>
    <row r="83" spans="1:4" x14ac:dyDescent="0.25">
      <c r="A83" t="str">
        <f t="shared" si="2"/>
        <v/>
      </c>
      <c r="B83" t="s">
        <v>2842</v>
      </c>
      <c r="C83" t="s">
        <v>2842</v>
      </c>
      <c r="D83" s="109"/>
    </row>
    <row r="84" spans="1:4" x14ac:dyDescent="0.25">
      <c r="A84" t="str">
        <f t="shared" si="2"/>
        <v/>
      </c>
      <c r="B84" t="s">
        <v>2842</v>
      </c>
      <c r="C84" t="s">
        <v>2842</v>
      </c>
      <c r="D84" s="109"/>
    </row>
    <row r="85" spans="1:4" x14ac:dyDescent="0.25">
      <c r="A85" t="str">
        <f t="shared" si="2"/>
        <v/>
      </c>
      <c r="B85" t="s">
        <v>2842</v>
      </c>
      <c r="C85" t="s">
        <v>2842</v>
      </c>
      <c r="D85" s="109"/>
    </row>
    <row r="86" spans="1:4" x14ac:dyDescent="0.25">
      <c r="A86" t="str">
        <f t="shared" si="2"/>
        <v/>
      </c>
      <c r="B86" t="s">
        <v>2842</v>
      </c>
      <c r="C86" t="s">
        <v>2842</v>
      </c>
      <c r="D86" s="109"/>
    </row>
    <row r="87" spans="1:4" x14ac:dyDescent="0.25">
      <c r="A87" t="str">
        <f t="shared" si="2"/>
        <v/>
      </c>
      <c r="B87" t="s">
        <v>2842</v>
      </c>
      <c r="C87" t="s">
        <v>2842</v>
      </c>
      <c r="D87" s="109"/>
    </row>
    <row r="88" spans="1:4" x14ac:dyDescent="0.25">
      <c r="A88" t="str">
        <f t="shared" si="2"/>
        <v/>
      </c>
      <c r="B88" t="s">
        <v>2842</v>
      </c>
      <c r="C88" t="s">
        <v>2842</v>
      </c>
      <c r="D88" s="109"/>
    </row>
    <row r="89" spans="1:4" x14ac:dyDescent="0.25">
      <c r="A89" t="str">
        <f t="shared" si="2"/>
        <v/>
      </c>
      <c r="B89" t="s">
        <v>2842</v>
      </c>
      <c r="C89" t="s">
        <v>2842</v>
      </c>
      <c r="D89" s="109"/>
    </row>
    <row r="90" spans="1:4" x14ac:dyDescent="0.25">
      <c r="A90" t="str">
        <f t="shared" si="2"/>
        <v/>
      </c>
      <c r="B90" t="s">
        <v>2842</v>
      </c>
      <c r="C90" t="s">
        <v>2842</v>
      </c>
      <c r="D90" s="109"/>
    </row>
    <row r="91" spans="1:4" x14ac:dyDescent="0.25">
      <c r="A91" t="str">
        <f t="shared" si="2"/>
        <v/>
      </c>
      <c r="B91" t="s">
        <v>2842</v>
      </c>
      <c r="C91" t="s">
        <v>2842</v>
      </c>
      <c r="D91" s="109"/>
    </row>
    <row r="92" spans="1:4" x14ac:dyDescent="0.25">
      <c r="A92" t="str">
        <f t="shared" si="2"/>
        <v/>
      </c>
      <c r="B92" t="s">
        <v>2842</v>
      </c>
      <c r="C92" t="s">
        <v>2842</v>
      </c>
      <c r="D92" s="109"/>
    </row>
    <row r="93" spans="1:4" x14ac:dyDescent="0.25">
      <c r="A93" t="str">
        <f t="shared" si="2"/>
        <v/>
      </c>
      <c r="B93" t="s">
        <v>2842</v>
      </c>
      <c r="C93" t="s">
        <v>2842</v>
      </c>
      <c r="D93" s="109"/>
    </row>
    <row r="94" spans="1:4" x14ac:dyDescent="0.25">
      <c r="A94" t="str">
        <f t="shared" si="2"/>
        <v/>
      </c>
      <c r="B94" t="s">
        <v>2842</v>
      </c>
      <c r="C94" t="s">
        <v>2842</v>
      </c>
      <c r="D94" s="109"/>
    </row>
    <row r="95" spans="1:4" x14ac:dyDescent="0.25">
      <c r="A95" t="str">
        <f t="shared" si="2"/>
        <v/>
      </c>
      <c r="B95" t="s">
        <v>2842</v>
      </c>
      <c r="C95" t="s">
        <v>2842</v>
      </c>
      <c r="D95" s="109"/>
    </row>
    <row r="96" spans="1:4" x14ac:dyDescent="0.25">
      <c r="A96" t="str">
        <f t="shared" si="2"/>
        <v/>
      </c>
      <c r="B96" t="s">
        <v>2842</v>
      </c>
      <c r="C96" t="s">
        <v>2842</v>
      </c>
      <c r="D96" s="109"/>
    </row>
    <row r="97" spans="1:4" x14ac:dyDescent="0.25">
      <c r="A97" t="str">
        <f t="shared" si="2"/>
        <v/>
      </c>
      <c r="B97" t="s">
        <v>2842</v>
      </c>
      <c r="C97" t="s">
        <v>2842</v>
      </c>
      <c r="D97" s="109"/>
    </row>
    <row r="98" spans="1:4" x14ac:dyDescent="0.25">
      <c r="A98" t="str">
        <f t="shared" ref="A98:A129" si="3">UPPER($G98)</f>
        <v/>
      </c>
      <c r="B98" t="s">
        <v>2842</v>
      </c>
      <c r="C98" t="s">
        <v>2842</v>
      </c>
      <c r="D98" s="109"/>
    </row>
    <row r="99" spans="1:4" x14ac:dyDescent="0.25">
      <c r="A99" t="str">
        <f t="shared" si="3"/>
        <v/>
      </c>
      <c r="B99" t="s">
        <v>2842</v>
      </c>
      <c r="C99" t="s">
        <v>2842</v>
      </c>
      <c r="D99" s="109"/>
    </row>
    <row r="100" spans="1:4" x14ac:dyDescent="0.25">
      <c r="A100" t="str">
        <f t="shared" si="3"/>
        <v/>
      </c>
      <c r="B100" t="s">
        <v>2842</v>
      </c>
      <c r="C100" t="s">
        <v>2842</v>
      </c>
      <c r="D100" s="109"/>
    </row>
    <row r="101" spans="1:4" x14ac:dyDescent="0.25">
      <c r="A101" t="str">
        <f t="shared" si="3"/>
        <v/>
      </c>
      <c r="B101" t="s">
        <v>2842</v>
      </c>
      <c r="C101" t="s">
        <v>2842</v>
      </c>
      <c r="D101" s="109"/>
    </row>
    <row r="102" spans="1:4" x14ac:dyDescent="0.25">
      <c r="A102" t="str">
        <f t="shared" si="3"/>
        <v/>
      </c>
      <c r="B102" t="s">
        <v>2842</v>
      </c>
      <c r="C102" t="s">
        <v>2842</v>
      </c>
      <c r="D102" s="109"/>
    </row>
    <row r="103" spans="1:4" x14ac:dyDescent="0.25">
      <c r="A103" t="str">
        <f t="shared" si="3"/>
        <v/>
      </c>
      <c r="B103" t="s">
        <v>2842</v>
      </c>
      <c r="C103" t="s">
        <v>2842</v>
      </c>
      <c r="D103" s="109"/>
    </row>
    <row r="104" spans="1:4" x14ac:dyDescent="0.25">
      <c r="A104" t="str">
        <f t="shared" si="3"/>
        <v/>
      </c>
      <c r="B104" t="s">
        <v>2842</v>
      </c>
      <c r="C104" t="s">
        <v>2842</v>
      </c>
      <c r="D104" s="109"/>
    </row>
    <row r="105" spans="1:4" x14ac:dyDescent="0.25">
      <c r="A105" t="str">
        <f t="shared" si="3"/>
        <v/>
      </c>
      <c r="B105" t="s">
        <v>2842</v>
      </c>
      <c r="C105" t="s">
        <v>2842</v>
      </c>
      <c r="D105" s="109"/>
    </row>
    <row r="106" spans="1:4" x14ac:dyDescent="0.25">
      <c r="A106" t="str">
        <f t="shared" si="3"/>
        <v/>
      </c>
      <c r="B106" t="s">
        <v>2842</v>
      </c>
      <c r="C106" t="s">
        <v>2842</v>
      </c>
      <c r="D106" s="109"/>
    </row>
    <row r="107" spans="1:4" x14ac:dyDescent="0.25">
      <c r="A107" t="str">
        <f t="shared" si="3"/>
        <v/>
      </c>
      <c r="B107" t="s">
        <v>2842</v>
      </c>
      <c r="C107" t="s">
        <v>2842</v>
      </c>
      <c r="D107" s="109"/>
    </row>
    <row r="108" spans="1:4" x14ac:dyDescent="0.25">
      <c r="A108" t="str">
        <f t="shared" si="3"/>
        <v/>
      </c>
      <c r="B108" t="s">
        <v>2842</v>
      </c>
      <c r="C108" t="s">
        <v>2842</v>
      </c>
      <c r="D108" s="109"/>
    </row>
    <row r="109" spans="1:4" x14ac:dyDescent="0.25">
      <c r="A109" t="str">
        <f t="shared" si="3"/>
        <v/>
      </c>
      <c r="B109" t="s">
        <v>2842</v>
      </c>
      <c r="C109" t="s">
        <v>2842</v>
      </c>
      <c r="D109" s="109"/>
    </row>
    <row r="110" spans="1:4" x14ac:dyDescent="0.25">
      <c r="A110" t="str">
        <f t="shared" si="3"/>
        <v/>
      </c>
      <c r="B110" t="s">
        <v>2842</v>
      </c>
      <c r="C110" t="s">
        <v>2842</v>
      </c>
      <c r="D110" s="109"/>
    </row>
    <row r="111" spans="1:4" x14ac:dyDescent="0.25">
      <c r="A111" t="str">
        <f t="shared" si="3"/>
        <v/>
      </c>
      <c r="B111" t="s">
        <v>2842</v>
      </c>
      <c r="C111" t="s">
        <v>2842</v>
      </c>
      <c r="D111" s="109"/>
    </row>
    <row r="112" spans="1:4" x14ac:dyDescent="0.25">
      <c r="A112" t="str">
        <f t="shared" si="3"/>
        <v/>
      </c>
      <c r="B112" t="s">
        <v>2842</v>
      </c>
      <c r="C112" t="s">
        <v>2842</v>
      </c>
      <c r="D112" s="109"/>
    </row>
    <row r="113" spans="1:4" x14ac:dyDescent="0.25">
      <c r="A113" t="str">
        <f t="shared" si="3"/>
        <v/>
      </c>
      <c r="B113" t="s">
        <v>2842</v>
      </c>
      <c r="C113" t="s">
        <v>2842</v>
      </c>
      <c r="D113" s="109"/>
    </row>
    <row r="114" spans="1:4" x14ac:dyDescent="0.25">
      <c r="A114" t="str">
        <f t="shared" si="3"/>
        <v/>
      </c>
      <c r="B114" t="s">
        <v>2842</v>
      </c>
      <c r="C114" t="s">
        <v>2842</v>
      </c>
      <c r="D114" s="109"/>
    </row>
    <row r="115" spans="1:4" x14ac:dyDescent="0.25">
      <c r="A115" t="str">
        <f t="shared" si="3"/>
        <v/>
      </c>
      <c r="B115" t="s">
        <v>2842</v>
      </c>
      <c r="C115" t="s">
        <v>2842</v>
      </c>
      <c r="D115" s="109"/>
    </row>
    <row r="116" spans="1:4" x14ac:dyDescent="0.25">
      <c r="A116" t="str">
        <f t="shared" si="3"/>
        <v/>
      </c>
      <c r="B116" t="s">
        <v>2842</v>
      </c>
      <c r="C116" t="s">
        <v>2842</v>
      </c>
      <c r="D116" s="109"/>
    </row>
    <row r="117" spans="1:4" x14ac:dyDescent="0.25">
      <c r="A117" t="str">
        <f t="shared" si="3"/>
        <v/>
      </c>
      <c r="B117" t="s">
        <v>2842</v>
      </c>
      <c r="C117" t="s">
        <v>2842</v>
      </c>
      <c r="D117" s="109"/>
    </row>
    <row r="118" spans="1:4" x14ac:dyDescent="0.25">
      <c r="A118" t="str">
        <f t="shared" si="3"/>
        <v/>
      </c>
      <c r="B118" t="s">
        <v>2842</v>
      </c>
      <c r="C118" t="s">
        <v>2842</v>
      </c>
      <c r="D118" s="109"/>
    </row>
    <row r="119" spans="1:4" x14ac:dyDescent="0.25">
      <c r="A119" t="str">
        <f t="shared" si="3"/>
        <v/>
      </c>
      <c r="B119" t="s">
        <v>2842</v>
      </c>
      <c r="C119" t="s">
        <v>2842</v>
      </c>
      <c r="D119" s="109"/>
    </row>
    <row r="120" spans="1:4" x14ac:dyDescent="0.25">
      <c r="A120" t="str">
        <f t="shared" si="3"/>
        <v/>
      </c>
      <c r="B120" t="s">
        <v>2842</v>
      </c>
      <c r="C120" t="s">
        <v>2842</v>
      </c>
      <c r="D120" s="109"/>
    </row>
    <row r="121" spans="1:4" x14ac:dyDescent="0.25">
      <c r="A121" t="str">
        <f t="shared" si="3"/>
        <v/>
      </c>
      <c r="B121" t="s">
        <v>2842</v>
      </c>
      <c r="C121" t="s">
        <v>2842</v>
      </c>
      <c r="D121" s="109"/>
    </row>
    <row r="122" spans="1:4" x14ac:dyDescent="0.25">
      <c r="A122" t="str">
        <f t="shared" si="3"/>
        <v/>
      </c>
      <c r="B122" t="s">
        <v>2842</v>
      </c>
      <c r="C122" t="s">
        <v>2842</v>
      </c>
      <c r="D122" s="109"/>
    </row>
    <row r="123" spans="1:4" x14ac:dyDescent="0.25">
      <c r="A123" t="str">
        <f t="shared" si="3"/>
        <v/>
      </c>
      <c r="B123" t="s">
        <v>2842</v>
      </c>
      <c r="C123" t="s">
        <v>2842</v>
      </c>
      <c r="D123" s="109"/>
    </row>
    <row r="124" spans="1:4" x14ac:dyDescent="0.25">
      <c r="A124" t="str">
        <f t="shared" si="3"/>
        <v/>
      </c>
      <c r="B124" t="s">
        <v>2842</v>
      </c>
      <c r="C124" t="s">
        <v>2842</v>
      </c>
      <c r="D124" s="109"/>
    </row>
    <row r="125" spans="1:4" x14ac:dyDescent="0.25">
      <c r="A125" t="str">
        <f t="shared" si="3"/>
        <v/>
      </c>
      <c r="B125" t="s">
        <v>2842</v>
      </c>
      <c r="C125" t="s">
        <v>2842</v>
      </c>
      <c r="D125" s="109"/>
    </row>
    <row r="126" spans="1:4" x14ac:dyDescent="0.25">
      <c r="A126" t="str">
        <f t="shared" si="3"/>
        <v/>
      </c>
      <c r="B126" t="s">
        <v>2842</v>
      </c>
      <c r="C126" t="s">
        <v>2842</v>
      </c>
      <c r="D126" s="109"/>
    </row>
    <row r="127" spans="1:4" x14ac:dyDescent="0.25">
      <c r="A127" t="str">
        <f t="shared" si="3"/>
        <v/>
      </c>
      <c r="B127" t="s">
        <v>2842</v>
      </c>
      <c r="C127" t="s">
        <v>2842</v>
      </c>
      <c r="D127" s="109"/>
    </row>
    <row r="128" spans="1:4" x14ac:dyDescent="0.25">
      <c r="A128" t="str">
        <f t="shared" si="3"/>
        <v/>
      </c>
      <c r="B128" t="s">
        <v>2842</v>
      </c>
      <c r="C128" t="s">
        <v>2842</v>
      </c>
      <c r="D128" s="109"/>
    </row>
    <row r="129" spans="1:4" x14ac:dyDescent="0.25">
      <c r="A129" t="str">
        <f t="shared" si="3"/>
        <v/>
      </c>
      <c r="B129" t="s">
        <v>2842</v>
      </c>
      <c r="C129" t="s">
        <v>2842</v>
      </c>
      <c r="D129" s="109"/>
    </row>
    <row r="130" spans="1:4" x14ac:dyDescent="0.25">
      <c r="A130" t="str">
        <f t="shared" ref="A130:A161" si="4">UPPER($G130)</f>
        <v/>
      </c>
      <c r="B130" t="s">
        <v>2842</v>
      </c>
      <c r="C130" t="s">
        <v>2842</v>
      </c>
      <c r="D130" s="109"/>
    </row>
    <row r="131" spans="1:4" x14ac:dyDescent="0.25">
      <c r="A131" t="str">
        <f t="shared" si="4"/>
        <v/>
      </c>
      <c r="B131" t="s">
        <v>2842</v>
      </c>
      <c r="C131" t="s">
        <v>2842</v>
      </c>
      <c r="D131" s="109"/>
    </row>
    <row r="132" spans="1:4" x14ac:dyDescent="0.25">
      <c r="A132" t="str">
        <f t="shared" si="4"/>
        <v/>
      </c>
      <c r="B132" t="s">
        <v>2842</v>
      </c>
      <c r="C132" t="s">
        <v>2842</v>
      </c>
      <c r="D132" s="109"/>
    </row>
    <row r="133" spans="1:4" x14ac:dyDescent="0.25">
      <c r="A133" t="str">
        <f t="shared" si="4"/>
        <v/>
      </c>
      <c r="B133" t="s">
        <v>2842</v>
      </c>
      <c r="C133" t="s">
        <v>2842</v>
      </c>
      <c r="D133" s="109"/>
    </row>
    <row r="134" spans="1:4" x14ac:dyDescent="0.25">
      <c r="A134" t="str">
        <f t="shared" si="4"/>
        <v/>
      </c>
      <c r="B134" t="s">
        <v>2842</v>
      </c>
      <c r="C134" t="s">
        <v>2842</v>
      </c>
      <c r="D134" s="109"/>
    </row>
    <row r="135" spans="1:4" x14ac:dyDescent="0.25">
      <c r="A135" t="str">
        <f t="shared" si="4"/>
        <v/>
      </c>
      <c r="B135" t="s">
        <v>2842</v>
      </c>
      <c r="C135" t="s">
        <v>2842</v>
      </c>
      <c r="D135" s="109"/>
    </row>
    <row r="136" spans="1:4" x14ac:dyDescent="0.25">
      <c r="A136" t="str">
        <f t="shared" si="4"/>
        <v/>
      </c>
      <c r="B136" t="s">
        <v>2842</v>
      </c>
      <c r="C136" t="s">
        <v>2842</v>
      </c>
      <c r="D136" s="109"/>
    </row>
    <row r="137" spans="1:4" x14ac:dyDescent="0.25">
      <c r="A137" t="str">
        <f t="shared" si="4"/>
        <v/>
      </c>
      <c r="B137" t="s">
        <v>2842</v>
      </c>
      <c r="C137" t="s">
        <v>2842</v>
      </c>
      <c r="D137" s="109"/>
    </row>
    <row r="138" spans="1:4" x14ac:dyDescent="0.25">
      <c r="A138" t="str">
        <f t="shared" si="4"/>
        <v/>
      </c>
      <c r="B138" t="s">
        <v>2842</v>
      </c>
      <c r="C138" t="s">
        <v>2842</v>
      </c>
      <c r="D138" s="109"/>
    </row>
    <row r="139" spans="1:4" x14ac:dyDescent="0.25">
      <c r="A139" t="str">
        <f t="shared" si="4"/>
        <v/>
      </c>
      <c r="B139" t="s">
        <v>2842</v>
      </c>
      <c r="C139" t="s">
        <v>2842</v>
      </c>
      <c r="D139" s="109"/>
    </row>
    <row r="140" spans="1:4" x14ac:dyDescent="0.25">
      <c r="A140" t="str">
        <f t="shared" si="4"/>
        <v/>
      </c>
      <c r="B140" t="s">
        <v>2842</v>
      </c>
      <c r="C140" t="s">
        <v>2842</v>
      </c>
      <c r="D140" s="109"/>
    </row>
    <row r="141" spans="1:4" x14ac:dyDescent="0.25">
      <c r="A141" t="str">
        <f t="shared" si="4"/>
        <v/>
      </c>
      <c r="B141" t="s">
        <v>2842</v>
      </c>
      <c r="C141" t="s">
        <v>2842</v>
      </c>
      <c r="D141" s="109"/>
    </row>
    <row r="142" spans="1:4" x14ac:dyDescent="0.25">
      <c r="A142" t="str">
        <f t="shared" si="4"/>
        <v/>
      </c>
      <c r="B142" t="s">
        <v>2842</v>
      </c>
      <c r="C142" t="s">
        <v>2842</v>
      </c>
      <c r="D142" s="109"/>
    </row>
    <row r="143" spans="1:4" x14ac:dyDescent="0.25">
      <c r="A143" t="str">
        <f t="shared" si="4"/>
        <v/>
      </c>
      <c r="B143" t="s">
        <v>2842</v>
      </c>
      <c r="C143" t="s">
        <v>2842</v>
      </c>
      <c r="D143" s="109"/>
    </row>
    <row r="144" spans="1:4" x14ac:dyDescent="0.25">
      <c r="A144" t="str">
        <f t="shared" si="4"/>
        <v/>
      </c>
      <c r="B144" t="s">
        <v>2842</v>
      </c>
      <c r="C144" t="s">
        <v>2842</v>
      </c>
      <c r="D144" s="109"/>
    </row>
    <row r="145" spans="1:4" x14ac:dyDescent="0.25">
      <c r="A145" t="str">
        <f t="shared" si="4"/>
        <v/>
      </c>
      <c r="B145" t="s">
        <v>2842</v>
      </c>
      <c r="C145" t="s">
        <v>2842</v>
      </c>
      <c r="D145" s="109"/>
    </row>
    <row r="146" spans="1:4" x14ac:dyDescent="0.25">
      <c r="A146" t="str">
        <f t="shared" si="4"/>
        <v/>
      </c>
      <c r="B146" t="s">
        <v>2842</v>
      </c>
      <c r="C146" t="s">
        <v>2842</v>
      </c>
      <c r="D146" s="109"/>
    </row>
    <row r="147" spans="1:4" x14ac:dyDescent="0.25">
      <c r="A147" t="str">
        <f t="shared" si="4"/>
        <v/>
      </c>
      <c r="B147" t="s">
        <v>2842</v>
      </c>
      <c r="C147" t="s">
        <v>2842</v>
      </c>
      <c r="D147" s="109"/>
    </row>
    <row r="148" spans="1:4" x14ac:dyDescent="0.25">
      <c r="A148" t="str">
        <f t="shared" si="4"/>
        <v/>
      </c>
      <c r="B148" t="s">
        <v>2842</v>
      </c>
      <c r="C148" t="s">
        <v>2842</v>
      </c>
      <c r="D148" s="109"/>
    </row>
    <row r="149" spans="1:4" x14ac:dyDescent="0.25">
      <c r="A149" t="str">
        <f t="shared" si="4"/>
        <v/>
      </c>
      <c r="B149" t="s">
        <v>2842</v>
      </c>
      <c r="C149" t="s">
        <v>2842</v>
      </c>
      <c r="D149" s="109"/>
    </row>
    <row r="150" spans="1:4" x14ac:dyDescent="0.25">
      <c r="A150" t="str">
        <f t="shared" si="4"/>
        <v/>
      </c>
      <c r="B150" t="s">
        <v>2842</v>
      </c>
      <c r="C150" t="s">
        <v>2842</v>
      </c>
      <c r="D150" s="109"/>
    </row>
    <row r="151" spans="1:4" x14ac:dyDescent="0.25">
      <c r="A151" t="str">
        <f t="shared" si="4"/>
        <v/>
      </c>
      <c r="B151" t="s">
        <v>2842</v>
      </c>
      <c r="C151" t="s">
        <v>2842</v>
      </c>
      <c r="D151" s="109"/>
    </row>
    <row r="152" spans="1:4" x14ac:dyDescent="0.25">
      <c r="A152" t="str">
        <f t="shared" si="4"/>
        <v/>
      </c>
      <c r="B152" t="s">
        <v>2842</v>
      </c>
      <c r="C152" t="s">
        <v>2842</v>
      </c>
      <c r="D152" s="109"/>
    </row>
    <row r="153" spans="1:4" x14ac:dyDescent="0.25">
      <c r="A153" t="str">
        <f t="shared" si="4"/>
        <v/>
      </c>
      <c r="B153" t="s">
        <v>2842</v>
      </c>
      <c r="C153" t="s">
        <v>2842</v>
      </c>
      <c r="D153" s="109"/>
    </row>
    <row r="154" spans="1:4" x14ac:dyDescent="0.25">
      <c r="A154" t="str">
        <f t="shared" si="4"/>
        <v/>
      </c>
      <c r="B154" t="s">
        <v>2842</v>
      </c>
      <c r="C154" t="s">
        <v>2842</v>
      </c>
      <c r="D154" s="109"/>
    </row>
    <row r="155" spans="1:4" x14ac:dyDescent="0.25">
      <c r="A155" t="str">
        <f t="shared" si="4"/>
        <v/>
      </c>
      <c r="B155" t="s">
        <v>2842</v>
      </c>
      <c r="C155" t="s">
        <v>2842</v>
      </c>
      <c r="D155" s="109"/>
    </row>
    <row r="156" spans="1:4" x14ac:dyDescent="0.25">
      <c r="A156" t="str">
        <f t="shared" si="4"/>
        <v/>
      </c>
      <c r="B156" t="s">
        <v>2842</v>
      </c>
      <c r="C156" t="s">
        <v>2842</v>
      </c>
      <c r="D156" s="109"/>
    </row>
    <row r="157" spans="1:4" x14ac:dyDescent="0.25">
      <c r="A157" t="str">
        <f t="shared" si="4"/>
        <v/>
      </c>
      <c r="B157" t="s">
        <v>2842</v>
      </c>
      <c r="C157" t="s">
        <v>2842</v>
      </c>
      <c r="D157" s="109"/>
    </row>
    <row r="158" spans="1:4" x14ac:dyDescent="0.25">
      <c r="A158" t="str">
        <f t="shared" si="4"/>
        <v/>
      </c>
      <c r="B158" t="s">
        <v>2842</v>
      </c>
      <c r="C158" t="s">
        <v>2842</v>
      </c>
      <c r="D158" s="109"/>
    </row>
    <row r="159" spans="1:4" x14ac:dyDescent="0.25">
      <c r="A159" t="str">
        <f t="shared" si="4"/>
        <v/>
      </c>
      <c r="B159" t="s">
        <v>2842</v>
      </c>
      <c r="C159" t="s">
        <v>2842</v>
      </c>
      <c r="D159" s="109"/>
    </row>
    <row r="160" spans="1:4" x14ac:dyDescent="0.25">
      <c r="A160" t="str">
        <f t="shared" si="4"/>
        <v/>
      </c>
      <c r="B160" t="s">
        <v>2842</v>
      </c>
      <c r="C160" t="s">
        <v>2842</v>
      </c>
      <c r="D160" s="109"/>
    </row>
    <row r="161" spans="1:4" x14ac:dyDescent="0.25">
      <c r="A161" t="str">
        <f t="shared" si="4"/>
        <v/>
      </c>
      <c r="B161" t="s">
        <v>2842</v>
      </c>
      <c r="C161" t="s">
        <v>2842</v>
      </c>
      <c r="D161" s="109"/>
    </row>
    <row r="162" spans="1:4" x14ac:dyDescent="0.25">
      <c r="A162" t="str">
        <f t="shared" ref="A162:A177" si="5">UPPER($G162)</f>
        <v/>
      </c>
      <c r="B162" t="s">
        <v>2842</v>
      </c>
      <c r="C162" t="s">
        <v>2842</v>
      </c>
      <c r="D162" s="109"/>
    </row>
    <row r="163" spans="1:4" x14ac:dyDescent="0.25">
      <c r="A163" t="str">
        <f t="shared" si="5"/>
        <v/>
      </c>
      <c r="B163" t="s">
        <v>2842</v>
      </c>
      <c r="C163" t="s">
        <v>2842</v>
      </c>
      <c r="D163" s="109"/>
    </row>
    <row r="164" spans="1:4" x14ac:dyDescent="0.25">
      <c r="A164" t="str">
        <f t="shared" si="5"/>
        <v/>
      </c>
      <c r="B164" t="s">
        <v>2842</v>
      </c>
      <c r="C164" t="s">
        <v>2842</v>
      </c>
      <c r="D164" s="109"/>
    </row>
    <row r="165" spans="1:4" x14ac:dyDescent="0.25">
      <c r="A165" t="str">
        <f t="shared" si="5"/>
        <v/>
      </c>
      <c r="B165" t="s">
        <v>2842</v>
      </c>
      <c r="C165" t="s">
        <v>2842</v>
      </c>
      <c r="D165" s="109"/>
    </row>
    <row r="166" spans="1:4" x14ac:dyDescent="0.25">
      <c r="A166" t="str">
        <f t="shared" si="5"/>
        <v/>
      </c>
      <c r="B166" t="s">
        <v>2842</v>
      </c>
      <c r="C166" t="s">
        <v>2842</v>
      </c>
      <c r="D166" s="109"/>
    </row>
    <row r="167" spans="1:4" x14ac:dyDescent="0.25">
      <c r="A167" t="str">
        <f t="shared" si="5"/>
        <v/>
      </c>
      <c r="B167" t="s">
        <v>2842</v>
      </c>
      <c r="C167" t="s">
        <v>2842</v>
      </c>
      <c r="D167" s="109"/>
    </row>
    <row r="168" spans="1:4" x14ac:dyDescent="0.25">
      <c r="A168" t="str">
        <f t="shared" si="5"/>
        <v/>
      </c>
      <c r="B168" t="s">
        <v>2842</v>
      </c>
      <c r="C168" t="s">
        <v>2842</v>
      </c>
      <c r="D168" s="109"/>
    </row>
    <row r="169" spans="1:4" x14ac:dyDescent="0.25">
      <c r="A169" t="str">
        <f t="shared" si="5"/>
        <v/>
      </c>
      <c r="B169" t="s">
        <v>2842</v>
      </c>
      <c r="C169" t="s">
        <v>2842</v>
      </c>
      <c r="D169" s="109"/>
    </row>
    <row r="170" spans="1:4" x14ac:dyDescent="0.25">
      <c r="A170" t="str">
        <f t="shared" si="5"/>
        <v/>
      </c>
      <c r="B170" t="s">
        <v>2842</v>
      </c>
      <c r="C170" t="s">
        <v>2842</v>
      </c>
      <c r="D170" s="109"/>
    </row>
    <row r="171" spans="1:4" x14ac:dyDescent="0.25">
      <c r="A171" t="str">
        <f t="shared" si="5"/>
        <v/>
      </c>
      <c r="B171" t="s">
        <v>2842</v>
      </c>
      <c r="C171" t="s">
        <v>2842</v>
      </c>
      <c r="D171" s="109"/>
    </row>
    <row r="172" spans="1:4" x14ac:dyDescent="0.25">
      <c r="A172" t="str">
        <f t="shared" si="5"/>
        <v/>
      </c>
      <c r="B172" t="s">
        <v>2842</v>
      </c>
      <c r="C172" t="s">
        <v>2842</v>
      </c>
      <c r="D172" s="109"/>
    </row>
    <row r="173" spans="1:4" x14ac:dyDescent="0.25">
      <c r="A173" t="str">
        <f t="shared" si="5"/>
        <v/>
      </c>
      <c r="B173" t="s">
        <v>2842</v>
      </c>
      <c r="C173" t="s">
        <v>2842</v>
      </c>
      <c r="D173" s="109"/>
    </row>
    <row r="174" spans="1:4" x14ac:dyDescent="0.25">
      <c r="A174" t="str">
        <f t="shared" si="5"/>
        <v/>
      </c>
      <c r="B174" t="s">
        <v>2842</v>
      </c>
      <c r="C174" t="s">
        <v>2842</v>
      </c>
      <c r="D174" s="109"/>
    </row>
    <row r="175" spans="1:4" x14ac:dyDescent="0.25">
      <c r="A175" t="str">
        <f t="shared" si="5"/>
        <v/>
      </c>
      <c r="B175" t="s">
        <v>2842</v>
      </c>
      <c r="C175" t="s">
        <v>2842</v>
      </c>
      <c r="D175" s="109"/>
    </row>
    <row r="176" spans="1:4" x14ac:dyDescent="0.25">
      <c r="A176" t="str">
        <f t="shared" si="5"/>
        <v/>
      </c>
      <c r="B176" t="s">
        <v>2842</v>
      </c>
      <c r="C176" t="s">
        <v>2842</v>
      </c>
      <c r="D176" s="109"/>
    </row>
    <row r="177" spans="1:4" x14ac:dyDescent="0.25">
      <c r="A177" t="str">
        <f t="shared" si="5"/>
        <v/>
      </c>
      <c r="B177" t="s">
        <v>2842</v>
      </c>
      <c r="C177" t="s">
        <v>2842</v>
      </c>
      <c r="D177" s="109"/>
    </row>
  </sheetData>
  <sheetProtection selectLockedCells="1" selectUnlockedCells="1"/>
  <phoneticPr fontId="34" type="noConversion"/>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Generate_Import">
                <anchor moveWithCells="1" sizeWithCells="1">
                  <from>
                    <xdr:col>4</xdr:col>
                    <xdr:colOff>0</xdr:colOff>
                    <xdr:row>0</xdr:row>
                    <xdr:rowOff>0</xdr:rowOff>
                  </from>
                  <to>
                    <xdr:col>6</xdr:col>
                    <xdr:colOff>0</xdr:colOff>
                    <xdr:row>2</xdr:row>
                    <xdr:rowOff>0</xdr:rowOff>
                  </to>
                </anchor>
              </controlPr>
            </control>
          </mc:Choice>
        </mc:AlternateContent>
      </controls>
    </mc:Choice>
  </mc:AlternateContent>
  <tableParts count="1">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3984F6BA618BE2429CA07D35E25CD743" ma:contentTypeVersion="23" ma:contentTypeDescription="Create a new document." ma:contentTypeScope="" ma:versionID="650ceb32590705e96e098265426066dc">
  <xsd:schema xmlns:xsd="http://www.w3.org/2001/XMLSchema" xmlns:xs="http://www.w3.org/2001/XMLSchema" xmlns:p="http://schemas.microsoft.com/office/2006/metadata/properties" xmlns:ns1="http://schemas.microsoft.com/sharepoint/v3" xmlns:ns2="48425137-2dd3-4dc3-9102-52c3b5ce8f59" xmlns:ns3="8233f813-161f-4bc2-adc5-79f338d783a7" xmlns:ns4="1b1362ba-b25b-448f-9e3f-1708cb3b603c" targetNamespace="http://schemas.microsoft.com/office/2006/metadata/properties" ma:root="true" ma:fieldsID="307e9ece0b1771511131b46f5cd596cf" ns1:_="" ns2:_="" ns3:_="" ns4:_="">
    <xsd:import namespace="http://schemas.microsoft.com/sharepoint/v3"/>
    <xsd:import namespace="48425137-2dd3-4dc3-9102-52c3b5ce8f59"/>
    <xsd:import namespace="8233f813-161f-4bc2-adc5-79f338d783a7"/>
    <xsd:import namespace="1b1362ba-b25b-448f-9e3f-1708cb3b603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3:SharedWithUsers" minOccurs="0"/>
                <xsd:element ref="ns3:SharedWithDetails" minOccurs="0"/>
                <xsd:element ref="ns2:MediaServiceLocation" minOccurs="0"/>
                <xsd:element ref="ns2:_Flow_SignoffStatus" minOccurs="0"/>
                <xsd:element ref="ns2:MediaServiceEventHashCode" minOccurs="0"/>
                <xsd:element ref="ns2:MediaServiceGenerationTime" minOccurs="0"/>
                <xsd:element ref="ns2:Initial_x0020_Quote" minOccurs="0"/>
                <xsd:element ref="ns2:_x0074_bu0" minOccurs="0"/>
                <xsd:element ref="ns2:Approved_x0020_for_x0020_3DCS_x0020_Work" minOccurs="0"/>
                <xsd:element ref="ns2:MediaServiceAutoKeyPoints" minOccurs="0"/>
                <xsd:element ref="ns2:MediaServiceKeyPoints" minOccurs="0"/>
                <xsd:element ref="ns2:MediaLengthInSeconds" minOccurs="0"/>
                <xsd:element ref="ns1:_ip_UnifiedCompliancePolicyProperties" minOccurs="0"/>
                <xsd:element ref="ns1:_ip_UnifiedCompliancePolicyUIAction" minOccurs="0"/>
                <xsd:element ref="ns2:lcf76f155ced4ddcb4097134ff3c332f" minOccurs="0"/>
                <xsd:element ref="ns4: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5" nillable="true" ma:displayName="Unified Compliance Policy Properties" ma:hidden="true" ma:internalName="_ip_UnifiedCompliancePolicyProperties">
      <xsd:simpleType>
        <xsd:restriction base="dms:Note"/>
      </xsd:simpleType>
    </xsd:element>
    <xsd:element name="_ip_UnifiedCompliancePolicyUIAction" ma:index="2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8425137-2dd3-4dc3-9102-52c3b5ce8f5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OCR" ma:index="12" nillable="true" ma:displayName="MediaServiceOCR" ma:internalName="MediaServiceOCR" ma:readOnly="true">
      <xsd:simpleType>
        <xsd:restriction base="dms:Note">
          <xsd:maxLength value="255"/>
        </xsd:restriction>
      </xsd:simpleType>
    </xsd:element>
    <xsd:element name="MediaServiceLocation" ma:index="15" nillable="true" ma:displayName="MediaServiceLocation" ma:internalName="MediaServiceLocation" ma:readOnly="true">
      <xsd:simpleType>
        <xsd:restriction base="dms:Text"/>
      </xsd:simpleType>
    </xsd:element>
    <xsd:element name="_Flow_SignoffStatus" ma:index="16" nillable="true" ma:displayName="Sign-off status" ma:internalName="_x0024_Resources_x003a_core_x002c_Signoff_Status_x003b_">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Initial_x0020_Quote" ma:index="19" nillable="true" ma:displayName="Initial Quote" ma:format="Dropdown" ma:internalName="Initial_x0020_Quote">
      <xsd:simpleType>
        <xsd:restriction base="dms:Text">
          <xsd:maxLength value="255"/>
        </xsd:restriction>
      </xsd:simpleType>
    </xsd:element>
    <xsd:element name="_x0074_bu0" ma:index="20" nillable="true" ma:displayName="Total Hours" ma:internalName="_x0074_bu0">
      <xsd:simpleType>
        <xsd:restriction base="dms:Number"/>
      </xsd:simpleType>
    </xsd:element>
    <xsd:element name="Approved_x0020_for_x0020_3DCS_x0020_Work" ma:index="21" nillable="true" ma:displayName="Approved for 3DCS Work" ma:default="0" ma:description="Has been approved and can be sent to 3DCS" ma:format="Dropdown" ma:internalName="Approved_x0020_for_x0020_3DCS_x0020_Work">
      <xsd:simpleType>
        <xsd:restriction base="dms:Boolean"/>
      </xsd:simpleType>
    </xsd:element>
    <xsd:element name="MediaServiceAutoKeyPoints" ma:index="22" nillable="true" ma:displayName="MediaServiceAutoKeyPoints" ma:hidden="true" ma:internalName="MediaServiceAutoKeyPoints" ma:readOnly="true">
      <xsd:simpleType>
        <xsd:restriction base="dms:Note"/>
      </xsd:simpleType>
    </xsd:element>
    <xsd:element name="MediaServiceKeyPoints" ma:index="23" nillable="true" ma:displayName="KeyPoints" ma:internalName="MediaServiceKeyPoints" ma:readOnly="true">
      <xsd:simpleType>
        <xsd:restriction base="dms:Note">
          <xsd:maxLength value="255"/>
        </xsd:restriction>
      </xsd:simpleType>
    </xsd:element>
    <xsd:element name="MediaLengthInSeconds" ma:index="24" nillable="true" ma:displayName="Length (seconds)" ma:internalName="MediaLengthInSeconds" ma:readOnly="true">
      <xsd:simpleType>
        <xsd:restriction base="dms:Unknown"/>
      </xsd:simpleType>
    </xsd:element>
    <xsd:element name="lcf76f155ced4ddcb4097134ff3c332f" ma:index="28" nillable="true" ma:taxonomy="true" ma:internalName="lcf76f155ced4ddcb4097134ff3c332f" ma:taxonomyFieldName="MediaServiceImageTags" ma:displayName="Image Tags" ma:readOnly="false" ma:fieldId="{5cf76f15-5ced-4ddc-b409-7134ff3c332f}" ma:taxonomyMulti="true" ma:sspId="2ab97aeb-086f-4925-a47c-f9bc31c0f260"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30"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233f813-161f-4bc2-adc5-79f338d783a7"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b1362ba-b25b-448f-9e3f-1708cb3b603c" elementFormDefault="qualified">
    <xsd:import namespace="http://schemas.microsoft.com/office/2006/documentManagement/types"/>
    <xsd:import namespace="http://schemas.microsoft.com/office/infopath/2007/PartnerControls"/>
    <xsd:element name="TaxCatchAll" ma:index="29" nillable="true" ma:displayName="Taxonomy Catch All Column" ma:hidden="true" ma:list="{5aac5c0b-fe51-49d5-8478-402d0a17edec}" ma:internalName="TaxCatchAll" ma:showField="CatchAllData" ma:web="1b1362ba-b25b-448f-9e3f-1708cb3b603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Props1.xml><?xml version="1.0" encoding="utf-8"?>
<ds:datastoreItem xmlns:ds="http://schemas.openxmlformats.org/officeDocument/2006/customXml" ds:itemID="{2286753F-20AE-42B7-8A43-E9823C97217A}">
  <ds:schemaRefs>
    <ds:schemaRef ds:uri="http://schemas.microsoft.com/sharepoint/v3/contenttype/forms"/>
  </ds:schemaRefs>
</ds:datastoreItem>
</file>

<file path=customXml/itemProps2.xml><?xml version="1.0" encoding="utf-8"?>
<ds:datastoreItem xmlns:ds="http://schemas.openxmlformats.org/officeDocument/2006/customXml" ds:itemID="{27C09CB2-3587-4D87-8006-16D62B70205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8425137-2dd3-4dc3-9102-52c3b5ce8f59"/>
    <ds:schemaRef ds:uri="8233f813-161f-4bc2-adc5-79f338d783a7"/>
    <ds:schemaRef ds:uri="1b1362ba-b25b-448f-9e3f-1708cb3b60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396A1E7-DD6D-4C29-9E76-87295BE067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TAG - Job Order Entry</vt:lpstr>
      <vt:lpstr>Short-Long Transition</vt:lpstr>
      <vt:lpstr>MixedCheck</vt:lpstr>
      <vt:lpstr>DecoCheck</vt:lpstr>
      <vt:lpstr>Price  List</vt:lpstr>
      <vt:lpstr>StockTool_old</vt:lpstr>
      <vt:lpstr>Search</vt:lpstr>
      <vt:lpstr>Warranty</vt:lpstr>
      <vt:lpstr>Import</vt:lpstr>
      <vt:lpstr>'Price  List'!Print_Area</vt:lpstr>
      <vt:lpstr>'Price  List'!Print_Titles</vt:lpstr>
      <vt:lpstr>Stockcodes</vt:lpstr>
      <vt:lpstr>StockTool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Sararas</dc:creator>
  <cp:lastModifiedBy>Daniel Betancourt</cp:lastModifiedBy>
  <cp:lastPrinted>2019-11-21T19:44:43Z</cp:lastPrinted>
  <dcterms:created xsi:type="dcterms:W3CDTF">2019-11-21T18:53:00Z</dcterms:created>
  <dcterms:modified xsi:type="dcterms:W3CDTF">2023-10-09T18:46:20Z</dcterms:modified>
</cp:coreProperties>
</file>